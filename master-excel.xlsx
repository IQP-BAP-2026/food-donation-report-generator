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port-generator\"/>
    </mc:Choice>
  </mc:AlternateContent>
  <xr:revisionPtr revIDLastSave="0" documentId="13_ncr:1_{33672A74-DA2E-47E3-95F2-564D3B4B6D97}" xr6:coauthVersionLast="47" xr6:coauthVersionMax="47" xr10:uidLastSave="{00000000-0000-0000-0000-000000000000}"/>
  <bookViews>
    <workbookView xWindow="-96" yWindow="-96" windowWidth="23232" windowHeight="13872" xr2:uid="{7C4A7794-33B1-43C3-B1F2-54470EBDC1C2}"/>
  </bookViews>
  <sheets>
    <sheet name="MASTER-2025" sheetId="1" r:id="rId1"/>
  </sheets>
  <externalReferences>
    <externalReference r:id="rId2"/>
  </externalReferences>
  <definedNames>
    <definedName name="_xlnm._FilterDatabase" localSheetId="0" hidden="1">'MASTER-2025'!$A$1:$A$130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DB130" i="1"/>
  <c r="DA130" i="1"/>
  <c r="CZ130" i="1"/>
  <c r="CY130" i="1"/>
  <c r="CL130" i="1" a="1"/>
  <c r="CL130" i="1" s="1"/>
  <c r="CX130" i="1" s="1"/>
  <c r="BY130" i="1" a="1"/>
  <c r="BY130" i="1" s="1"/>
  <c r="CK130" i="1" s="1"/>
  <c r="BL130" i="1" a="1"/>
  <c r="BL130" i="1" s="1"/>
  <c r="BX130" i="1" s="1"/>
  <c r="BK130" i="1"/>
  <c r="BH130" i="1"/>
  <c r="BG130" i="1"/>
  <c r="BF130" i="1"/>
  <c r="BE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I130" i="1"/>
  <c r="C130" i="1"/>
  <c r="B130" i="1"/>
  <c r="DB129" i="1"/>
  <c r="DA129" i="1"/>
  <c r="CZ129" i="1"/>
  <c r="CY129" i="1"/>
  <c r="CL129" i="1" a="1"/>
  <c r="CL129" i="1" s="1"/>
  <c r="CX129" i="1" s="1"/>
  <c r="BY129" i="1" a="1"/>
  <c r="BY129" i="1" s="1"/>
  <c r="CK129" i="1" s="1"/>
  <c r="BL129" i="1" a="1"/>
  <c r="BL129" i="1" s="1"/>
  <c r="BX129" i="1" s="1"/>
  <c r="BK129" i="1"/>
  <c r="BH129" i="1"/>
  <c r="BG129" i="1"/>
  <c r="BF129" i="1"/>
  <c r="BE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I129" i="1"/>
  <c r="C129" i="1"/>
  <c r="B129" i="1"/>
  <c r="F129" i="1" s="1"/>
  <c r="DB128" i="1"/>
  <c r="DA128" i="1"/>
  <c r="CZ128" i="1"/>
  <c r="CY128" i="1"/>
  <c r="CL128" i="1" a="1"/>
  <c r="CL128" i="1" s="1"/>
  <c r="CX128" i="1" s="1"/>
  <c r="BY128" i="1" a="1"/>
  <c r="BY128" i="1" s="1"/>
  <c r="CK128" i="1" s="1"/>
  <c r="BL128" i="1" a="1"/>
  <c r="BL128" i="1" s="1"/>
  <c r="BX128" i="1" s="1"/>
  <c r="BK128" i="1"/>
  <c r="BH128" i="1"/>
  <c r="BG128" i="1"/>
  <c r="BF128" i="1"/>
  <c r="BE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I128" i="1"/>
  <c r="C128" i="1"/>
  <c r="B128" i="1"/>
  <c r="DB127" i="1"/>
  <c r="DA127" i="1"/>
  <c r="CZ127" i="1"/>
  <c r="CY127" i="1"/>
  <c r="CL127" i="1" a="1"/>
  <c r="CL127" i="1" s="1"/>
  <c r="CX127" i="1" s="1"/>
  <c r="BY127" i="1" a="1"/>
  <c r="BY127" i="1" s="1"/>
  <c r="CK127" i="1" s="1"/>
  <c r="BL127" i="1" a="1"/>
  <c r="BL127" i="1" s="1"/>
  <c r="BX127" i="1" s="1"/>
  <c r="BK127" i="1"/>
  <c r="BH127" i="1"/>
  <c r="BG127" i="1"/>
  <c r="BF127" i="1"/>
  <c r="BE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I127" i="1"/>
  <c r="C127" i="1"/>
  <c r="B127" i="1"/>
  <c r="DB126" i="1"/>
  <c r="DA126" i="1"/>
  <c r="CZ126" i="1"/>
  <c r="CY126" i="1"/>
  <c r="CL126" i="1" a="1"/>
  <c r="CL126" i="1" s="1"/>
  <c r="CX126" i="1" s="1"/>
  <c r="BY126" i="1" a="1"/>
  <c r="BY126" i="1" s="1"/>
  <c r="CK126" i="1" s="1"/>
  <c r="BL126" i="1" a="1"/>
  <c r="BL126" i="1" s="1"/>
  <c r="BX126" i="1" s="1"/>
  <c r="BK126" i="1"/>
  <c r="BH126" i="1"/>
  <c r="BG126" i="1"/>
  <c r="BF126" i="1"/>
  <c r="BE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I126" i="1"/>
  <c r="C126" i="1"/>
  <c r="B126" i="1"/>
  <c r="DB125" i="1"/>
  <c r="DA125" i="1"/>
  <c r="CZ125" i="1"/>
  <c r="CY125" i="1"/>
  <c r="CL125" i="1" a="1"/>
  <c r="CL125" i="1" s="1"/>
  <c r="CX125" i="1" s="1"/>
  <c r="BY125" i="1" a="1"/>
  <c r="BY125" i="1" s="1"/>
  <c r="CK125" i="1" s="1"/>
  <c r="BL125" i="1" a="1"/>
  <c r="BL125" i="1" s="1"/>
  <c r="BX125" i="1" s="1"/>
  <c r="BK125" i="1"/>
  <c r="BH125" i="1"/>
  <c r="BG125" i="1"/>
  <c r="BF125" i="1"/>
  <c r="BE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I125" i="1"/>
  <c r="C125" i="1"/>
  <c r="B125" i="1"/>
  <c r="DB124" i="1"/>
  <c r="DA124" i="1"/>
  <c r="CZ124" i="1"/>
  <c r="CY124" i="1"/>
  <c r="CL124" i="1" a="1"/>
  <c r="CL124" i="1" s="1"/>
  <c r="CX124" i="1" s="1"/>
  <c r="BY124" i="1" a="1"/>
  <c r="BY124" i="1" s="1"/>
  <c r="CK124" i="1" s="1"/>
  <c r="BL124" i="1" a="1"/>
  <c r="BL124" i="1" s="1"/>
  <c r="BX124" i="1" s="1"/>
  <c r="BK124" i="1"/>
  <c r="BH124" i="1"/>
  <c r="BG124" i="1"/>
  <c r="BF124" i="1"/>
  <c r="BE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I124" i="1"/>
  <c r="C124" i="1"/>
  <c r="B124" i="1"/>
  <c r="DB123" i="1"/>
  <c r="DA123" i="1"/>
  <c r="CZ123" i="1"/>
  <c r="CY123" i="1"/>
  <c r="CL123" i="1" a="1"/>
  <c r="CL123" i="1" s="1"/>
  <c r="CX123" i="1" s="1"/>
  <c r="BY123" i="1" a="1"/>
  <c r="BY123" i="1" s="1"/>
  <c r="CK123" i="1" s="1"/>
  <c r="BL123" i="1" a="1"/>
  <c r="BL123" i="1" s="1"/>
  <c r="BX123" i="1" s="1"/>
  <c r="BK123" i="1"/>
  <c r="BH123" i="1"/>
  <c r="BG123" i="1"/>
  <c r="BF123" i="1"/>
  <c r="BE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I123" i="1"/>
  <c r="C123" i="1"/>
  <c r="B123" i="1"/>
  <c r="DB122" i="1"/>
  <c r="DA122" i="1"/>
  <c r="CZ122" i="1"/>
  <c r="CY122" i="1"/>
  <c r="CL122" i="1" a="1"/>
  <c r="CL122" i="1" s="1"/>
  <c r="CX122" i="1" s="1"/>
  <c r="BY122" i="1" a="1"/>
  <c r="BY122" i="1" s="1"/>
  <c r="CK122" i="1" s="1"/>
  <c r="BL122" i="1" a="1"/>
  <c r="BL122" i="1" s="1"/>
  <c r="BX122" i="1" s="1"/>
  <c r="BK122" i="1"/>
  <c r="BH122" i="1"/>
  <c r="BG122" i="1"/>
  <c r="BF122" i="1"/>
  <c r="BE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I122" i="1"/>
  <c r="C122" i="1"/>
  <c r="B122" i="1"/>
  <c r="DB121" i="1"/>
  <c r="DA121" i="1"/>
  <c r="CZ121" i="1"/>
  <c r="CY121" i="1"/>
  <c r="CL121" i="1" a="1"/>
  <c r="CL121" i="1" s="1"/>
  <c r="CX121" i="1" s="1"/>
  <c r="BY121" i="1" a="1"/>
  <c r="BY121" i="1" s="1"/>
  <c r="CK121" i="1" s="1"/>
  <c r="BL121" i="1" a="1"/>
  <c r="BL121" i="1" s="1"/>
  <c r="BX121" i="1" s="1"/>
  <c r="BK121" i="1"/>
  <c r="BH121" i="1"/>
  <c r="BG121" i="1"/>
  <c r="BF121" i="1"/>
  <c r="BE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I121" i="1"/>
  <c r="C121" i="1"/>
  <c r="B121" i="1"/>
  <c r="DB120" i="1"/>
  <c r="DA120" i="1"/>
  <c r="CZ120" i="1"/>
  <c r="CY120" i="1"/>
  <c r="CL120" i="1" a="1"/>
  <c r="CL120" i="1" s="1"/>
  <c r="CX120" i="1" s="1"/>
  <c r="BY120" i="1" a="1"/>
  <c r="BY120" i="1" s="1"/>
  <c r="CK120" i="1" s="1"/>
  <c r="BL120" i="1" a="1"/>
  <c r="BL120" i="1" s="1"/>
  <c r="BX120" i="1" s="1"/>
  <c r="BK120" i="1"/>
  <c r="BH120" i="1"/>
  <c r="BG120" i="1"/>
  <c r="BF120" i="1"/>
  <c r="BE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I120" i="1"/>
  <c r="C120" i="1"/>
  <c r="B120" i="1"/>
  <c r="DB119" i="1"/>
  <c r="DA119" i="1"/>
  <c r="CZ119" i="1"/>
  <c r="CY119" i="1"/>
  <c r="CL119" i="1" a="1"/>
  <c r="CL119" i="1" s="1"/>
  <c r="CX119" i="1" s="1"/>
  <c r="BY119" i="1" a="1"/>
  <c r="BY119" i="1" s="1"/>
  <c r="CK119" i="1" s="1"/>
  <c r="BL119" i="1" a="1"/>
  <c r="BL119" i="1" s="1"/>
  <c r="BX119" i="1" s="1"/>
  <c r="BK119" i="1"/>
  <c r="BH119" i="1"/>
  <c r="BG119" i="1"/>
  <c r="BF119" i="1"/>
  <c r="BE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I119" i="1"/>
  <c r="C119" i="1"/>
  <c r="B119" i="1"/>
  <c r="DB118" i="1"/>
  <c r="DA118" i="1"/>
  <c r="CZ118" i="1"/>
  <c r="CY118" i="1"/>
  <c r="CL118" i="1" a="1"/>
  <c r="CL118" i="1" s="1"/>
  <c r="CX118" i="1" s="1"/>
  <c r="BY118" i="1" a="1"/>
  <c r="BY118" i="1" s="1"/>
  <c r="CK118" i="1" s="1"/>
  <c r="BL118" i="1" a="1"/>
  <c r="BL118" i="1" s="1"/>
  <c r="BX118" i="1" s="1"/>
  <c r="BK118" i="1"/>
  <c r="BH118" i="1"/>
  <c r="BG118" i="1"/>
  <c r="BF118" i="1"/>
  <c r="BE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I118" i="1"/>
  <c r="C118" i="1"/>
  <c r="B118" i="1"/>
  <c r="DB117" i="1"/>
  <c r="DA117" i="1"/>
  <c r="CZ117" i="1"/>
  <c r="CY117" i="1"/>
  <c r="CL117" i="1" a="1"/>
  <c r="CL117" i="1" s="1"/>
  <c r="CX117" i="1" s="1"/>
  <c r="BY117" i="1" a="1"/>
  <c r="BY117" i="1" s="1"/>
  <c r="CK117" i="1" s="1"/>
  <c r="BL117" i="1" a="1"/>
  <c r="BL117" i="1" s="1"/>
  <c r="BX117" i="1" s="1"/>
  <c r="BK117" i="1"/>
  <c r="BH117" i="1"/>
  <c r="BG117" i="1"/>
  <c r="BF117" i="1"/>
  <c r="BE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I117" i="1"/>
  <c r="C117" i="1"/>
  <c r="B117" i="1"/>
  <c r="DB116" i="1"/>
  <c r="DA116" i="1"/>
  <c r="CZ116" i="1"/>
  <c r="CY116" i="1"/>
  <c r="CL116" i="1" a="1"/>
  <c r="CL116" i="1" s="1"/>
  <c r="CX116" i="1" s="1"/>
  <c r="BY116" i="1" a="1"/>
  <c r="BY116" i="1" s="1"/>
  <c r="CK116" i="1" s="1"/>
  <c r="BL116" i="1" a="1"/>
  <c r="BL116" i="1" s="1"/>
  <c r="BX116" i="1" s="1"/>
  <c r="BK116" i="1"/>
  <c r="BH116" i="1"/>
  <c r="BG116" i="1"/>
  <c r="BF116" i="1"/>
  <c r="BE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I116" i="1"/>
  <c r="C116" i="1"/>
  <c r="B116" i="1"/>
  <c r="DB115" i="1"/>
  <c r="DA115" i="1"/>
  <c r="CZ115" i="1"/>
  <c r="CY115" i="1"/>
  <c r="CL115" i="1" a="1"/>
  <c r="CL115" i="1" s="1"/>
  <c r="CX115" i="1" s="1"/>
  <c r="BY115" i="1" a="1"/>
  <c r="BY115" i="1" s="1"/>
  <c r="CK115" i="1" s="1"/>
  <c r="BL115" i="1" a="1"/>
  <c r="BL115" i="1" s="1"/>
  <c r="BX115" i="1" s="1"/>
  <c r="BK115" i="1"/>
  <c r="BH115" i="1"/>
  <c r="BG115" i="1"/>
  <c r="BF115" i="1"/>
  <c r="BE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I115" i="1"/>
  <c r="C115" i="1"/>
  <c r="B115" i="1"/>
  <c r="DB114" i="1"/>
  <c r="DA114" i="1"/>
  <c r="CZ114" i="1"/>
  <c r="CY114" i="1"/>
  <c r="CL114" i="1" a="1"/>
  <c r="CL114" i="1" s="1"/>
  <c r="CX114" i="1" s="1"/>
  <c r="BY114" i="1" a="1"/>
  <c r="BY114" i="1" s="1"/>
  <c r="CK114" i="1" s="1"/>
  <c r="BL114" i="1" a="1"/>
  <c r="BL114" i="1" s="1"/>
  <c r="BX114" i="1" s="1"/>
  <c r="BK114" i="1"/>
  <c r="BH114" i="1"/>
  <c r="BG114" i="1"/>
  <c r="BF114" i="1"/>
  <c r="BE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I114" i="1"/>
  <c r="C114" i="1"/>
  <c r="B114" i="1"/>
  <c r="DB113" i="1"/>
  <c r="DA113" i="1"/>
  <c r="CZ113" i="1"/>
  <c r="CY113" i="1"/>
  <c r="CL113" i="1" a="1"/>
  <c r="CL113" i="1" s="1"/>
  <c r="CX113" i="1" s="1"/>
  <c r="BY113" i="1" a="1"/>
  <c r="BY113" i="1" s="1"/>
  <c r="CK113" i="1" s="1"/>
  <c r="BL113" i="1" a="1"/>
  <c r="BL113" i="1" s="1"/>
  <c r="BX113" i="1" s="1"/>
  <c r="BK113" i="1"/>
  <c r="BH113" i="1"/>
  <c r="BG113" i="1"/>
  <c r="BF113" i="1"/>
  <c r="BE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I113" i="1"/>
  <c r="C113" i="1"/>
  <c r="B113" i="1"/>
  <c r="DB112" i="1"/>
  <c r="DA112" i="1"/>
  <c r="CZ112" i="1"/>
  <c r="CY112" i="1"/>
  <c r="CL112" i="1" a="1"/>
  <c r="CL112" i="1" s="1"/>
  <c r="CX112" i="1" s="1"/>
  <c r="BY112" i="1" a="1"/>
  <c r="BY112" i="1" s="1"/>
  <c r="CK112" i="1" s="1"/>
  <c r="BL112" i="1" a="1"/>
  <c r="BL112" i="1" s="1"/>
  <c r="BX112" i="1" s="1"/>
  <c r="BK112" i="1"/>
  <c r="BH112" i="1"/>
  <c r="BG112" i="1"/>
  <c r="BF112" i="1"/>
  <c r="BE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I112" i="1"/>
  <c r="C112" i="1"/>
  <c r="B112" i="1"/>
  <c r="DB111" i="1"/>
  <c r="DA111" i="1"/>
  <c r="CZ111" i="1"/>
  <c r="CY111" i="1"/>
  <c r="CL111" i="1" a="1"/>
  <c r="CL111" i="1" s="1"/>
  <c r="CX111" i="1" s="1"/>
  <c r="BY111" i="1" a="1"/>
  <c r="BY111" i="1" s="1"/>
  <c r="CK111" i="1" s="1"/>
  <c r="BL111" i="1" a="1"/>
  <c r="BL111" i="1" s="1"/>
  <c r="BX111" i="1" s="1"/>
  <c r="BK111" i="1"/>
  <c r="BH111" i="1"/>
  <c r="BG111" i="1"/>
  <c r="BF111" i="1"/>
  <c r="BE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I111" i="1"/>
  <c r="C111" i="1"/>
  <c r="B111" i="1"/>
  <c r="DB110" i="1"/>
  <c r="DA110" i="1"/>
  <c r="CZ110" i="1"/>
  <c r="CY110" i="1"/>
  <c r="CL110" i="1" a="1"/>
  <c r="CL110" i="1" s="1"/>
  <c r="CX110" i="1" s="1"/>
  <c r="BY110" i="1" a="1"/>
  <c r="BY110" i="1" s="1"/>
  <c r="CK110" i="1" s="1"/>
  <c r="BL110" i="1" a="1"/>
  <c r="BL110" i="1" s="1"/>
  <c r="BX110" i="1" s="1"/>
  <c r="BK110" i="1"/>
  <c r="BH110" i="1"/>
  <c r="BG110" i="1"/>
  <c r="BF110" i="1"/>
  <c r="BE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I110" i="1"/>
  <c r="C110" i="1"/>
  <c r="B110" i="1"/>
  <c r="DB109" i="1"/>
  <c r="DA109" i="1"/>
  <c r="CZ109" i="1"/>
  <c r="CY109" i="1"/>
  <c r="CL109" i="1" a="1"/>
  <c r="CL109" i="1" s="1"/>
  <c r="CX109" i="1" s="1"/>
  <c r="BY109" i="1" a="1"/>
  <c r="BY109" i="1" s="1"/>
  <c r="CK109" i="1" s="1"/>
  <c r="BL109" i="1" a="1"/>
  <c r="BL109" i="1" s="1"/>
  <c r="BX109" i="1" s="1"/>
  <c r="BK109" i="1"/>
  <c r="BH109" i="1"/>
  <c r="BG109" i="1"/>
  <c r="BF109" i="1"/>
  <c r="BE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I109" i="1"/>
  <c r="C109" i="1"/>
  <c r="B109" i="1"/>
  <c r="DB108" i="1"/>
  <c r="DA108" i="1"/>
  <c r="CZ108" i="1"/>
  <c r="CY108" i="1"/>
  <c r="CL108" i="1" a="1"/>
  <c r="CL108" i="1" s="1"/>
  <c r="CX108" i="1" s="1"/>
  <c r="BY108" i="1" a="1"/>
  <c r="BY108" i="1" s="1"/>
  <c r="CK108" i="1" s="1"/>
  <c r="BL108" i="1" a="1"/>
  <c r="BL108" i="1" s="1"/>
  <c r="BX108" i="1" s="1"/>
  <c r="BK108" i="1"/>
  <c r="BH108" i="1"/>
  <c r="BG108" i="1"/>
  <c r="BF108" i="1"/>
  <c r="BE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I108" i="1"/>
  <c r="C108" i="1"/>
  <c r="B108" i="1"/>
  <c r="DB107" i="1"/>
  <c r="DA107" i="1"/>
  <c r="CZ107" i="1"/>
  <c r="CY107" i="1"/>
  <c r="CL107" i="1" a="1"/>
  <c r="CL107" i="1" s="1"/>
  <c r="CX107" i="1" s="1"/>
  <c r="BY107" i="1" a="1"/>
  <c r="BY107" i="1" s="1"/>
  <c r="CK107" i="1" s="1"/>
  <c r="BL107" i="1" a="1"/>
  <c r="BL107" i="1" s="1"/>
  <c r="BX107" i="1" s="1"/>
  <c r="BK107" i="1"/>
  <c r="BH107" i="1"/>
  <c r="BG107" i="1"/>
  <c r="BF107" i="1"/>
  <c r="BE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I107" i="1"/>
  <c r="C107" i="1"/>
  <c r="B107" i="1"/>
  <c r="DB106" i="1"/>
  <c r="DA106" i="1"/>
  <c r="CZ106" i="1"/>
  <c r="CY106" i="1"/>
  <c r="CL106" i="1" a="1"/>
  <c r="CL106" i="1" s="1"/>
  <c r="CX106" i="1" s="1"/>
  <c r="BY106" i="1" a="1"/>
  <c r="BY106" i="1" s="1"/>
  <c r="CK106" i="1" s="1"/>
  <c r="BL106" i="1" a="1"/>
  <c r="BL106" i="1" s="1"/>
  <c r="BX106" i="1" s="1"/>
  <c r="BK106" i="1"/>
  <c r="BH106" i="1"/>
  <c r="BG106" i="1"/>
  <c r="BF106" i="1"/>
  <c r="BE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I106" i="1"/>
  <c r="C106" i="1"/>
  <c r="B106" i="1"/>
  <c r="DB105" i="1"/>
  <c r="DA105" i="1"/>
  <c r="CZ105" i="1"/>
  <c r="CY105" i="1"/>
  <c r="CL105" i="1" a="1"/>
  <c r="CL105" i="1" s="1"/>
  <c r="CX105" i="1" s="1"/>
  <c r="BY105" i="1" a="1"/>
  <c r="BY105" i="1" s="1"/>
  <c r="CK105" i="1" s="1"/>
  <c r="BL105" i="1" a="1"/>
  <c r="BL105" i="1" s="1"/>
  <c r="BX105" i="1" s="1"/>
  <c r="BK105" i="1"/>
  <c r="BH105" i="1"/>
  <c r="BG105" i="1"/>
  <c r="BF105" i="1"/>
  <c r="BE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I105" i="1"/>
  <c r="C105" i="1"/>
  <c r="B105" i="1"/>
  <c r="DB104" i="1"/>
  <c r="DA104" i="1"/>
  <c r="CZ104" i="1"/>
  <c r="CY104" i="1"/>
  <c r="CL104" i="1" a="1"/>
  <c r="CL104" i="1" s="1"/>
  <c r="CX104" i="1" s="1"/>
  <c r="BY104" i="1" a="1"/>
  <c r="BY104" i="1" s="1"/>
  <c r="CK104" i="1" s="1"/>
  <c r="BL104" i="1" a="1"/>
  <c r="BL104" i="1" s="1"/>
  <c r="BX104" i="1" s="1"/>
  <c r="BK104" i="1"/>
  <c r="BH104" i="1"/>
  <c r="BG104" i="1"/>
  <c r="BF104" i="1"/>
  <c r="BE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I104" i="1"/>
  <c r="C104" i="1"/>
  <c r="B104" i="1"/>
  <c r="DB103" i="1"/>
  <c r="DA103" i="1"/>
  <c r="CZ103" i="1"/>
  <c r="CY103" i="1"/>
  <c r="CL103" i="1" a="1"/>
  <c r="CL103" i="1" s="1"/>
  <c r="CX103" i="1" s="1"/>
  <c r="BY103" i="1" a="1"/>
  <c r="BY103" i="1" s="1"/>
  <c r="CK103" i="1" s="1"/>
  <c r="BL103" i="1" a="1"/>
  <c r="BL103" i="1" s="1"/>
  <c r="BX103" i="1" s="1"/>
  <c r="BK103" i="1"/>
  <c r="BH103" i="1"/>
  <c r="BG103" i="1"/>
  <c r="BF103" i="1"/>
  <c r="BE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I103" i="1"/>
  <c r="C103" i="1"/>
  <c r="B103" i="1"/>
  <c r="DB102" i="1"/>
  <c r="DA102" i="1"/>
  <c r="CZ102" i="1"/>
  <c r="CY102" i="1"/>
  <c r="CL102" i="1" a="1"/>
  <c r="CL102" i="1" s="1"/>
  <c r="CX102" i="1" s="1"/>
  <c r="BY102" i="1" a="1"/>
  <c r="BY102" i="1" s="1"/>
  <c r="CK102" i="1" s="1"/>
  <c r="BL102" i="1" a="1"/>
  <c r="BL102" i="1" s="1"/>
  <c r="BX102" i="1" s="1"/>
  <c r="BK102" i="1"/>
  <c r="BH102" i="1"/>
  <c r="BG102" i="1"/>
  <c r="BF102" i="1"/>
  <c r="BE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I102" i="1"/>
  <c r="C102" i="1"/>
  <c r="B102" i="1"/>
  <c r="DB101" i="1"/>
  <c r="DA101" i="1"/>
  <c r="CZ101" i="1"/>
  <c r="CY101" i="1"/>
  <c r="CL101" i="1" a="1"/>
  <c r="CL101" i="1" s="1"/>
  <c r="CX101" i="1" s="1"/>
  <c r="BY101" i="1" a="1"/>
  <c r="BY101" i="1" s="1"/>
  <c r="CK101" i="1" s="1"/>
  <c r="BL101" i="1" a="1"/>
  <c r="BL101" i="1" s="1"/>
  <c r="BX101" i="1" s="1"/>
  <c r="BK101" i="1"/>
  <c r="BH101" i="1"/>
  <c r="BG101" i="1"/>
  <c r="BF101" i="1"/>
  <c r="BE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I101" i="1"/>
  <c r="C101" i="1"/>
  <c r="B101" i="1"/>
  <c r="DB100" i="1"/>
  <c r="DA100" i="1"/>
  <c r="CZ100" i="1"/>
  <c r="CY100" i="1"/>
  <c r="CL100" i="1" a="1"/>
  <c r="CL100" i="1" s="1"/>
  <c r="CX100" i="1" s="1"/>
  <c r="BY100" i="1" a="1"/>
  <c r="BY100" i="1" s="1"/>
  <c r="CK100" i="1" s="1"/>
  <c r="BL100" i="1" a="1"/>
  <c r="BL100" i="1" s="1"/>
  <c r="BX100" i="1" s="1"/>
  <c r="BK100" i="1"/>
  <c r="BH100" i="1"/>
  <c r="BG100" i="1"/>
  <c r="BF100" i="1"/>
  <c r="BE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I100" i="1"/>
  <c r="C100" i="1"/>
  <c r="B100" i="1"/>
  <c r="DB99" i="1"/>
  <c r="DA99" i="1"/>
  <c r="CZ99" i="1"/>
  <c r="CY99" i="1"/>
  <c r="CL99" i="1" a="1"/>
  <c r="CL99" i="1" s="1"/>
  <c r="CX99" i="1" s="1"/>
  <c r="BY99" i="1" a="1"/>
  <c r="BY99" i="1" s="1"/>
  <c r="CK99" i="1" s="1"/>
  <c r="BL99" i="1" a="1"/>
  <c r="BL99" i="1" s="1"/>
  <c r="BX99" i="1" s="1"/>
  <c r="BK99" i="1"/>
  <c r="BH99" i="1"/>
  <c r="BG99" i="1"/>
  <c r="BF99" i="1"/>
  <c r="BE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I99" i="1"/>
  <c r="C99" i="1"/>
  <c r="B99" i="1"/>
  <c r="DB98" i="1"/>
  <c r="DA98" i="1"/>
  <c r="CZ98" i="1"/>
  <c r="CY98" i="1"/>
  <c r="CL98" i="1" a="1"/>
  <c r="CL98" i="1" s="1"/>
  <c r="CX98" i="1" s="1"/>
  <c r="BY98" i="1" a="1"/>
  <c r="BY98" i="1" s="1"/>
  <c r="CK98" i="1" s="1"/>
  <c r="BL98" i="1" a="1"/>
  <c r="BL98" i="1" s="1"/>
  <c r="BX98" i="1" s="1"/>
  <c r="BK98" i="1"/>
  <c r="BH98" i="1"/>
  <c r="BG98" i="1"/>
  <c r="BF98" i="1"/>
  <c r="BE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I98" i="1"/>
  <c r="C98" i="1"/>
  <c r="B98" i="1"/>
  <c r="DB97" i="1"/>
  <c r="DA97" i="1"/>
  <c r="CZ97" i="1"/>
  <c r="CY97" i="1"/>
  <c r="CL97" i="1" a="1"/>
  <c r="CL97" i="1" s="1"/>
  <c r="CX97" i="1" s="1"/>
  <c r="BY97" i="1" a="1"/>
  <c r="BY97" i="1" s="1"/>
  <c r="CK97" i="1" s="1"/>
  <c r="BL97" i="1" a="1"/>
  <c r="BL97" i="1" s="1"/>
  <c r="BX97" i="1" s="1"/>
  <c r="BK97" i="1"/>
  <c r="BH97" i="1"/>
  <c r="BG97" i="1"/>
  <c r="BF97" i="1"/>
  <c r="BE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I97" i="1"/>
  <c r="C97" i="1"/>
  <c r="B97" i="1"/>
  <c r="DB96" i="1"/>
  <c r="DA96" i="1"/>
  <c r="CZ96" i="1"/>
  <c r="CY96" i="1"/>
  <c r="CL96" i="1" a="1"/>
  <c r="CL96" i="1" s="1"/>
  <c r="CX96" i="1" s="1"/>
  <c r="BY96" i="1" a="1"/>
  <c r="BY96" i="1" s="1"/>
  <c r="CK96" i="1" s="1"/>
  <c r="BL96" i="1" a="1"/>
  <c r="BL96" i="1" s="1"/>
  <c r="BX96" i="1" s="1"/>
  <c r="BK96" i="1"/>
  <c r="BH96" i="1"/>
  <c r="BG96" i="1"/>
  <c r="BF96" i="1"/>
  <c r="BE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I96" i="1"/>
  <c r="C96" i="1"/>
  <c r="B96" i="1"/>
  <c r="DB95" i="1"/>
  <c r="DA95" i="1"/>
  <c r="CZ95" i="1"/>
  <c r="CY95" i="1"/>
  <c r="CL95" i="1" a="1"/>
  <c r="CL95" i="1" s="1"/>
  <c r="CX95" i="1" s="1"/>
  <c r="BY95" i="1" a="1"/>
  <c r="BY95" i="1" s="1"/>
  <c r="CK95" i="1" s="1"/>
  <c r="BL95" i="1" a="1"/>
  <c r="BL95" i="1" s="1"/>
  <c r="BX95" i="1" s="1"/>
  <c r="BK95" i="1"/>
  <c r="BH95" i="1"/>
  <c r="BG95" i="1"/>
  <c r="BF95" i="1"/>
  <c r="BE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I95" i="1"/>
  <c r="C95" i="1"/>
  <c r="B95" i="1"/>
  <c r="DB94" i="1"/>
  <c r="DA94" i="1"/>
  <c r="CZ94" i="1"/>
  <c r="CY94" i="1"/>
  <c r="CL94" i="1" a="1"/>
  <c r="CL94" i="1" s="1"/>
  <c r="CX94" i="1" s="1"/>
  <c r="BY94" i="1" a="1"/>
  <c r="BY94" i="1" s="1"/>
  <c r="CK94" i="1" s="1"/>
  <c r="BL94" i="1" a="1"/>
  <c r="BL94" i="1" s="1"/>
  <c r="BX94" i="1" s="1"/>
  <c r="BK94" i="1"/>
  <c r="BH94" i="1"/>
  <c r="BG94" i="1"/>
  <c r="BF94" i="1"/>
  <c r="BE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I94" i="1"/>
  <c r="C94" i="1"/>
  <c r="B94" i="1"/>
  <c r="DB93" i="1"/>
  <c r="DA93" i="1"/>
  <c r="CZ93" i="1"/>
  <c r="CY93" i="1"/>
  <c r="CL93" i="1" a="1"/>
  <c r="CL93" i="1" s="1"/>
  <c r="CX93" i="1" s="1"/>
  <c r="BY93" i="1" a="1"/>
  <c r="BY93" i="1" s="1"/>
  <c r="CK93" i="1" s="1"/>
  <c r="BL93" i="1" a="1"/>
  <c r="BL93" i="1" s="1"/>
  <c r="BX93" i="1" s="1"/>
  <c r="BK93" i="1"/>
  <c r="BH93" i="1"/>
  <c r="BG93" i="1"/>
  <c r="BF93" i="1"/>
  <c r="BE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I93" i="1"/>
  <c r="C93" i="1"/>
  <c r="B93" i="1"/>
  <c r="DB92" i="1"/>
  <c r="DA92" i="1"/>
  <c r="CZ92" i="1"/>
  <c r="CY92" i="1"/>
  <c r="CL92" i="1" a="1"/>
  <c r="CL92" i="1" s="1"/>
  <c r="CX92" i="1" s="1"/>
  <c r="BY92" i="1" a="1"/>
  <c r="BY92" i="1" s="1"/>
  <c r="CK92" i="1" s="1"/>
  <c r="BL92" i="1" a="1"/>
  <c r="BL92" i="1" s="1"/>
  <c r="BX92" i="1" s="1"/>
  <c r="BK92" i="1"/>
  <c r="BH92" i="1"/>
  <c r="BG92" i="1"/>
  <c r="BF92" i="1"/>
  <c r="BE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I92" i="1"/>
  <c r="C92" i="1"/>
  <c r="B92" i="1"/>
  <c r="DB91" i="1"/>
  <c r="DA91" i="1"/>
  <c r="CZ91" i="1"/>
  <c r="CY91" i="1"/>
  <c r="CL91" i="1" a="1"/>
  <c r="CL91" i="1" s="1"/>
  <c r="CX91" i="1" s="1"/>
  <c r="BY91" i="1" a="1"/>
  <c r="BY91" i="1" s="1"/>
  <c r="CK91" i="1" s="1"/>
  <c r="BL91" i="1" a="1"/>
  <c r="BL91" i="1" s="1"/>
  <c r="BX91" i="1" s="1"/>
  <c r="BK91" i="1"/>
  <c r="BH91" i="1"/>
  <c r="BG91" i="1"/>
  <c r="BF91" i="1"/>
  <c r="BE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I91" i="1"/>
  <c r="C91" i="1"/>
  <c r="B91" i="1"/>
  <c r="DB90" i="1"/>
  <c r="DA90" i="1"/>
  <c r="CZ90" i="1"/>
  <c r="CY90" i="1"/>
  <c r="CL90" i="1" a="1"/>
  <c r="CL90" i="1" s="1"/>
  <c r="CX90" i="1" s="1"/>
  <c r="BY90" i="1" a="1"/>
  <c r="BY90" i="1" s="1"/>
  <c r="CK90" i="1" s="1"/>
  <c r="BL90" i="1" a="1"/>
  <c r="BL90" i="1" s="1"/>
  <c r="BX90" i="1" s="1"/>
  <c r="BK90" i="1"/>
  <c r="BH90" i="1"/>
  <c r="BG90" i="1"/>
  <c r="BF90" i="1"/>
  <c r="BE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I90" i="1"/>
  <c r="C90" i="1"/>
  <c r="B90" i="1"/>
  <c r="DB89" i="1"/>
  <c r="DA89" i="1"/>
  <c r="CZ89" i="1"/>
  <c r="CY89" i="1"/>
  <c r="CL89" i="1" a="1"/>
  <c r="CL89" i="1" s="1"/>
  <c r="CX89" i="1" s="1"/>
  <c r="BY89" i="1" a="1"/>
  <c r="BY89" i="1" s="1"/>
  <c r="CK89" i="1" s="1"/>
  <c r="BL89" i="1" a="1"/>
  <c r="BL89" i="1" s="1"/>
  <c r="BX89" i="1" s="1"/>
  <c r="BK89" i="1"/>
  <c r="BH89" i="1"/>
  <c r="BG89" i="1"/>
  <c r="BF89" i="1"/>
  <c r="BE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I89" i="1"/>
  <c r="C89" i="1"/>
  <c r="B89" i="1"/>
  <c r="DB88" i="1"/>
  <c r="DA88" i="1"/>
  <c r="CZ88" i="1"/>
  <c r="CY88" i="1"/>
  <c r="CL88" i="1" a="1"/>
  <c r="CL88" i="1" s="1"/>
  <c r="CX88" i="1" s="1"/>
  <c r="BY88" i="1" a="1"/>
  <c r="BY88" i="1" s="1"/>
  <c r="CK88" i="1" s="1"/>
  <c r="BL88" i="1" a="1"/>
  <c r="BL88" i="1" s="1"/>
  <c r="BX88" i="1" s="1"/>
  <c r="BK88" i="1"/>
  <c r="BH88" i="1"/>
  <c r="BG88" i="1"/>
  <c r="BF88" i="1"/>
  <c r="BE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I88" i="1"/>
  <c r="C88" i="1"/>
  <c r="B88" i="1"/>
  <c r="DB87" i="1"/>
  <c r="DA87" i="1"/>
  <c r="CZ87" i="1"/>
  <c r="CY87" i="1"/>
  <c r="CL87" i="1" a="1"/>
  <c r="CL87" i="1" s="1"/>
  <c r="CX87" i="1" s="1"/>
  <c r="BY87" i="1" a="1"/>
  <c r="BY87" i="1" s="1"/>
  <c r="CK87" i="1" s="1"/>
  <c r="BL87" i="1" a="1"/>
  <c r="BL87" i="1" s="1"/>
  <c r="BX87" i="1" s="1"/>
  <c r="BK87" i="1"/>
  <c r="BH87" i="1"/>
  <c r="BG87" i="1"/>
  <c r="BF87" i="1"/>
  <c r="BE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I87" i="1"/>
  <c r="C87" i="1"/>
  <c r="B87" i="1"/>
  <c r="DB86" i="1"/>
  <c r="DA86" i="1"/>
  <c r="CZ86" i="1"/>
  <c r="CY86" i="1"/>
  <c r="CL86" i="1" a="1"/>
  <c r="CL86" i="1" s="1"/>
  <c r="CX86" i="1" s="1"/>
  <c r="BY86" i="1" a="1"/>
  <c r="BY86" i="1" s="1"/>
  <c r="CK86" i="1" s="1"/>
  <c r="BL86" i="1" a="1"/>
  <c r="BL86" i="1" s="1"/>
  <c r="BX86" i="1" s="1"/>
  <c r="BK86" i="1"/>
  <c r="BH86" i="1"/>
  <c r="BG86" i="1"/>
  <c r="BF86" i="1"/>
  <c r="BE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I86" i="1"/>
  <c r="C86" i="1"/>
  <c r="B86" i="1"/>
  <c r="DB85" i="1"/>
  <c r="DA85" i="1"/>
  <c r="CZ85" i="1"/>
  <c r="CY85" i="1"/>
  <c r="CL85" i="1" a="1"/>
  <c r="CL85" i="1" s="1"/>
  <c r="CX85" i="1" s="1"/>
  <c r="BY85" i="1" a="1"/>
  <c r="BY85" i="1" s="1"/>
  <c r="CK85" i="1" s="1"/>
  <c r="BL85" i="1" a="1"/>
  <c r="BL85" i="1" s="1"/>
  <c r="BX85" i="1" s="1"/>
  <c r="BK85" i="1"/>
  <c r="BH85" i="1"/>
  <c r="BG85" i="1"/>
  <c r="BF85" i="1"/>
  <c r="BE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I85" i="1"/>
  <c r="C85" i="1"/>
  <c r="B85" i="1"/>
  <c r="DB84" i="1"/>
  <c r="DA84" i="1"/>
  <c r="CZ84" i="1"/>
  <c r="CY84" i="1"/>
  <c r="CL84" i="1" a="1"/>
  <c r="CL84" i="1" s="1"/>
  <c r="CX84" i="1" s="1"/>
  <c r="BY84" i="1" a="1"/>
  <c r="BY84" i="1" s="1"/>
  <c r="CK84" i="1" s="1"/>
  <c r="BL84" i="1" a="1"/>
  <c r="BL84" i="1" s="1"/>
  <c r="BX84" i="1" s="1"/>
  <c r="BK84" i="1"/>
  <c r="BH84" i="1"/>
  <c r="BG84" i="1"/>
  <c r="BF84" i="1"/>
  <c r="BE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I84" i="1"/>
  <c r="C84" i="1"/>
  <c r="B84" i="1"/>
  <c r="DB83" i="1"/>
  <c r="DA83" i="1"/>
  <c r="CZ83" i="1"/>
  <c r="CY83" i="1"/>
  <c r="CL83" i="1" a="1"/>
  <c r="CL83" i="1" s="1"/>
  <c r="CX83" i="1" s="1"/>
  <c r="BY83" i="1" a="1"/>
  <c r="BY83" i="1" s="1"/>
  <c r="CK83" i="1" s="1"/>
  <c r="BL83" i="1" a="1"/>
  <c r="BL83" i="1" s="1"/>
  <c r="BX83" i="1" s="1"/>
  <c r="BK83" i="1"/>
  <c r="BH83" i="1"/>
  <c r="BG83" i="1"/>
  <c r="BF83" i="1"/>
  <c r="BE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I83" i="1"/>
  <c r="C83" i="1"/>
  <c r="B83" i="1"/>
  <c r="DB82" i="1"/>
  <c r="DA82" i="1"/>
  <c r="CZ82" i="1"/>
  <c r="CY82" i="1"/>
  <c r="CL82" i="1" a="1"/>
  <c r="CL82" i="1" s="1"/>
  <c r="CX82" i="1" s="1"/>
  <c r="BY82" i="1" a="1"/>
  <c r="BY82" i="1" s="1"/>
  <c r="CK82" i="1" s="1"/>
  <c r="BL82" i="1" a="1"/>
  <c r="BL82" i="1" s="1"/>
  <c r="BX82" i="1" s="1"/>
  <c r="BK82" i="1"/>
  <c r="BH82" i="1"/>
  <c r="BG82" i="1"/>
  <c r="BF82" i="1"/>
  <c r="BE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I82" i="1"/>
  <c r="C82" i="1"/>
  <c r="B82" i="1"/>
  <c r="DB81" i="1"/>
  <c r="DA81" i="1"/>
  <c r="CZ81" i="1"/>
  <c r="CY81" i="1"/>
  <c r="CL81" i="1" a="1"/>
  <c r="CL81" i="1" s="1"/>
  <c r="CX81" i="1" s="1"/>
  <c r="BY81" i="1" a="1"/>
  <c r="BY81" i="1" s="1"/>
  <c r="CK81" i="1" s="1"/>
  <c r="BL81" i="1" a="1"/>
  <c r="BL81" i="1" s="1"/>
  <c r="BX81" i="1" s="1"/>
  <c r="BK81" i="1"/>
  <c r="BH81" i="1"/>
  <c r="BG81" i="1"/>
  <c r="BF81" i="1"/>
  <c r="BE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I81" i="1"/>
  <c r="C81" i="1"/>
  <c r="B81" i="1"/>
  <c r="DB80" i="1"/>
  <c r="DA80" i="1"/>
  <c r="CZ80" i="1"/>
  <c r="CY80" i="1"/>
  <c r="CL80" i="1" a="1"/>
  <c r="CL80" i="1" s="1"/>
  <c r="CX80" i="1" s="1"/>
  <c r="BY80" i="1" a="1"/>
  <c r="BY80" i="1" s="1"/>
  <c r="CK80" i="1" s="1"/>
  <c r="BL80" i="1" a="1"/>
  <c r="BL80" i="1" s="1"/>
  <c r="BX80" i="1" s="1"/>
  <c r="BK80" i="1"/>
  <c r="BH80" i="1"/>
  <c r="BG80" i="1"/>
  <c r="BF80" i="1"/>
  <c r="BE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I80" i="1"/>
  <c r="C80" i="1"/>
  <c r="B80" i="1"/>
  <c r="DB79" i="1"/>
  <c r="DA79" i="1"/>
  <c r="CZ79" i="1"/>
  <c r="CY79" i="1"/>
  <c r="CL79" i="1" a="1"/>
  <c r="CL79" i="1" s="1"/>
  <c r="CX79" i="1" s="1"/>
  <c r="BY79" i="1" a="1"/>
  <c r="BY79" i="1" s="1"/>
  <c r="CK79" i="1" s="1"/>
  <c r="BL79" i="1" a="1"/>
  <c r="BL79" i="1" s="1"/>
  <c r="BX79" i="1" s="1"/>
  <c r="BK79" i="1"/>
  <c r="BH79" i="1"/>
  <c r="BG79" i="1"/>
  <c r="BF79" i="1"/>
  <c r="BE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I79" i="1"/>
  <c r="C79" i="1"/>
  <c r="B79" i="1"/>
  <c r="DB78" i="1"/>
  <c r="DA78" i="1"/>
  <c r="CZ78" i="1"/>
  <c r="CY78" i="1"/>
  <c r="CL78" i="1" a="1"/>
  <c r="CL78" i="1" s="1"/>
  <c r="CX78" i="1" s="1"/>
  <c r="BY78" i="1" a="1"/>
  <c r="BY78" i="1" s="1"/>
  <c r="CK78" i="1" s="1"/>
  <c r="BL78" i="1" a="1"/>
  <c r="BL78" i="1" s="1"/>
  <c r="BX78" i="1" s="1"/>
  <c r="BK78" i="1"/>
  <c r="BH78" i="1"/>
  <c r="BG78" i="1"/>
  <c r="BF78" i="1"/>
  <c r="BE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I78" i="1"/>
  <c r="C78" i="1"/>
  <c r="B78" i="1"/>
  <c r="DB77" i="1"/>
  <c r="DA77" i="1"/>
  <c r="CZ77" i="1"/>
  <c r="CY77" i="1"/>
  <c r="CL77" i="1" a="1"/>
  <c r="CL77" i="1" s="1"/>
  <c r="CX77" i="1" s="1"/>
  <c r="BY77" i="1" a="1"/>
  <c r="BY77" i="1" s="1"/>
  <c r="CK77" i="1" s="1"/>
  <c r="BL77" i="1" a="1"/>
  <c r="BL77" i="1" s="1"/>
  <c r="BX77" i="1" s="1"/>
  <c r="BK77" i="1"/>
  <c r="BH77" i="1"/>
  <c r="BG77" i="1"/>
  <c r="BF77" i="1"/>
  <c r="BE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I77" i="1"/>
  <c r="C77" i="1"/>
  <c r="B77" i="1"/>
  <c r="DB76" i="1"/>
  <c r="DA76" i="1"/>
  <c r="CZ76" i="1"/>
  <c r="CY76" i="1"/>
  <c r="CL76" i="1" a="1"/>
  <c r="CL76" i="1" s="1"/>
  <c r="CX76" i="1" s="1"/>
  <c r="BY76" i="1" a="1"/>
  <c r="BY76" i="1" s="1"/>
  <c r="CK76" i="1" s="1"/>
  <c r="BL76" i="1" a="1"/>
  <c r="BL76" i="1" s="1"/>
  <c r="BX76" i="1" s="1"/>
  <c r="BK76" i="1"/>
  <c r="BH76" i="1"/>
  <c r="BG76" i="1"/>
  <c r="BF76" i="1"/>
  <c r="BE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I76" i="1"/>
  <c r="C76" i="1"/>
  <c r="B76" i="1"/>
  <c r="DB75" i="1"/>
  <c r="DA75" i="1"/>
  <c r="CZ75" i="1"/>
  <c r="CY75" i="1"/>
  <c r="CL75" i="1" a="1"/>
  <c r="CL75" i="1" s="1"/>
  <c r="CX75" i="1" s="1"/>
  <c r="BY75" i="1" a="1"/>
  <c r="BY75" i="1" s="1"/>
  <c r="CK75" i="1" s="1"/>
  <c r="BL75" i="1" a="1"/>
  <c r="BL75" i="1" s="1"/>
  <c r="BX75" i="1" s="1"/>
  <c r="BK75" i="1"/>
  <c r="BH75" i="1"/>
  <c r="BG75" i="1"/>
  <c r="BF75" i="1"/>
  <c r="BE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I75" i="1"/>
  <c r="C75" i="1"/>
  <c r="B75" i="1"/>
  <c r="DB74" i="1"/>
  <c r="DA74" i="1"/>
  <c r="CZ74" i="1"/>
  <c r="CY74" i="1"/>
  <c r="CL74" i="1" a="1"/>
  <c r="CL74" i="1" s="1"/>
  <c r="CX74" i="1" s="1"/>
  <c r="BY74" i="1" a="1"/>
  <c r="BY74" i="1" s="1"/>
  <c r="CK74" i="1" s="1"/>
  <c r="BL74" i="1" a="1"/>
  <c r="BL74" i="1" s="1"/>
  <c r="BX74" i="1" s="1"/>
  <c r="BK74" i="1"/>
  <c r="BH74" i="1"/>
  <c r="BG74" i="1"/>
  <c r="BF74" i="1"/>
  <c r="BE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I74" i="1"/>
  <c r="C74" i="1"/>
  <c r="B74" i="1"/>
  <c r="DB73" i="1"/>
  <c r="DA73" i="1"/>
  <c r="CZ73" i="1"/>
  <c r="CY73" i="1"/>
  <c r="CL73" i="1" a="1"/>
  <c r="CL73" i="1" s="1"/>
  <c r="CX73" i="1" s="1"/>
  <c r="BY73" i="1" a="1"/>
  <c r="BY73" i="1" s="1"/>
  <c r="CK73" i="1" s="1"/>
  <c r="BL73" i="1" a="1"/>
  <c r="BL73" i="1" s="1"/>
  <c r="BX73" i="1" s="1"/>
  <c r="BK73" i="1"/>
  <c r="BH73" i="1"/>
  <c r="BG73" i="1"/>
  <c r="BF73" i="1"/>
  <c r="BE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I73" i="1"/>
  <c r="C73" i="1"/>
  <c r="B73" i="1"/>
  <c r="DB72" i="1"/>
  <c r="DA72" i="1"/>
  <c r="CZ72" i="1"/>
  <c r="CY72" i="1"/>
  <c r="CL72" i="1" a="1"/>
  <c r="CL72" i="1" s="1"/>
  <c r="CX72" i="1" s="1"/>
  <c r="BY72" i="1" a="1"/>
  <c r="BY72" i="1" s="1"/>
  <c r="CK72" i="1" s="1"/>
  <c r="BL72" i="1" a="1"/>
  <c r="BL72" i="1" s="1"/>
  <c r="BX72" i="1" s="1"/>
  <c r="BK72" i="1"/>
  <c r="BH72" i="1"/>
  <c r="BG72" i="1"/>
  <c r="BF72" i="1"/>
  <c r="BE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I72" i="1"/>
  <c r="C72" i="1"/>
  <c r="B72" i="1"/>
  <c r="DB71" i="1"/>
  <c r="DA71" i="1"/>
  <c r="CZ71" i="1"/>
  <c r="CY71" i="1"/>
  <c r="CL71" i="1" a="1"/>
  <c r="CL71" i="1" s="1"/>
  <c r="CX71" i="1" s="1"/>
  <c r="BY71" i="1" a="1"/>
  <c r="BY71" i="1" s="1"/>
  <c r="CK71" i="1" s="1"/>
  <c r="BL71" i="1" a="1"/>
  <c r="BL71" i="1" s="1"/>
  <c r="BX71" i="1" s="1"/>
  <c r="BK71" i="1"/>
  <c r="BH71" i="1"/>
  <c r="BG71" i="1"/>
  <c r="BF71" i="1"/>
  <c r="BE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I71" i="1"/>
  <c r="C71" i="1"/>
  <c r="B71" i="1"/>
  <c r="DB70" i="1"/>
  <c r="DA70" i="1"/>
  <c r="CZ70" i="1"/>
  <c r="CY70" i="1"/>
  <c r="CL70" i="1" a="1"/>
  <c r="CL70" i="1" s="1"/>
  <c r="CX70" i="1" s="1"/>
  <c r="BY70" i="1" a="1"/>
  <c r="BY70" i="1" s="1"/>
  <c r="CK70" i="1" s="1"/>
  <c r="BL70" i="1" a="1"/>
  <c r="BL70" i="1" s="1"/>
  <c r="BX70" i="1" s="1"/>
  <c r="BK70" i="1"/>
  <c r="BH70" i="1"/>
  <c r="BG70" i="1"/>
  <c r="BF70" i="1"/>
  <c r="BE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I70" i="1"/>
  <c r="C70" i="1"/>
  <c r="B70" i="1"/>
  <c r="DB69" i="1"/>
  <c r="DA69" i="1"/>
  <c r="CZ69" i="1"/>
  <c r="CY69" i="1"/>
  <c r="CL69" i="1" a="1"/>
  <c r="CL69" i="1" s="1"/>
  <c r="CX69" i="1" s="1"/>
  <c r="BY69" i="1" a="1"/>
  <c r="BY69" i="1" s="1"/>
  <c r="CK69" i="1" s="1"/>
  <c r="BL69" i="1" a="1"/>
  <c r="BL69" i="1" s="1"/>
  <c r="BX69" i="1" s="1"/>
  <c r="BK69" i="1"/>
  <c r="BH69" i="1"/>
  <c r="BG69" i="1"/>
  <c r="BF69" i="1"/>
  <c r="BE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I69" i="1"/>
  <c r="C69" i="1"/>
  <c r="B69" i="1"/>
  <c r="DB68" i="1"/>
  <c r="DA68" i="1"/>
  <c r="CZ68" i="1"/>
  <c r="CY68" i="1"/>
  <c r="CL68" i="1" a="1"/>
  <c r="CL68" i="1" s="1"/>
  <c r="CX68" i="1" s="1"/>
  <c r="BY68" i="1" a="1"/>
  <c r="BY68" i="1" s="1"/>
  <c r="CK68" i="1" s="1"/>
  <c r="BL68" i="1" a="1"/>
  <c r="BL68" i="1" s="1"/>
  <c r="BX68" i="1" s="1"/>
  <c r="BK68" i="1"/>
  <c r="BH68" i="1"/>
  <c r="BG68" i="1"/>
  <c r="BF68" i="1"/>
  <c r="BE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I68" i="1"/>
  <c r="C68" i="1"/>
  <c r="B68" i="1"/>
  <c r="DB67" i="1"/>
  <c r="DA67" i="1"/>
  <c r="CZ67" i="1"/>
  <c r="CY67" i="1"/>
  <c r="CL67" i="1" a="1"/>
  <c r="CL67" i="1" s="1"/>
  <c r="CX67" i="1" s="1"/>
  <c r="BY67" i="1" a="1"/>
  <c r="BY67" i="1" s="1"/>
  <c r="CK67" i="1" s="1"/>
  <c r="BL67" i="1" a="1"/>
  <c r="BL67" i="1" s="1"/>
  <c r="BX67" i="1" s="1"/>
  <c r="BK67" i="1"/>
  <c r="BH67" i="1"/>
  <c r="BG67" i="1"/>
  <c r="BF67" i="1"/>
  <c r="BE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I67" i="1"/>
  <c r="C67" i="1"/>
  <c r="B67" i="1"/>
  <c r="DB66" i="1"/>
  <c r="DA66" i="1"/>
  <c r="CZ66" i="1"/>
  <c r="CY66" i="1"/>
  <c r="CL66" i="1" a="1"/>
  <c r="CL66" i="1" s="1"/>
  <c r="CX66" i="1" s="1"/>
  <c r="BY66" i="1" a="1"/>
  <c r="BY66" i="1" s="1"/>
  <c r="CK66" i="1" s="1"/>
  <c r="BL66" i="1" a="1"/>
  <c r="BL66" i="1" s="1"/>
  <c r="BX66" i="1" s="1"/>
  <c r="BK66" i="1"/>
  <c r="BH66" i="1"/>
  <c r="BG66" i="1"/>
  <c r="BF66" i="1"/>
  <c r="BE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I66" i="1"/>
  <c r="C66" i="1"/>
  <c r="B66" i="1"/>
  <c r="DB65" i="1"/>
  <c r="DA65" i="1"/>
  <c r="CZ65" i="1"/>
  <c r="CY65" i="1"/>
  <c r="CL65" i="1" a="1"/>
  <c r="CL65" i="1" s="1"/>
  <c r="CX65" i="1" s="1"/>
  <c r="BY65" i="1" a="1"/>
  <c r="BY65" i="1" s="1"/>
  <c r="CK65" i="1" s="1"/>
  <c r="BL65" i="1" a="1"/>
  <c r="BL65" i="1" s="1"/>
  <c r="BX65" i="1" s="1"/>
  <c r="BK65" i="1"/>
  <c r="BH65" i="1"/>
  <c r="BG65" i="1"/>
  <c r="BF65" i="1"/>
  <c r="BE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I65" i="1"/>
  <c r="C65" i="1"/>
  <c r="B65" i="1"/>
  <c r="DB64" i="1"/>
  <c r="DA64" i="1"/>
  <c r="CZ64" i="1"/>
  <c r="CY64" i="1"/>
  <c r="CL64" i="1" a="1"/>
  <c r="CL64" i="1" s="1"/>
  <c r="CX64" i="1" s="1"/>
  <c r="BY64" i="1" a="1"/>
  <c r="BY64" i="1" s="1"/>
  <c r="CK64" i="1" s="1"/>
  <c r="BL64" i="1" a="1"/>
  <c r="BL64" i="1" s="1"/>
  <c r="BX64" i="1" s="1"/>
  <c r="BK64" i="1"/>
  <c r="BH64" i="1"/>
  <c r="BG64" i="1"/>
  <c r="BF64" i="1"/>
  <c r="BE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I64" i="1"/>
  <c r="C64" i="1"/>
  <c r="B64" i="1"/>
  <c r="DB63" i="1"/>
  <c r="DA63" i="1"/>
  <c r="CZ63" i="1"/>
  <c r="CY63" i="1"/>
  <c r="CL63" i="1" a="1"/>
  <c r="CL63" i="1" s="1"/>
  <c r="CX63" i="1" s="1"/>
  <c r="BY63" i="1" a="1"/>
  <c r="BY63" i="1" s="1"/>
  <c r="CK63" i="1" s="1"/>
  <c r="BL63" i="1" a="1"/>
  <c r="BL63" i="1" s="1"/>
  <c r="BX63" i="1" s="1"/>
  <c r="BK63" i="1"/>
  <c r="BH63" i="1"/>
  <c r="BG63" i="1"/>
  <c r="BF63" i="1"/>
  <c r="BE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I63" i="1"/>
  <c r="C63" i="1"/>
  <c r="B63" i="1"/>
  <c r="DB62" i="1"/>
  <c r="DA62" i="1"/>
  <c r="CZ62" i="1"/>
  <c r="CY62" i="1"/>
  <c r="CL62" i="1" a="1"/>
  <c r="CL62" i="1" s="1"/>
  <c r="CX62" i="1" s="1"/>
  <c r="BY62" i="1" a="1"/>
  <c r="BY62" i="1" s="1"/>
  <c r="CK62" i="1" s="1"/>
  <c r="BL62" i="1" a="1"/>
  <c r="BL62" i="1" s="1"/>
  <c r="BX62" i="1" s="1"/>
  <c r="BK62" i="1"/>
  <c r="BH62" i="1"/>
  <c r="BG62" i="1"/>
  <c r="BF62" i="1"/>
  <c r="BE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I62" i="1"/>
  <c r="C62" i="1"/>
  <c r="B62" i="1"/>
  <c r="DB61" i="1"/>
  <c r="DA61" i="1"/>
  <c r="CZ61" i="1"/>
  <c r="CY61" i="1"/>
  <c r="CL61" i="1" a="1"/>
  <c r="CL61" i="1" s="1"/>
  <c r="CX61" i="1" s="1"/>
  <c r="BY61" i="1" a="1"/>
  <c r="BY61" i="1" s="1"/>
  <c r="CK61" i="1" s="1"/>
  <c r="BL61" i="1" a="1"/>
  <c r="BL61" i="1" s="1"/>
  <c r="BX61" i="1" s="1"/>
  <c r="BK61" i="1"/>
  <c r="BH61" i="1"/>
  <c r="BG61" i="1"/>
  <c r="BF61" i="1"/>
  <c r="BE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I61" i="1"/>
  <c r="C61" i="1"/>
  <c r="B61" i="1"/>
  <c r="DB60" i="1"/>
  <c r="DA60" i="1"/>
  <c r="CZ60" i="1"/>
  <c r="CY60" i="1"/>
  <c r="CL60" i="1" a="1"/>
  <c r="CL60" i="1" s="1"/>
  <c r="CX60" i="1" s="1"/>
  <c r="BY60" i="1" a="1"/>
  <c r="BY60" i="1" s="1"/>
  <c r="CK60" i="1" s="1"/>
  <c r="BL60" i="1" a="1"/>
  <c r="BL60" i="1" s="1"/>
  <c r="BX60" i="1" s="1"/>
  <c r="BK60" i="1"/>
  <c r="BH60" i="1"/>
  <c r="BG60" i="1"/>
  <c r="BF60" i="1"/>
  <c r="BE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I60" i="1"/>
  <c r="C60" i="1"/>
  <c r="B60" i="1"/>
  <c r="DA59" i="1"/>
  <c r="CZ59" i="1"/>
  <c r="CY59" i="1"/>
  <c r="CL59" i="1" a="1"/>
  <c r="CL59" i="1" s="1"/>
  <c r="CX59" i="1" s="1"/>
  <c r="BY59" i="1" a="1"/>
  <c r="BY59" i="1" s="1"/>
  <c r="CK59" i="1" s="1"/>
  <c r="BL59" i="1" a="1"/>
  <c r="BL59" i="1" s="1"/>
  <c r="BX59" i="1" s="1"/>
  <c r="BK59" i="1"/>
  <c r="BH59" i="1"/>
  <c r="BG59" i="1"/>
  <c r="BF59" i="1"/>
  <c r="BE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I59" i="1"/>
  <c r="C59" i="1"/>
  <c r="B59" i="1"/>
  <c r="DA58" i="1"/>
  <c r="CZ58" i="1"/>
  <c r="CY58" i="1"/>
  <c r="CL58" i="1" a="1"/>
  <c r="CL58" i="1" s="1"/>
  <c r="CX58" i="1" s="1"/>
  <c r="BY58" i="1" a="1"/>
  <c r="BY58" i="1" s="1"/>
  <c r="CK58" i="1" s="1"/>
  <c r="BL58" i="1" a="1"/>
  <c r="BL58" i="1" s="1"/>
  <c r="BX58" i="1" s="1"/>
  <c r="BK58" i="1"/>
  <c r="BH58" i="1"/>
  <c r="BG58" i="1"/>
  <c r="BF58" i="1"/>
  <c r="BE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I58" i="1"/>
  <c r="C58" i="1"/>
  <c r="B58" i="1"/>
  <c r="DA57" i="1"/>
  <c r="CZ57" i="1"/>
  <c r="CY57" i="1"/>
  <c r="CL57" i="1" a="1"/>
  <c r="CL57" i="1" s="1"/>
  <c r="CX57" i="1" s="1"/>
  <c r="BY57" i="1" a="1"/>
  <c r="BY57" i="1" s="1"/>
  <c r="CK57" i="1" s="1"/>
  <c r="BL57" i="1" a="1"/>
  <c r="BL57" i="1" s="1"/>
  <c r="BX57" i="1" s="1"/>
  <c r="BK57" i="1"/>
  <c r="BH57" i="1"/>
  <c r="BG57" i="1"/>
  <c r="BF57" i="1"/>
  <c r="BE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I57" i="1"/>
  <c r="C57" i="1"/>
  <c r="B57" i="1"/>
  <c r="F57" i="1" s="1"/>
  <c r="DA56" i="1"/>
  <c r="CZ56" i="1"/>
  <c r="CY56" i="1"/>
  <c r="CL56" i="1" a="1"/>
  <c r="CL56" i="1" s="1"/>
  <c r="CX56" i="1" s="1"/>
  <c r="BY56" i="1" a="1"/>
  <c r="BY56" i="1" s="1"/>
  <c r="CK56" i="1" s="1"/>
  <c r="BL56" i="1" a="1"/>
  <c r="BL56" i="1" s="1"/>
  <c r="BX56" i="1" s="1"/>
  <c r="BK56" i="1"/>
  <c r="BH56" i="1"/>
  <c r="BG56" i="1"/>
  <c r="BF56" i="1"/>
  <c r="BE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I56" i="1"/>
  <c r="C56" i="1"/>
  <c r="B56" i="1"/>
  <c r="DA55" i="1"/>
  <c r="CZ55" i="1"/>
  <c r="CY55" i="1"/>
  <c r="CL55" i="1" a="1"/>
  <c r="CL55" i="1" s="1"/>
  <c r="CX55" i="1" s="1"/>
  <c r="BY55" i="1" a="1"/>
  <c r="BY55" i="1" s="1"/>
  <c r="CK55" i="1" s="1"/>
  <c r="BL55" i="1" a="1"/>
  <c r="BL55" i="1" s="1"/>
  <c r="BX55" i="1" s="1"/>
  <c r="BK55" i="1"/>
  <c r="BH55" i="1"/>
  <c r="BG55" i="1"/>
  <c r="BF55" i="1"/>
  <c r="BE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I55" i="1"/>
  <c r="C55" i="1"/>
  <c r="B55" i="1"/>
  <c r="DA54" i="1"/>
  <c r="CZ54" i="1"/>
  <c r="CY54" i="1"/>
  <c r="CL54" i="1" a="1"/>
  <c r="CL54" i="1" s="1"/>
  <c r="CX54" i="1" s="1"/>
  <c r="BY54" i="1" a="1"/>
  <c r="BY54" i="1" s="1"/>
  <c r="CK54" i="1" s="1"/>
  <c r="BL54" i="1" a="1"/>
  <c r="BL54" i="1" s="1"/>
  <c r="BX54" i="1" s="1"/>
  <c r="BK54" i="1"/>
  <c r="BH54" i="1"/>
  <c r="BG54" i="1"/>
  <c r="BF54" i="1"/>
  <c r="BE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I54" i="1"/>
  <c r="C54" i="1"/>
  <c r="B54" i="1"/>
  <c r="DA53" i="1"/>
  <c r="CZ53" i="1"/>
  <c r="CY53" i="1"/>
  <c r="CL53" i="1" a="1"/>
  <c r="CL53" i="1" s="1"/>
  <c r="CX53" i="1" s="1"/>
  <c r="BY53" i="1" a="1"/>
  <c r="BY53" i="1" s="1"/>
  <c r="CK53" i="1" s="1"/>
  <c r="BL53" i="1" a="1"/>
  <c r="BL53" i="1" s="1"/>
  <c r="BX53" i="1" s="1"/>
  <c r="BK53" i="1"/>
  <c r="BH53" i="1"/>
  <c r="BG53" i="1"/>
  <c r="BF53" i="1"/>
  <c r="BE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I53" i="1"/>
  <c r="C53" i="1"/>
  <c r="B53" i="1"/>
  <c r="DA52" i="1"/>
  <c r="CZ52" i="1"/>
  <c r="CY52" i="1"/>
  <c r="CL52" i="1" a="1"/>
  <c r="CL52" i="1" s="1"/>
  <c r="CX52" i="1" s="1"/>
  <c r="BY52" i="1" a="1"/>
  <c r="BY52" i="1" s="1"/>
  <c r="CK52" i="1" s="1"/>
  <c r="BL52" i="1" a="1"/>
  <c r="BL52" i="1" s="1"/>
  <c r="BX52" i="1" s="1"/>
  <c r="BK52" i="1"/>
  <c r="BH52" i="1"/>
  <c r="BG52" i="1"/>
  <c r="BF52" i="1"/>
  <c r="BE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I52" i="1"/>
  <c r="C52" i="1"/>
  <c r="B52" i="1"/>
  <c r="DA51" i="1"/>
  <c r="CZ51" i="1"/>
  <c r="CY51" i="1"/>
  <c r="CL51" i="1" a="1"/>
  <c r="CL51" i="1" s="1"/>
  <c r="CX51" i="1" s="1"/>
  <c r="BY51" i="1" a="1"/>
  <c r="BY51" i="1" s="1"/>
  <c r="CK51" i="1" s="1"/>
  <c r="BL51" i="1" a="1"/>
  <c r="BL51" i="1" s="1"/>
  <c r="BX51" i="1" s="1"/>
  <c r="BK51" i="1"/>
  <c r="BH51" i="1"/>
  <c r="BG51" i="1"/>
  <c r="BF51" i="1"/>
  <c r="BE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I51" i="1"/>
  <c r="C51" i="1"/>
  <c r="B51" i="1"/>
  <c r="DA50" i="1"/>
  <c r="CZ50" i="1"/>
  <c r="CY50" i="1"/>
  <c r="CL50" i="1" a="1"/>
  <c r="CL50" i="1" s="1"/>
  <c r="CX50" i="1" s="1"/>
  <c r="BY50" i="1" a="1"/>
  <c r="BY50" i="1" s="1"/>
  <c r="CK50" i="1" s="1"/>
  <c r="BL50" i="1" a="1"/>
  <c r="BL50" i="1" s="1"/>
  <c r="BX50" i="1" s="1"/>
  <c r="BK50" i="1"/>
  <c r="BH50" i="1"/>
  <c r="BG50" i="1"/>
  <c r="BF50" i="1"/>
  <c r="BE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I50" i="1"/>
  <c r="C50" i="1"/>
  <c r="B50" i="1"/>
  <c r="DA49" i="1"/>
  <c r="CZ49" i="1"/>
  <c r="CY49" i="1"/>
  <c r="CL49" i="1" a="1"/>
  <c r="CL49" i="1" s="1"/>
  <c r="CX49" i="1" s="1"/>
  <c r="BY49" i="1" a="1"/>
  <c r="BY49" i="1" s="1"/>
  <c r="CK49" i="1" s="1"/>
  <c r="BL49" i="1" a="1"/>
  <c r="BL49" i="1" s="1"/>
  <c r="BX49" i="1" s="1"/>
  <c r="BK49" i="1"/>
  <c r="BH49" i="1"/>
  <c r="BG49" i="1"/>
  <c r="BF49" i="1"/>
  <c r="BE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I49" i="1"/>
  <c r="C49" i="1"/>
  <c r="B49" i="1"/>
  <c r="DA48" i="1"/>
  <c r="CZ48" i="1"/>
  <c r="CY48" i="1"/>
  <c r="CL48" i="1" a="1"/>
  <c r="CL48" i="1" s="1"/>
  <c r="CX48" i="1" s="1"/>
  <c r="BY48" i="1" a="1"/>
  <c r="BY48" i="1" s="1"/>
  <c r="CK48" i="1" s="1"/>
  <c r="BL48" i="1" a="1"/>
  <c r="BL48" i="1" s="1"/>
  <c r="BX48" i="1" s="1"/>
  <c r="BK48" i="1"/>
  <c r="BH48" i="1"/>
  <c r="BG48" i="1"/>
  <c r="BF48" i="1"/>
  <c r="BE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I48" i="1"/>
  <c r="C48" i="1"/>
  <c r="B48" i="1"/>
  <c r="DA47" i="1"/>
  <c r="CZ47" i="1"/>
  <c r="CY47" i="1"/>
  <c r="CL47" i="1" a="1"/>
  <c r="CL47" i="1" s="1"/>
  <c r="CX47" i="1" s="1"/>
  <c r="BY47" i="1" a="1"/>
  <c r="BY47" i="1" s="1"/>
  <c r="CK47" i="1" s="1"/>
  <c r="BL47" i="1" a="1"/>
  <c r="BL47" i="1" s="1"/>
  <c r="BX47" i="1" s="1"/>
  <c r="BK47" i="1"/>
  <c r="BH47" i="1"/>
  <c r="BG47" i="1"/>
  <c r="BF47" i="1"/>
  <c r="BE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I47" i="1"/>
  <c r="C47" i="1"/>
  <c r="B47" i="1"/>
  <c r="DA46" i="1"/>
  <c r="CZ46" i="1"/>
  <c r="CY46" i="1"/>
  <c r="CL46" i="1" a="1"/>
  <c r="CL46" i="1" s="1"/>
  <c r="CX46" i="1" s="1"/>
  <c r="BY46" i="1" a="1"/>
  <c r="BY46" i="1" s="1"/>
  <c r="CK46" i="1" s="1"/>
  <c r="BL46" i="1" a="1"/>
  <c r="BL46" i="1" s="1"/>
  <c r="BX46" i="1" s="1"/>
  <c r="BK46" i="1"/>
  <c r="BH46" i="1"/>
  <c r="BG46" i="1"/>
  <c r="BF46" i="1"/>
  <c r="BE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I46" i="1"/>
  <c r="C46" i="1"/>
  <c r="B46" i="1"/>
  <c r="F46" i="1" s="1"/>
  <c r="DA45" i="1"/>
  <c r="CZ45" i="1"/>
  <c r="CY45" i="1"/>
  <c r="CL45" i="1" a="1"/>
  <c r="CL45" i="1" s="1"/>
  <c r="CX45" i="1" s="1"/>
  <c r="BY45" i="1" a="1"/>
  <c r="BY45" i="1" s="1"/>
  <c r="CK45" i="1" s="1"/>
  <c r="BL45" i="1" a="1"/>
  <c r="BL45" i="1" s="1"/>
  <c r="BX45" i="1" s="1"/>
  <c r="BK45" i="1"/>
  <c r="BH45" i="1"/>
  <c r="BG45" i="1"/>
  <c r="BF45" i="1"/>
  <c r="BE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I45" i="1"/>
  <c r="C45" i="1"/>
  <c r="B45" i="1"/>
  <c r="DA44" i="1"/>
  <c r="CZ44" i="1"/>
  <c r="CY44" i="1"/>
  <c r="CL44" i="1" a="1"/>
  <c r="CL44" i="1" s="1"/>
  <c r="CX44" i="1" s="1"/>
  <c r="BY44" i="1" a="1"/>
  <c r="BY44" i="1" s="1"/>
  <c r="CK44" i="1" s="1"/>
  <c r="BL44" i="1" a="1"/>
  <c r="BL44" i="1" s="1"/>
  <c r="BX44" i="1" s="1"/>
  <c r="BK44" i="1"/>
  <c r="BH44" i="1"/>
  <c r="BG44" i="1"/>
  <c r="BF44" i="1"/>
  <c r="BE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I44" i="1"/>
  <c r="C44" i="1"/>
  <c r="B44" i="1"/>
  <c r="DA43" i="1"/>
  <c r="CZ43" i="1"/>
  <c r="CY43" i="1"/>
  <c r="CL43" i="1" a="1"/>
  <c r="CL43" i="1" s="1"/>
  <c r="CX43" i="1" s="1"/>
  <c r="BY43" i="1" a="1"/>
  <c r="BY43" i="1" s="1"/>
  <c r="CK43" i="1" s="1"/>
  <c r="BL43" i="1" a="1"/>
  <c r="BL43" i="1" s="1"/>
  <c r="BX43" i="1" s="1"/>
  <c r="BK43" i="1"/>
  <c r="BH43" i="1"/>
  <c r="BG43" i="1"/>
  <c r="BF43" i="1"/>
  <c r="BE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I43" i="1"/>
  <c r="C43" i="1"/>
  <c r="B43" i="1"/>
  <c r="DA42" i="1"/>
  <c r="CZ42" i="1"/>
  <c r="CY42" i="1"/>
  <c r="CL42" i="1" a="1"/>
  <c r="CL42" i="1" s="1"/>
  <c r="CX42" i="1" s="1"/>
  <c r="BY42" i="1" a="1"/>
  <c r="BY42" i="1" s="1"/>
  <c r="CK42" i="1" s="1"/>
  <c r="BL42" i="1" a="1"/>
  <c r="BL42" i="1" s="1"/>
  <c r="BX42" i="1" s="1"/>
  <c r="BK42" i="1"/>
  <c r="BH42" i="1"/>
  <c r="BG42" i="1"/>
  <c r="BF42" i="1"/>
  <c r="BE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I42" i="1"/>
  <c r="C42" i="1"/>
  <c r="B42" i="1"/>
  <c r="F42" i="1" s="1"/>
  <c r="DA41" i="1"/>
  <c r="CZ41" i="1"/>
  <c r="CY41" i="1"/>
  <c r="CL41" i="1" a="1"/>
  <c r="CL41" i="1" s="1"/>
  <c r="CX41" i="1" s="1"/>
  <c r="BY41" i="1" a="1"/>
  <c r="BY41" i="1" s="1"/>
  <c r="CK41" i="1" s="1"/>
  <c r="BL41" i="1" a="1"/>
  <c r="BL41" i="1" s="1"/>
  <c r="BX41" i="1" s="1"/>
  <c r="BK41" i="1"/>
  <c r="BH41" i="1"/>
  <c r="BG41" i="1"/>
  <c r="BF41" i="1"/>
  <c r="BE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I41" i="1"/>
  <c r="C41" i="1"/>
  <c r="B41" i="1"/>
  <c r="DA40" i="1"/>
  <c r="CZ40" i="1"/>
  <c r="CY40" i="1"/>
  <c r="CL40" i="1" a="1"/>
  <c r="CL40" i="1" s="1"/>
  <c r="CX40" i="1" s="1"/>
  <c r="BY40" i="1" a="1"/>
  <c r="BY40" i="1" s="1"/>
  <c r="CK40" i="1" s="1"/>
  <c r="BL40" i="1" a="1"/>
  <c r="BL40" i="1" s="1"/>
  <c r="BX40" i="1" s="1"/>
  <c r="BK40" i="1"/>
  <c r="BH40" i="1"/>
  <c r="BG40" i="1"/>
  <c r="BF40" i="1"/>
  <c r="BE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I40" i="1"/>
  <c r="C40" i="1"/>
  <c r="B40" i="1"/>
  <c r="DA39" i="1"/>
  <c r="CZ39" i="1"/>
  <c r="CY39" i="1"/>
  <c r="CL39" i="1" a="1"/>
  <c r="CL39" i="1" s="1"/>
  <c r="CX39" i="1" s="1"/>
  <c r="BY39" i="1" a="1"/>
  <c r="BY39" i="1" s="1"/>
  <c r="CK39" i="1" s="1"/>
  <c r="BL39" i="1" a="1"/>
  <c r="BL39" i="1" s="1"/>
  <c r="BX39" i="1" s="1"/>
  <c r="BK39" i="1"/>
  <c r="BH39" i="1"/>
  <c r="BG39" i="1"/>
  <c r="BF39" i="1"/>
  <c r="BE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I39" i="1"/>
  <c r="C39" i="1"/>
  <c r="B39" i="1"/>
  <c r="DA38" i="1"/>
  <c r="CZ38" i="1"/>
  <c r="CY38" i="1"/>
  <c r="CL38" i="1" a="1"/>
  <c r="CL38" i="1" s="1"/>
  <c r="CX38" i="1" s="1"/>
  <c r="BY38" i="1" a="1"/>
  <c r="BY38" i="1" s="1"/>
  <c r="CK38" i="1" s="1"/>
  <c r="BL38" i="1" a="1"/>
  <c r="BL38" i="1" s="1"/>
  <c r="BX38" i="1" s="1"/>
  <c r="BK38" i="1"/>
  <c r="BH38" i="1"/>
  <c r="BG38" i="1"/>
  <c r="BF38" i="1"/>
  <c r="BE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I38" i="1"/>
  <c r="C38" i="1"/>
  <c r="B38" i="1"/>
  <c r="DA37" i="1"/>
  <c r="CZ37" i="1"/>
  <c r="CY37" i="1"/>
  <c r="CL37" i="1" a="1"/>
  <c r="CL37" i="1" s="1"/>
  <c r="CX37" i="1" s="1"/>
  <c r="BY37" i="1" a="1"/>
  <c r="BY37" i="1" s="1"/>
  <c r="CK37" i="1" s="1"/>
  <c r="BL37" i="1" a="1"/>
  <c r="BL37" i="1" s="1"/>
  <c r="BX37" i="1" s="1"/>
  <c r="BK37" i="1"/>
  <c r="BH37" i="1"/>
  <c r="BG37" i="1"/>
  <c r="BF37" i="1"/>
  <c r="BE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I37" i="1"/>
  <c r="C37" i="1"/>
  <c r="B37" i="1"/>
  <c r="DA36" i="1"/>
  <c r="CZ36" i="1"/>
  <c r="CY36" i="1"/>
  <c r="CL36" i="1" a="1"/>
  <c r="CL36" i="1" s="1"/>
  <c r="CX36" i="1" s="1"/>
  <c r="BY36" i="1" a="1"/>
  <c r="BY36" i="1" s="1"/>
  <c r="CK36" i="1" s="1"/>
  <c r="BL36" i="1" a="1"/>
  <c r="BL36" i="1" s="1"/>
  <c r="BX36" i="1" s="1"/>
  <c r="BK36" i="1"/>
  <c r="BH36" i="1"/>
  <c r="BG36" i="1"/>
  <c r="BF36" i="1"/>
  <c r="BE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I36" i="1"/>
  <c r="C36" i="1"/>
  <c r="B36" i="1"/>
  <c r="DA35" i="1"/>
  <c r="CZ35" i="1"/>
  <c r="CY35" i="1"/>
  <c r="CL35" i="1" a="1"/>
  <c r="CL35" i="1" s="1"/>
  <c r="CX35" i="1" s="1"/>
  <c r="BY35" i="1" a="1"/>
  <c r="BY35" i="1" s="1"/>
  <c r="CK35" i="1" s="1"/>
  <c r="BL35" i="1" a="1"/>
  <c r="BL35" i="1" s="1"/>
  <c r="BX35" i="1" s="1"/>
  <c r="BK35" i="1"/>
  <c r="BH35" i="1"/>
  <c r="BG35" i="1"/>
  <c r="BF35" i="1"/>
  <c r="BE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I35" i="1"/>
  <c r="C35" i="1"/>
  <c r="B35" i="1"/>
  <c r="DA34" i="1"/>
  <c r="CZ34" i="1"/>
  <c r="CY34" i="1"/>
  <c r="CL34" i="1" a="1"/>
  <c r="CL34" i="1" s="1"/>
  <c r="CX34" i="1" s="1"/>
  <c r="BY34" i="1" a="1"/>
  <c r="BY34" i="1" s="1"/>
  <c r="CK34" i="1" s="1"/>
  <c r="BL34" i="1" a="1"/>
  <c r="BL34" i="1" s="1"/>
  <c r="BX34" i="1" s="1"/>
  <c r="BK34" i="1"/>
  <c r="BH34" i="1"/>
  <c r="BG34" i="1"/>
  <c r="BF34" i="1"/>
  <c r="BE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C34" i="1"/>
  <c r="B34" i="1"/>
  <c r="DA33" i="1"/>
  <c r="CZ33" i="1"/>
  <c r="CY33" i="1"/>
  <c r="CL33" i="1" a="1"/>
  <c r="CL33" i="1" s="1"/>
  <c r="CX33" i="1" s="1"/>
  <c r="BY33" i="1" a="1"/>
  <c r="BY33" i="1" s="1"/>
  <c r="CK33" i="1" s="1"/>
  <c r="BL33" i="1" a="1"/>
  <c r="BL33" i="1" s="1"/>
  <c r="BX33" i="1" s="1"/>
  <c r="BK33" i="1"/>
  <c r="BH33" i="1"/>
  <c r="BG33" i="1"/>
  <c r="BF33" i="1"/>
  <c r="BE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I33" i="1"/>
  <c r="C33" i="1"/>
  <c r="B33" i="1"/>
  <c r="DA32" i="1"/>
  <c r="CZ32" i="1"/>
  <c r="CY32" i="1"/>
  <c r="CL32" i="1" a="1"/>
  <c r="CL32" i="1" s="1"/>
  <c r="CX32" i="1" s="1"/>
  <c r="BY32" i="1" a="1"/>
  <c r="BY32" i="1" s="1"/>
  <c r="CK32" i="1" s="1"/>
  <c r="BL32" i="1" a="1"/>
  <c r="BL32" i="1" s="1"/>
  <c r="BX32" i="1" s="1"/>
  <c r="BK32" i="1"/>
  <c r="BH32" i="1"/>
  <c r="BG32" i="1"/>
  <c r="BF32" i="1"/>
  <c r="BE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I32" i="1"/>
  <c r="C32" i="1"/>
  <c r="B32" i="1"/>
  <c r="DA31" i="1"/>
  <c r="CZ31" i="1"/>
  <c r="CY31" i="1"/>
  <c r="CL31" i="1" a="1"/>
  <c r="CL31" i="1" s="1"/>
  <c r="CX31" i="1" s="1"/>
  <c r="BY31" i="1" a="1"/>
  <c r="BY31" i="1" s="1"/>
  <c r="CK31" i="1" s="1"/>
  <c r="BL31" i="1" a="1"/>
  <c r="BL31" i="1" s="1"/>
  <c r="BX31" i="1" s="1"/>
  <c r="BK31" i="1"/>
  <c r="BH31" i="1"/>
  <c r="BG31" i="1"/>
  <c r="BF31" i="1"/>
  <c r="BE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I31" i="1"/>
  <c r="C31" i="1"/>
  <c r="B31" i="1"/>
  <c r="DA30" i="1"/>
  <c r="CZ30" i="1"/>
  <c r="CY30" i="1"/>
  <c r="CL30" i="1" a="1"/>
  <c r="CL30" i="1" s="1"/>
  <c r="CX30" i="1" s="1"/>
  <c r="BY30" i="1" a="1"/>
  <c r="BY30" i="1" s="1"/>
  <c r="CK30" i="1" s="1"/>
  <c r="BL30" i="1" a="1"/>
  <c r="BL30" i="1" s="1"/>
  <c r="BX30" i="1" s="1"/>
  <c r="BK30" i="1"/>
  <c r="BH30" i="1"/>
  <c r="BG30" i="1"/>
  <c r="BF30" i="1"/>
  <c r="BE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I30" i="1"/>
  <c r="C30" i="1"/>
  <c r="B30" i="1"/>
  <c r="DA29" i="1"/>
  <c r="CZ29" i="1"/>
  <c r="CY29" i="1"/>
  <c r="CL29" i="1" a="1"/>
  <c r="CL29" i="1" s="1"/>
  <c r="CX29" i="1" s="1"/>
  <c r="BY29" i="1" a="1"/>
  <c r="BY29" i="1" s="1"/>
  <c r="CK29" i="1" s="1"/>
  <c r="BL29" i="1" a="1"/>
  <c r="BL29" i="1" s="1"/>
  <c r="BX29" i="1" s="1"/>
  <c r="BK29" i="1"/>
  <c r="BH29" i="1"/>
  <c r="BG29" i="1"/>
  <c r="BF29" i="1"/>
  <c r="BE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I29" i="1"/>
  <c r="C29" i="1"/>
  <c r="B29" i="1"/>
  <c r="DA28" i="1"/>
  <c r="CZ28" i="1"/>
  <c r="CY28" i="1"/>
  <c r="CL28" i="1" a="1"/>
  <c r="CL28" i="1" s="1"/>
  <c r="CX28" i="1" s="1"/>
  <c r="BY28" i="1" a="1"/>
  <c r="BY28" i="1" s="1"/>
  <c r="CK28" i="1" s="1"/>
  <c r="BL28" i="1" a="1"/>
  <c r="BL28" i="1" s="1"/>
  <c r="BX28" i="1" s="1"/>
  <c r="BK28" i="1"/>
  <c r="BH28" i="1"/>
  <c r="BG28" i="1"/>
  <c r="BF28" i="1"/>
  <c r="BE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I28" i="1"/>
  <c r="C28" i="1"/>
  <c r="B28" i="1"/>
  <c r="DA27" i="1"/>
  <c r="CZ27" i="1"/>
  <c r="CY27" i="1"/>
  <c r="CL27" i="1" a="1"/>
  <c r="CL27" i="1" s="1"/>
  <c r="CX27" i="1" s="1"/>
  <c r="BY27" i="1" a="1"/>
  <c r="BY27" i="1" s="1"/>
  <c r="CK27" i="1" s="1"/>
  <c r="BL27" i="1" a="1"/>
  <c r="BL27" i="1" s="1"/>
  <c r="BX27" i="1" s="1"/>
  <c r="BK27" i="1"/>
  <c r="BH27" i="1"/>
  <c r="BG27" i="1"/>
  <c r="BF27" i="1"/>
  <c r="BE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I27" i="1"/>
  <c r="C27" i="1"/>
  <c r="B27" i="1"/>
  <c r="DA26" i="1"/>
  <c r="CZ26" i="1"/>
  <c r="CY26" i="1"/>
  <c r="CL26" i="1" a="1"/>
  <c r="CL26" i="1" s="1"/>
  <c r="CX26" i="1" s="1"/>
  <c r="BY26" i="1" a="1"/>
  <c r="BY26" i="1" s="1"/>
  <c r="CK26" i="1" s="1"/>
  <c r="BL26" i="1" a="1"/>
  <c r="BL26" i="1" s="1"/>
  <c r="BX26" i="1" s="1"/>
  <c r="BK26" i="1"/>
  <c r="BH26" i="1"/>
  <c r="BG26" i="1"/>
  <c r="BF26" i="1"/>
  <c r="BE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I26" i="1"/>
  <c r="C26" i="1"/>
  <c r="B26" i="1"/>
  <c r="DA25" i="1"/>
  <c r="CZ25" i="1"/>
  <c r="CY25" i="1"/>
  <c r="CL25" i="1" a="1"/>
  <c r="CL25" i="1" s="1"/>
  <c r="CX25" i="1" s="1"/>
  <c r="BY25" i="1" a="1"/>
  <c r="BY25" i="1" s="1"/>
  <c r="CK25" i="1" s="1"/>
  <c r="BL25" i="1" a="1"/>
  <c r="BL25" i="1" s="1"/>
  <c r="BX25" i="1" s="1"/>
  <c r="BK25" i="1"/>
  <c r="BH25" i="1"/>
  <c r="BG25" i="1"/>
  <c r="BF25" i="1"/>
  <c r="BE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I25" i="1"/>
  <c r="C25" i="1"/>
  <c r="B25" i="1"/>
  <c r="DA24" i="1"/>
  <c r="CZ24" i="1"/>
  <c r="CY24" i="1"/>
  <c r="CL24" i="1" a="1"/>
  <c r="CL24" i="1" s="1"/>
  <c r="CX24" i="1" s="1"/>
  <c r="BY24" i="1" a="1"/>
  <c r="BY24" i="1" s="1"/>
  <c r="CK24" i="1" s="1"/>
  <c r="BL24" i="1" a="1"/>
  <c r="BL24" i="1" s="1"/>
  <c r="BX24" i="1" s="1"/>
  <c r="BK24" i="1"/>
  <c r="BH24" i="1"/>
  <c r="BG24" i="1"/>
  <c r="BF24" i="1"/>
  <c r="BE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/>
  <c r="C24" i="1"/>
  <c r="B24" i="1"/>
  <c r="DA23" i="1"/>
  <c r="CZ23" i="1"/>
  <c r="CY23" i="1"/>
  <c r="CL23" i="1" a="1"/>
  <c r="CL23" i="1" s="1"/>
  <c r="CX23" i="1" s="1"/>
  <c r="BY23" i="1" a="1"/>
  <c r="BY23" i="1" s="1"/>
  <c r="CK23" i="1" s="1"/>
  <c r="BL23" i="1" a="1"/>
  <c r="BL23" i="1" s="1"/>
  <c r="BX23" i="1" s="1"/>
  <c r="BK23" i="1"/>
  <c r="BH23" i="1"/>
  <c r="BG23" i="1"/>
  <c r="BF23" i="1"/>
  <c r="BE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I23" i="1"/>
  <c r="C23" i="1"/>
  <c r="B23" i="1"/>
  <c r="DA22" i="1"/>
  <c r="CZ22" i="1"/>
  <c r="CY22" i="1"/>
  <c r="CL22" i="1" a="1"/>
  <c r="CL22" i="1" s="1"/>
  <c r="CX22" i="1" s="1"/>
  <c r="BY22" i="1" a="1"/>
  <c r="BY22" i="1" s="1"/>
  <c r="CK22" i="1" s="1"/>
  <c r="BL22" i="1" a="1"/>
  <c r="BL22" i="1" s="1"/>
  <c r="BX22" i="1" s="1"/>
  <c r="BK22" i="1"/>
  <c r="BH22" i="1"/>
  <c r="BG22" i="1"/>
  <c r="BF22" i="1"/>
  <c r="BE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I22" i="1"/>
  <c r="C22" i="1"/>
  <c r="B22" i="1"/>
  <c r="DA21" i="1"/>
  <c r="CZ21" i="1"/>
  <c r="CY21" i="1"/>
  <c r="CL21" i="1" a="1"/>
  <c r="CL21" i="1" s="1"/>
  <c r="CX21" i="1" s="1"/>
  <c r="BY21" i="1" a="1"/>
  <c r="BY21" i="1" s="1"/>
  <c r="CK21" i="1" s="1"/>
  <c r="BL21" i="1" a="1"/>
  <c r="BL21" i="1" s="1"/>
  <c r="BX21" i="1" s="1"/>
  <c r="BK21" i="1"/>
  <c r="BH21" i="1"/>
  <c r="BG21" i="1"/>
  <c r="BF21" i="1"/>
  <c r="BE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I21" i="1"/>
  <c r="C21" i="1"/>
  <c r="B21" i="1"/>
  <c r="DA20" i="1"/>
  <c r="CZ20" i="1"/>
  <c r="CY20" i="1"/>
  <c r="CL20" i="1" a="1"/>
  <c r="CL20" i="1" s="1"/>
  <c r="CX20" i="1" s="1"/>
  <c r="BY20" i="1" a="1"/>
  <c r="BY20" i="1" s="1"/>
  <c r="CK20" i="1" s="1"/>
  <c r="BL20" i="1" a="1"/>
  <c r="BL20" i="1" s="1"/>
  <c r="BX20" i="1" s="1"/>
  <c r="BK20" i="1"/>
  <c r="BH20" i="1"/>
  <c r="BG20" i="1"/>
  <c r="BF20" i="1"/>
  <c r="BE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I20" i="1"/>
  <c r="C20" i="1"/>
  <c r="B20" i="1"/>
  <c r="DA19" i="1"/>
  <c r="CZ19" i="1"/>
  <c r="CY19" i="1"/>
  <c r="CL19" i="1" a="1"/>
  <c r="CL19" i="1" s="1"/>
  <c r="CX19" i="1" s="1"/>
  <c r="BY19" i="1" a="1"/>
  <c r="BY19" i="1" s="1"/>
  <c r="CK19" i="1" s="1"/>
  <c r="BL19" i="1" a="1"/>
  <c r="BL19" i="1" s="1"/>
  <c r="BX19" i="1" s="1"/>
  <c r="BK19" i="1"/>
  <c r="BH19" i="1"/>
  <c r="BG19" i="1"/>
  <c r="BF19" i="1"/>
  <c r="BE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I19" i="1"/>
  <c r="C19" i="1"/>
  <c r="B19" i="1"/>
  <c r="DA18" i="1"/>
  <c r="CZ18" i="1"/>
  <c r="CY18" i="1"/>
  <c r="CL18" i="1" a="1"/>
  <c r="CL18" i="1" s="1"/>
  <c r="CX18" i="1" s="1"/>
  <c r="BY18" i="1" a="1"/>
  <c r="BY18" i="1" s="1"/>
  <c r="CK18" i="1" s="1"/>
  <c r="BL18" i="1" a="1"/>
  <c r="BL18" i="1" s="1"/>
  <c r="BX18" i="1" s="1"/>
  <c r="BK18" i="1"/>
  <c r="BH18" i="1"/>
  <c r="BG18" i="1"/>
  <c r="BF18" i="1"/>
  <c r="BE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I18" i="1"/>
  <c r="B18" i="1"/>
  <c r="DA17" i="1"/>
  <c r="CZ17" i="1"/>
  <c r="CY17" i="1"/>
  <c r="CL17" i="1" a="1"/>
  <c r="CL17" i="1" s="1"/>
  <c r="CX17" i="1" s="1"/>
  <c r="BY17" i="1" a="1"/>
  <c r="BY17" i="1" s="1"/>
  <c r="CK17" i="1" s="1"/>
  <c r="BL17" i="1" a="1"/>
  <c r="BL17" i="1" s="1"/>
  <c r="BX17" i="1" s="1"/>
  <c r="BK17" i="1"/>
  <c r="BH17" i="1"/>
  <c r="BG17" i="1"/>
  <c r="BF17" i="1"/>
  <c r="BE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I17" i="1"/>
  <c r="C17" i="1"/>
  <c r="B17" i="1"/>
  <c r="DA16" i="1"/>
  <c r="CZ16" i="1"/>
  <c r="CY16" i="1"/>
  <c r="CL16" i="1" a="1"/>
  <c r="CL16" i="1" s="1"/>
  <c r="CX16" i="1" s="1"/>
  <c r="BY16" i="1" a="1"/>
  <c r="BY16" i="1" s="1"/>
  <c r="CK16" i="1" s="1"/>
  <c r="BL16" i="1" a="1"/>
  <c r="BL16" i="1" s="1"/>
  <c r="BX16" i="1" s="1"/>
  <c r="BK16" i="1"/>
  <c r="BH16" i="1"/>
  <c r="BG16" i="1"/>
  <c r="BF16" i="1"/>
  <c r="BE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I16" i="1"/>
  <c r="C16" i="1"/>
  <c r="B16" i="1"/>
  <c r="DA15" i="1"/>
  <c r="CZ15" i="1"/>
  <c r="CY15" i="1"/>
  <c r="CL15" i="1" a="1"/>
  <c r="CL15" i="1" s="1"/>
  <c r="CX15" i="1" s="1"/>
  <c r="BY15" i="1" a="1"/>
  <c r="BY15" i="1" s="1"/>
  <c r="CK15" i="1" s="1"/>
  <c r="BL15" i="1" a="1"/>
  <c r="BL15" i="1" s="1"/>
  <c r="BX15" i="1" s="1"/>
  <c r="BK15" i="1"/>
  <c r="BH15" i="1"/>
  <c r="BG15" i="1"/>
  <c r="BF15" i="1"/>
  <c r="BE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I15" i="1"/>
  <c r="C15" i="1"/>
  <c r="B15" i="1"/>
  <c r="DA14" i="1"/>
  <c r="CZ14" i="1"/>
  <c r="CY14" i="1"/>
  <c r="CL14" i="1" a="1"/>
  <c r="CL14" i="1" s="1"/>
  <c r="CX14" i="1" s="1"/>
  <c r="BY14" i="1" a="1"/>
  <c r="BY14" i="1" s="1"/>
  <c r="CK14" i="1" s="1"/>
  <c r="BL14" i="1" a="1"/>
  <c r="BL14" i="1" s="1"/>
  <c r="BX14" i="1" s="1"/>
  <c r="BK14" i="1"/>
  <c r="BH14" i="1"/>
  <c r="BG14" i="1"/>
  <c r="BF14" i="1"/>
  <c r="BE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I14" i="1"/>
  <c r="C14" i="1"/>
  <c r="B14" i="1"/>
  <c r="DA13" i="1"/>
  <c r="CZ13" i="1"/>
  <c r="CY13" i="1"/>
  <c r="CL13" i="1" a="1"/>
  <c r="CL13" i="1" s="1"/>
  <c r="CX13" i="1" s="1"/>
  <c r="BY13" i="1" a="1"/>
  <c r="BY13" i="1" s="1"/>
  <c r="CK13" i="1" s="1"/>
  <c r="BL13" i="1" a="1"/>
  <c r="BL13" i="1" s="1"/>
  <c r="BX13" i="1" s="1"/>
  <c r="BK13" i="1"/>
  <c r="BH13" i="1"/>
  <c r="BG13" i="1"/>
  <c r="BF13" i="1"/>
  <c r="BE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I13" i="1"/>
  <c r="C13" i="1"/>
  <c r="B13" i="1"/>
  <c r="DA12" i="1"/>
  <c r="CZ12" i="1"/>
  <c r="CY12" i="1"/>
  <c r="CL12" i="1" a="1"/>
  <c r="CL12" i="1" s="1"/>
  <c r="CX12" i="1" s="1"/>
  <c r="BY12" i="1" a="1"/>
  <c r="BY12" i="1" s="1"/>
  <c r="CK12" i="1" s="1"/>
  <c r="BL12" i="1" a="1"/>
  <c r="BL12" i="1" s="1"/>
  <c r="BX12" i="1" s="1"/>
  <c r="BK12" i="1"/>
  <c r="BH12" i="1"/>
  <c r="BG12" i="1"/>
  <c r="BF12" i="1"/>
  <c r="BE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I12" i="1"/>
  <c r="C12" i="1"/>
  <c r="B12" i="1"/>
  <c r="F12" i="1" s="1"/>
  <c r="DA11" i="1"/>
  <c r="CZ11" i="1"/>
  <c r="CY11" i="1"/>
  <c r="CL11" i="1" a="1"/>
  <c r="CL11" i="1" s="1"/>
  <c r="CX11" i="1" s="1"/>
  <c r="BY11" i="1" a="1"/>
  <c r="BY11" i="1" s="1"/>
  <c r="CK11" i="1" s="1"/>
  <c r="BL11" i="1" a="1"/>
  <c r="BL11" i="1" s="1"/>
  <c r="BX11" i="1" s="1"/>
  <c r="BK11" i="1"/>
  <c r="BH11" i="1"/>
  <c r="BG11" i="1"/>
  <c r="BF11" i="1"/>
  <c r="BE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I11" i="1"/>
  <c r="C11" i="1"/>
  <c r="B11" i="1"/>
  <c r="DA10" i="1"/>
  <c r="CZ10" i="1"/>
  <c r="CY10" i="1"/>
  <c r="CL10" i="1" a="1"/>
  <c r="CL10" i="1" s="1"/>
  <c r="CX10" i="1" s="1"/>
  <c r="BY10" i="1" a="1"/>
  <c r="BY10" i="1" s="1"/>
  <c r="CK10" i="1" s="1"/>
  <c r="BL10" i="1" a="1"/>
  <c r="BL10" i="1" s="1"/>
  <c r="BX10" i="1" s="1"/>
  <c r="BK10" i="1"/>
  <c r="BH10" i="1"/>
  <c r="BG10" i="1"/>
  <c r="BF10" i="1"/>
  <c r="BE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I10" i="1"/>
  <c r="C10" i="1"/>
  <c r="B10" i="1"/>
  <c r="DA9" i="1"/>
  <c r="CZ9" i="1"/>
  <c r="CY9" i="1"/>
  <c r="CL9" i="1" a="1"/>
  <c r="CL9" i="1" s="1"/>
  <c r="CX9" i="1" s="1"/>
  <c r="BY9" i="1" a="1"/>
  <c r="BY9" i="1" s="1"/>
  <c r="CK9" i="1" s="1"/>
  <c r="BL9" i="1" a="1"/>
  <c r="BL9" i="1" s="1"/>
  <c r="BX9" i="1" s="1"/>
  <c r="BK9" i="1"/>
  <c r="BH9" i="1"/>
  <c r="BG9" i="1"/>
  <c r="BF9" i="1"/>
  <c r="BE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I9" i="1"/>
  <c r="C9" i="1"/>
  <c r="B9" i="1"/>
  <c r="F9" i="1" s="1"/>
  <c r="DA8" i="1"/>
  <c r="CZ8" i="1"/>
  <c r="CY8" i="1"/>
  <c r="CL8" i="1" a="1"/>
  <c r="CL8" i="1" s="1"/>
  <c r="CX8" i="1" s="1"/>
  <c r="BY8" i="1" a="1"/>
  <c r="BY8" i="1" s="1"/>
  <c r="CK8" i="1" s="1"/>
  <c r="BL8" i="1" a="1"/>
  <c r="BL8" i="1" s="1"/>
  <c r="BX8" i="1" s="1"/>
  <c r="BK8" i="1"/>
  <c r="BH8" i="1"/>
  <c r="BG8" i="1"/>
  <c r="BF8" i="1"/>
  <c r="BE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I8" i="1"/>
  <c r="C8" i="1"/>
  <c r="B8" i="1"/>
  <c r="DA7" i="1"/>
  <c r="CZ7" i="1"/>
  <c r="CY7" i="1"/>
  <c r="CL7" i="1" a="1"/>
  <c r="CL7" i="1" s="1"/>
  <c r="CX7" i="1" s="1"/>
  <c r="BY7" i="1" a="1"/>
  <c r="BY7" i="1" s="1"/>
  <c r="CK7" i="1" s="1"/>
  <c r="BL7" i="1" a="1"/>
  <c r="BL7" i="1" s="1"/>
  <c r="BX7" i="1" s="1"/>
  <c r="BK7" i="1"/>
  <c r="BH7" i="1"/>
  <c r="BG7" i="1"/>
  <c r="BF7" i="1"/>
  <c r="BE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I7" i="1"/>
  <c r="C7" i="1"/>
  <c r="B7" i="1"/>
  <c r="DA6" i="1"/>
  <c r="CZ6" i="1"/>
  <c r="CY6" i="1"/>
  <c r="CL6" i="1" a="1"/>
  <c r="CL6" i="1" s="1"/>
  <c r="CX6" i="1" s="1"/>
  <c r="BY6" i="1" a="1"/>
  <c r="BY6" i="1" s="1"/>
  <c r="CK6" i="1" s="1"/>
  <c r="BL6" i="1" a="1"/>
  <c r="BL6" i="1" s="1"/>
  <c r="BX6" i="1" s="1"/>
  <c r="BK6" i="1"/>
  <c r="BH6" i="1"/>
  <c r="BG6" i="1"/>
  <c r="BF6" i="1"/>
  <c r="BE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I6" i="1"/>
  <c r="C6" i="1"/>
  <c r="B6" i="1"/>
  <c r="DA5" i="1"/>
  <c r="CZ5" i="1"/>
  <c r="CY5" i="1"/>
  <c r="CL5" i="1" a="1"/>
  <c r="CL5" i="1" s="1"/>
  <c r="CX5" i="1" s="1"/>
  <c r="BY5" i="1" a="1"/>
  <c r="BY5" i="1" s="1"/>
  <c r="CK5" i="1" s="1"/>
  <c r="BL5" i="1" a="1"/>
  <c r="BL5" i="1" s="1"/>
  <c r="BX5" i="1" s="1"/>
  <c r="BK5" i="1"/>
  <c r="BH5" i="1"/>
  <c r="BG5" i="1"/>
  <c r="BF5" i="1"/>
  <c r="BE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I5" i="1"/>
  <c r="C5" i="1"/>
  <c r="B5" i="1"/>
  <c r="DA4" i="1"/>
  <c r="CZ4" i="1"/>
  <c r="CY4" i="1"/>
  <c r="CL4" i="1" a="1"/>
  <c r="CL4" i="1" s="1"/>
  <c r="CX4" i="1" s="1"/>
  <c r="BY4" i="1" a="1"/>
  <c r="BY4" i="1" s="1"/>
  <c r="CK4" i="1" s="1"/>
  <c r="BL4" i="1" a="1"/>
  <c r="BL4" i="1" s="1"/>
  <c r="BX4" i="1" s="1"/>
  <c r="BK4" i="1"/>
  <c r="BH4" i="1"/>
  <c r="BG4" i="1"/>
  <c r="BF4" i="1"/>
  <c r="BE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I4" i="1"/>
  <c r="C4" i="1"/>
  <c r="B4" i="1"/>
  <c r="DA3" i="1"/>
  <c r="CZ3" i="1"/>
  <c r="CY3" i="1"/>
  <c r="CL3" i="1" a="1"/>
  <c r="CL3" i="1" s="1"/>
  <c r="CX3" i="1" s="1"/>
  <c r="BY3" i="1" a="1"/>
  <c r="BY3" i="1" s="1"/>
  <c r="CK3" i="1" s="1"/>
  <c r="BL3" i="1" a="1"/>
  <c r="BL3" i="1" s="1"/>
  <c r="BX3" i="1" s="1"/>
  <c r="BK3" i="1"/>
  <c r="BH3" i="1"/>
  <c r="BG3" i="1"/>
  <c r="BF3" i="1"/>
  <c r="BE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I3" i="1"/>
  <c r="C3" i="1"/>
  <c r="B3" i="1"/>
  <c r="DA2" i="1"/>
  <c r="CZ2" i="1"/>
  <c r="CY2" i="1"/>
  <c r="CL2" i="1" a="1"/>
  <c r="CL2" i="1" s="1"/>
  <c r="CX2" i="1" s="1"/>
  <c r="BY2" i="1" a="1"/>
  <c r="BY2" i="1" s="1"/>
  <c r="CK2" i="1" s="1"/>
  <c r="BL2" i="1" a="1"/>
  <c r="BL2" i="1" s="1"/>
  <c r="BX2" i="1" s="1"/>
  <c r="BK2" i="1"/>
  <c r="BH2" i="1"/>
  <c r="BG2" i="1"/>
  <c r="BF2" i="1"/>
  <c r="BE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C2" i="1"/>
  <c r="B2" i="1"/>
  <c r="F16" i="1" l="1"/>
  <c r="F27" i="1"/>
  <c r="BI107" i="1"/>
  <c r="F109" i="1"/>
  <c r="F121" i="1"/>
  <c r="F123" i="1"/>
  <c r="F76" i="1"/>
  <c r="F50" i="1"/>
  <c r="BC52" i="1"/>
  <c r="BI52" i="1"/>
  <c r="D7" i="1"/>
  <c r="F18" i="1"/>
  <c r="BI77" i="1"/>
  <c r="F15" i="1"/>
  <c r="D17" i="1"/>
  <c r="G17" i="1" s="1"/>
  <c r="F78" i="1"/>
  <c r="BI32" i="1"/>
  <c r="F45" i="1"/>
  <c r="F119" i="1"/>
  <c r="F67" i="1"/>
  <c r="D99" i="1"/>
  <c r="G99" i="1" s="1"/>
  <c r="BI104" i="1"/>
  <c r="BJ104" i="1" s="1"/>
  <c r="F89" i="1"/>
  <c r="BI2" i="1"/>
  <c r="BJ2" i="1" s="1"/>
  <c r="D96" i="1"/>
  <c r="G96" i="1" s="1"/>
  <c r="F86" i="1"/>
  <c r="BI128" i="1"/>
  <c r="BI59" i="1"/>
  <c r="BJ59" i="1" s="1"/>
  <c r="BI71" i="1"/>
  <c r="BC21" i="1"/>
  <c r="F14" i="1"/>
  <c r="D25" i="1"/>
  <c r="E25" i="1" s="1"/>
  <c r="F63" i="1"/>
  <c r="BI100" i="1"/>
  <c r="F117" i="1"/>
  <c r="BI73" i="1"/>
  <c r="BJ73" i="1" s="1"/>
  <c r="BI63" i="1"/>
  <c r="BJ63" i="1" s="1"/>
  <c r="BC3" i="1"/>
  <c r="BI3" i="1"/>
  <c r="BJ3" i="1" s="1"/>
  <c r="BI25" i="1"/>
  <c r="BJ25" i="1" s="1"/>
  <c r="BI36" i="1"/>
  <c r="BJ36" i="1" s="1"/>
  <c r="F38" i="1"/>
  <c r="BI47" i="1"/>
  <c r="BJ47" i="1" s="1"/>
  <c r="F49" i="1"/>
  <c r="F51" i="1"/>
  <c r="F60" i="1"/>
  <c r="D92" i="1"/>
  <c r="G92" i="1" s="1"/>
  <c r="BI97" i="1"/>
  <c r="D2" i="1"/>
  <c r="G2" i="1" s="1"/>
  <c r="BA17" i="1"/>
  <c r="F37" i="1"/>
  <c r="F48" i="1"/>
  <c r="F6" i="1"/>
  <c r="BI15" i="1"/>
  <c r="BJ15" i="1" s="1"/>
  <c r="F64" i="1"/>
  <c r="F116" i="1"/>
  <c r="BI37" i="1"/>
  <c r="BJ37" i="1" s="1"/>
  <c r="BC17" i="1"/>
  <c r="F19" i="1"/>
  <c r="F81" i="1"/>
  <c r="D88" i="1"/>
  <c r="E88" i="1" s="1"/>
  <c r="BC103" i="1"/>
  <c r="F68" i="1"/>
  <c r="F73" i="1"/>
  <c r="BI83" i="1"/>
  <c r="BJ83" i="1" s="1"/>
  <c r="D70" i="1"/>
  <c r="G70" i="1" s="1"/>
  <c r="BI70" i="1"/>
  <c r="BJ70" i="1" s="1"/>
  <c r="BA127" i="1"/>
  <c r="F72" i="1"/>
  <c r="D41" i="1"/>
  <c r="G41" i="1" s="1"/>
  <c r="F13" i="1"/>
  <c r="F94" i="1"/>
  <c r="BC55" i="1"/>
  <c r="BI75" i="1"/>
  <c r="BJ75" i="1" s="1"/>
  <c r="D116" i="1"/>
  <c r="G116" i="1" s="1"/>
  <c r="F66" i="1"/>
  <c r="BD2" i="1"/>
  <c r="BB2" i="1"/>
  <c r="F4" i="1"/>
  <c r="BC31" i="1"/>
  <c r="D53" i="1"/>
  <c r="BI60" i="1"/>
  <c r="BJ60" i="1" s="1"/>
  <c r="F82" i="1"/>
  <c r="D103" i="1"/>
  <c r="E103" i="1" s="1"/>
  <c r="F126" i="1"/>
  <c r="BI57" i="1"/>
  <c r="BJ57" i="1" s="1"/>
  <c r="D3" i="1"/>
  <c r="E3" i="1" s="1"/>
  <c r="BC39" i="1"/>
  <c r="BC64" i="1"/>
  <c r="BA56" i="1"/>
  <c r="BI13" i="1"/>
  <c r="BJ13" i="1" s="1"/>
  <c r="D55" i="1"/>
  <c r="E55" i="1" s="1"/>
  <c r="BI72" i="1"/>
  <c r="BJ72" i="1" s="1"/>
  <c r="F92" i="1"/>
  <c r="BI67" i="1"/>
  <c r="BJ67" i="1" s="1"/>
  <c r="F100" i="1"/>
  <c r="D74" i="1"/>
  <c r="G74" i="1" s="1"/>
  <c r="D79" i="1"/>
  <c r="E79" i="1" s="1"/>
  <c r="F84" i="1"/>
  <c r="BI92" i="1"/>
  <c r="BI118" i="1"/>
  <c r="BJ118" i="1" s="1"/>
  <c r="F30" i="1"/>
  <c r="D39" i="1"/>
  <c r="G39" i="1" s="1"/>
  <c r="F59" i="1"/>
  <c r="BI64" i="1"/>
  <c r="BJ64" i="1" s="1"/>
  <c r="F8" i="1"/>
  <c r="BI81" i="1"/>
  <c r="BJ81" i="1" s="1"/>
  <c r="BI66" i="1"/>
  <c r="BJ66" i="1" s="1"/>
  <c r="BI76" i="1"/>
  <c r="BJ76" i="1" s="1"/>
  <c r="F122" i="1"/>
  <c r="BB83" i="1"/>
  <c r="BI127" i="1"/>
  <c r="BJ127" i="1" s="1"/>
  <c r="BI88" i="1"/>
  <c r="BJ88" i="1" s="1"/>
  <c r="F114" i="1"/>
  <c r="D119" i="1"/>
  <c r="G119" i="1" s="1"/>
  <c r="D49" i="1"/>
  <c r="G49" i="1" s="1"/>
  <c r="F70" i="1"/>
  <c r="F80" i="1"/>
  <c r="BI114" i="1"/>
  <c r="BJ114" i="1" s="1"/>
  <c r="F26" i="1"/>
  <c r="F74" i="1"/>
  <c r="BA2" i="1"/>
  <c r="BD78" i="1"/>
  <c r="D52" i="1"/>
  <c r="G52" i="1" s="1"/>
  <c r="F58" i="1"/>
  <c r="D85" i="1"/>
  <c r="G85" i="1" s="1"/>
  <c r="BA109" i="1"/>
  <c r="BJ97" i="1"/>
  <c r="BI8" i="1"/>
  <c r="BJ8" i="1" s="1"/>
  <c r="F56" i="1"/>
  <c r="D18" i="1"/>
  <c r="E18" i="1" s="1"/>
  <c r="BD19" i="1"/>
  <c r="D98" i="1"/>
  <c r="G98" i="1" s="1"/>
  <c r="F34" i="1"/>
  <c r="BC96" i="1"/>
  <c r="BI101" i="1"/>
  <c r="BJ101" i="1" s="1"/>
  <c r="BC118" i="1"/>
  <c r="F43" i="1"/>
  <c r="BC48" i="1"/>
  <c r="F91" i="1"/>
  <c r="D38" i="1"/>
  <c r="G38" i="1" s="1"/>
  <c r="BC28" i="1"/>
  <c r="BC35" i="1"/>
  <c r="BI35" i="1"/>
  <c r="BJ35" i="1" s="1"/>
  <c r="D54" i="1"/>
  <c r="E54" i="1" s="1"/>
  <c r="D23" i="1"/>
  <c r="E23" i="1" s="1"/>
  <c r="BC30" i="1"/>
  <c r="F44" i="1"/>
  <c r="BC99" i="1"/>
  <c r="BD97" i="1"/>
  <c r="BC73" i="1"/>
  <c r="BC6" i="1"/>
  <c r="BI6" i="1"/>
  <c r="BJ6" i="1" s="1"/>
  <c r="D27" i="1"/>
  <c r="E27" i="1" s="1"/>
  <c r="BI39" i="1"/>
  <c r="BJ39" i="1" s="1"/>
  <c r="BC70" i="1"/>
  <c r="BI18" i="1"/>
  <c r="BJ18" i="1" s="1"/>
  <c r="BI27" i="1"/>
  <c r="BJ27" i="1" s="1"/>
  <c r="BI34" i="1"/>
  <c r="BJ34" i="1" s="1"/>
  <c r="F41" i="1"/>
  <c r="BI46" i="1"/>
  <c r="BJ46" i="1" s="1"/>
  <c r="D107" i="1"/>
  <c r="E107" i="1" s="1"/>
  <c r="F112" i="1"/>
  <c r="BC115" i="1"/>
  <c r="BI115" i="1"/>
  <c r="BA25" i="1"/>
  <c r="BD10" i="1"/>
  <c r="BB72" i="1"/>
  <c r="BD4" i="1"/>
  <c r="BB61" i="1"/>
  <c r="BI61" i="1"/>
  <c r="BJ61" i="1" s="1"/>
  <c r="BC89" i="1"/>
  <c r="BI126" i="1"/>
  <c r="BJ126" i="1" s="1"/>
  <c r="D60" i="1"/>
  <c r="G60" i="1" s="1"/>
  <c r="BA66" i="1"/>
  <c r="D62" i="1"/>
  <c r="G62" i="1" s="1"/>
  <c r="BC79" i="1"/>
  <c r="BB9" i="1"/>
  <c r="F39" i="1"/>
  <c r="BI4" i="1"/>
  <c r="BJ4" i="1" s="1"/>
  <c r="F11" i="1"/>
  <c r="D15" i="1"/>
  <c r="E15" i="1" s="1"/>
  <c r="BA18" i="1"/>
  <c r="BI29" i="1"/>
  <c r="BJ29" i="1" s="1"/>
  <c r="BC53" i="1"/>
  <c r="BI53" i="1"/>
  <c r="BJ53" i="1" s="1"/>
  <c r="BI58" i="1"/>
  <c r="BJ58" i="1" s="1"/>
  <c r="D86" i="1"/>
  <c r="G86" i="1" s="1"/>
  <c r="D120" i="1"/>
  <c r="G120" i="1" s="1"/>
  <c r="D123" i="1"/>
  <c r="G123" i="1" s="1"/>
  <c r="BC86" i="1"/>
  <c r="BJ107" i="1"/>
  <c r="BI120" i="1"/>
  <c r="BJ120" i="1" s="1"/>
  <c r="BI123" i="1"/>
  <c r="BJ123" i="1" s="1"/>
  <c r="D117" i="1"/>
  <c r="G117" i="1" s="1"/>
  <c r="D94" i="1"/>
  <c r="G94" i="1" s="1"/>
  <c r="BC109" i="1"/>
  <c r="BI109" i="1"/>
  <c r="BJ109" i="1" s="1"/>
  <c r="BD37" i="1"/>
  <c r="D125" i="1"/>
  <c r="E125" i="1" s="1"/>
  <c r="BD128" i="1"/>
  <c r="BI69" i="1"/>
  <c r="BJ69" i="1" s="1"/>
  <c r="BC5" i="1"/>
  <c r="BI5" i="1"/>
  <c r="BJ5" i="1" s="1"/>
  <c r="BI38" i="1"/>
  <c r="BJ38" i="1" s="1"/>
  <c r="BC60" i="1"/>
  <c r="BA88" i="1"/>
  <c r="D19" i="1"/>
  <c r="G19" i="1" s="1"/>
  <c r="D26" i="1"/>
  <c r="E26" i="1" s="1"/>
  <c r="BC45" i="1"/>
  <c r="BI45" i="1"/>
  <c r="BJ45" i="1" s="1"/>
  <c r="BC50" i="1"/>
  <c r="F77" i="1"/>
  <c r="BD106" i="1"/>
  <c r="F111" i="1"/>
  <c r="BJ128" i="1"/>
  <c r="BI19" i="1"/>
  <c r="BJ19" i="1" s="1"/>
  <c r="BI26" i="1"/>
  <c r="BJ26" i="1" s="1"/>
  <c r="F35" i="1"/>
  <c r="BD38" i="1"/>
  <c r="F52" i="1"/>
  <c r="BC101" i="1"/>
  <c r="BI130" i="1"/>
  <c r="BJ130" i="1" s="1"/>
  <c r="BI85" i="1"/>
  <c r="BJ85" i="1" s="1"/>
  <c r="F96" i="1"/>
  <c r="F102" i="1"/>
  <c r="BI111" i="1"/>
  <c r="BJ111" i="1" s="1"/>
  <c r="F105" i="1"/>
  <c r="D24" i="1"/>
  <c r="G24" i="1" s="1"/>
  <c r="F79" i="1"/>
  <c r="BA80" i="1"/>
  <c r="BI82" i="1"/>
  <c r="BJ82" i="1" s="1"/>
  <c r="BI93" i="1"/>
  <c r="BJ93" i="1" s="1"/>
  <c r="D108" i="1"/>
  <c r="F113" i="1"/>
  <c r="F124" i="1"/>
  <c r="BJ71" i="1"/>
  <c r="F99" i="1"/>
  <c r="BC113" i="1"/>
  <c r="BC124" i="1"/>
  <c r="D14" i="1"/>
  <c r="E14" i="1" s="1"/>
  <c r="BI40" i="1"/>
  <c r="BJ40" i="1" s="1"/>
  <c r="BC63" i="1"/>
  <c r="BD108" i="1"/>
  <c r="D110" i="1"/>
  <c r="G110" i="1" s="1"/>
  <c r="BC36" i="1"/>
  <c r="BC129" i="1"/>
  <c r="BI129" i="1"/>
  <c r="BJ129" i="1" s="1"/>
  <c r="D46" i="1"/>
  <c r="G46" i="1" s="1"/>
  <c r="BI49" i="1"/>
  <c r="BJ49" i="1" s="1"/>
  <c r="BI56" i="1"/>
  <c r="BJ56" i="1" s="1"/>
  <c r="D95" i="1"/>
  <c r="E95" i="1" s="1"/>
  <c r="F101" i="1"/>
  <c r="F104" i="1"/>
  <c r="F118" i="1"/>
  <c r="D126" i="1"/>
  <c r="E126" i="1" s="1"/>
  <c r="F29" i="1"/>
  <c r="BD29" i="1"/>
  <c r="D35" i="1"/>
  <c r="G35" i="1" s="1"/>
  <c r="D57" i="1"/>
  <c r="G57" i="1" s="1"/>
  <c r="BC67" i="1"/>
  <c r="BD67" i="1"/>
  <c r="F75" i="1"/>
  <c r="BC81" i="1"/>
  <c r="BC84" i="1"/>
  <c r="BC88" i="1"/>
  <c r="BA96" i="1"/>
  <c r="BA102" i="1"/>
  <c r="D104" i="1"/>
  <c r="F108" i="1"/>
  <c r="BB111" i="1"/>
  <c r="BD114" i="1"/>
  <c r="BD118" i="1"/>
  <c r="BI125" i="1"/>
  <c r="BJ125" i="1" s="1"/>
  <c r="BD129" i="1"/>
  <c r="BD20" i="1"/>
  <c r="BI22" i="1"/>
  <c r="BJ22" i="1" s="1"/>
  <c r="BB10" i="1"/>
  <c r="BA19" i="1"/>
  <c r="BA24" i="1"/>
  <c r="BC4" i="1"/>
  <c r="BD18" i="1"/>
  <c r="BI12" i="1"/>
  <c r="BJ12" i="1" s="1"/>
  <c r="BD47" i="1"/>
  <c r="BA84" i="1"/>
  <c r="BJ100" i="1"/>
  <c r="BC102" i="1"/>
  <c r="BA111" i="1"/>
  <c r="BC117" i="1"/>
  <c r="BI117" i="1"/>
  <c r="BJ117" i="1" s="1"/>
  <c r="BA118" i="1"/>
  <c r="BD125" i="1"/>
  <c r="BD127" i="1"/>
  <c r="BA5" i="1"/>
  <c r="F25" i="1"/>
  <c r="BD26" i="1"/>
  <c r="BD3" i="1"/>
  <c r="BC25" i="1"/>
  <c r="BC27" i="1"/>
  <c r="D29" i="1"/>
  <c r="G29" i="1" s="1"/>
  <c r="BB12" i="1"/>
  <c r="BC15" i="1"/>
  <c r="BA6" i="1"/>
  <c r="BC18" i="1"/>
  <c r="D40" i="1"/>
  <c r="G40" i="1" s="1"/>
  <c r="BD41" i="1"/>
  <c r="D6" i="1"/>
  <c r="G6" i="1" s="1"/>
  <c r="D9" i="1"/>
  <c r="G9" i="1" s="1"/>
  <c r="BC12" i="1"/>
  <c r="BI28" i="1"/>
  <c r="BJ28" i="1" s="1"/>
  <c r="BB35" i="1"/>
  <c r="BC40" i="1"/>
  <c r="BI43" i="1"/>
  <c r="BJ43" i="1" s="1"/>
  <c r="BC46" i="1"/>
  <c r="BB57" i="1"/>
  <c r="D66" i="1"/>
  <c r="E66" i="1" s="1"/>
  <c r="BI80" i="1"/>
  <c r="BJ80" i="1" s="1"/>
  <c r="BI91" i="1"/>
  <c r="BJ91" i="1" s="1"/>
  <c r="F95" i="1"/>
  <c r="BC104" i="1"/>
  <c r="BB108" i="1"/>
  <c r="BI108" i="1"/>
  <c r="BJ108" i="1" s="1"/>
  <c r="BD109" i="1"/>
  <c r="BA114" i="1"/>
  <c r="D121" i="1"/>
  <c r="G121" i="1" s="1"/>
  <c r="F128" i="1"/>
  <c r="BD8" i="1"/>
  <c r="F3" i="1"/>
  <c r="BD6" i="1"/>
  <c r="F17" i="1"/>
  <c r="BC24" i="1"/>
  <c r="BI24" i="1"/>
  <c r="BJ24" i="1" s="1"/>
  <c r="BD30" i="1"/>
  <c r="BA32" i="1"/>
  <c r="BJ32" i="1"/>
  <c r="BD43" i="1"/>
  <c r="BC47" i="1"/>
  <c r="D50" i="1"/>
  <c r="BI54" i="1"/>
  <c r="BJ54" i="1" s="1"/>
  <c r="BA57" i="1"/>
  <c r="BC85" i="1"/>
  <c r="F103" i="1"/>
  <c r="BA104" i="1"/>
  <c r="BA108" i="1"/>
  <c r="BA123" i="1"/>
  <c r="BC128" i="1"/>
  <c r="D45" i="1"/>
  <c r="E45" i="1" s="1"/>
  <c r="BC57" i="1"/>
  <c r="BC58" i="1"/>
  <c r="BD62" i="1"/>
  <c r="BC75" i="1"/>
  <c r="BD75" i="1"/>
  <c r="BC95" i="1"/>
  <c r="BI95" i="1"/>
  <c r="BJ95" i="1" s="1"/>
  <c r="BD100" i="1"/>
  <c r="BD117" i="1"/>
  <c r="BC121" i="1"/>
  <c r="BD122" i="1"/>
  <c r="BA122" i="1"/>
  <c r="D124" i="1"/>
  <c r="E124" i="1" s="1"/>
  <c r="BA128" i="1"/>
  <c r="BA129" i="1"/>
  <c r="BI50" i="1"/>
  <c r="BJ50" i="1" s="1"/>
  <c r="D56" i="1"/>
  <c r="E56" i="1" s="1"/>
  <c r="BD60" i="1"/>
  <c r="BC61" i="1"/>
  <c r="BC66" i="1"/>
  <c r="BD77" i="1"/>
  <c r="BA117" i="1"/>
  <c r="BI121" i="1"/>
  <c r="BJ121" i="1" s="1"/>
  <c r="F110" i="1"/>
  <c r="BI113" i="1"/>
  <c r="BJ113" i="1" s="1"/>
  <c r="F127" i="1"/>
  <c r="D90" i="1"/>
  <c r="E90" i="1" s="1"/>
  <c r="BD121" i="1"/>
  <c r="BA4" i="1"/>
  <c r="BA79" i="1"/>
  <c r="D16" i="1"/>
  <c r="BD17" i="1"/>
  <c r="F23" i="1"/>
  <c r="BA31" i="1"/>
  <c r="BI31" i="1"/>
  <c r="BJ31" i="1" s="1"/>
  <c r="BC42" i="1"/>
  <c r="BC56" i="1"/>
  <c r="BB74" i="1"/>
  <c r="BI74" i="1"/>
  <c r="BJ74" i="1" s="1"/>
  <c r="D78" i="1"/>
  <c r="E78" i="1" s="1"/>
  <c r="BI79" i="1"/>
  <c r="BJ79" i="1" s="1"/>
  <c r="BD82" i="1"/>
  <c r="BA95" i="1"/>
  <c r="BI103" i="1"/>
  <c r="BJ103" i="1" s="1"/>
  <c r="F107" i="1"/>
  <c r="BB110" i="1"/>
  <c r="BI110" i="1"/>
  <c r="BJ110" i="1" s="1"/>
  <c r="BC116" i="1"/>
  <c r="BI116" i="1"/>
  <c r="BJ116" i="1" s="1"/>
  <c r="BI124" i="1"/>
  <c r="BJ124" i="1" s="1"/>
  <c r="BC127" i="1"/>
  <c r="D82" i="1"/>
  <c r="BA110" i="1"/>
  <c r="BD111" i="1"/>
  <c r="BD113" i="1"/>
  <c r="F120" i="1"/>
  <c r="BA53" i="1"/>
  <c r="BD53" i="1"/>
  <c r="BB11" i="1"/>
  <c r="BA12" i="1"/>
  <c r="BD14" i="1"/>
  <c r="BC80" i="1"/>
  <c r="BC87" i="1"/>
  <c r="BC90" i="1"/>
  <c r="BI90" i="1"/>
  <c r="BJ90" i="1" s="1"/>
  <c r="F93" i="1"/>
  <c r="BC94" i="1"/>
  <c r="BI94" i="1"/>
  <c r="BJ94" i="1" s="1"/>
  <c r="BI99" i="1"/>
  <c r="BJ99" i="1" s="1"/>
  <c r="D102" i="1"/>
  <c r="BC107" i="1"/>
  <c r="BC110" i="1"/>
  <c r="BD110" i="1"/>
  <c r="BA113" i="1"/>
  <c r="BC120" i="1"/>
  <c r="F130" i="1"/>
  <c r="BA40" i="1"/>
  <c r="F5" i="1"/>
  <c r="BD7" i="1"/>
  <c r="D5" i="1"/>
  <c r="BA7" i="1"/>
  <c r="BC43" i="1"/>
  <c r="BI78" i="1"/>
  <c r="BJ78" i="1" s="1"/>
  <c r="BA91" i="1"/>
  <c r="D93" i="1"/>
  <c r="G93" i="1" s="1"/>
  <c r="BA94" i="1"/>
  <c r="BA103" i="1"/>
  <c r="BA107" i="1"/>
  <c r="BD116" i="1"/>
  <c r="BA125" i="1"/>
  <c r="BB130" i="1"/>
  <c r="F69" i="1"/>
  <c r="BD9" i="1"/>
  <c r="D48" i="1"/>
  <c r="G48" i="1" s="1"/>
  <c r="BD49" i="1"/>
  <c r="D8" i="1"/>
  <c r="G8" i="1" s="1"/>
  <c r="BI23" i="1"/>
  <c r="BJ23" i="1" s="1"/>
  <c r="BC38" i="1"/>
  <c r="BA45" i="1"/>
  <c r="BA54" i="1"/>
  <c r="D59" i="1"/>
  <c r="E59" i="1" s="1"/>
  <c r="BC8" i="1"/>
  <c r="BD12" i="1"/>
  <c r="BB13" i="1"/>
  <c r="BB16" i="1"/>
  <c r="D30" i="1"/>
  <c r="G30" i="1" s="1"/>
  <c r="D37" i="1"/>
  <c r="G37" i="1" s="1"/>
  <c r="D44" i="1"/>
  <c r="G44" i="1" s="1"/>
  <c r="BI48" i="1"/>
  <c r="BJ48" i="1" s="1"/>
  <c r="BC54" i="1"/>
  <c r="F55" i="1"/>
  <c r="BC82" i="1"/>
  <c r="BC93" i="1"/>
  <c r="F106" i="1"/>
  <c r="F115" i="1"/>
  <c r="BA116" i="1"/>
  <c r="BC123" i="1"/>
  <c r="BD124" i="1"/>
  <c r="BA130" i="1"/>
  <c r="BB86" i="1"/>
  <c r="BD107" i="1"/>
  <c r="BD120" i="1"/>
  <c r="BA34" i="1"/>
  <c r="F47" i="1"/>
  <c r="BA52" i="1"/>
  <c r="BI55" i="1"/>
  <c r="BJ55" i="1" s="1"/>
  <c r="D68" i="1"/>
  <c r="E68" i="1" s="1"/>
  <c r="D77" i="1"/>
  <c r="BA86" i="1"/>
  <c r="BI86" i="1"/>
  <c r="BJ86" i="1" s="1"/>
  <c r="D89" i="1"/>
  <c r="G89" i="1" s="1"/>
  <c r="BD90" i="1"/>
  <c r="F97" i="1"/>
  <c r="BI102" i="1"/>
  <c r="BJ102" i="1" s="1"/>
  <c r="BC106" i="1"/>
  <c r="D112" i="1"/>
  <c r="G112" i="1" s="1"/>
  <c r="BA120" i="1"/>
  <c r="BC126" i="1"/>
  <c r="BD130" i="1"/>
  <c r="BD16" i="1"/>
  <c r="D22" i="1"/>
  <c r="G22" i="1" s="1"/>
  <c r="BC26" i="1"/>
  <c r="D64" i="1"/>
  <c r="G64" i="1" s="1"/>
  <c r="BC65" i="1"/>
  <c r="BB68" i="1"/>
  <c r="D81" i="1"/>
  <c r="BI89" i="1"/>
  <c r="BJ89" i="1" s="1"/>
  <c r="BA90" i="1"/>
  <c r="BA106" i="1"/>
  <c r="BI106" i="1"/>
  <c r="BJ106" i="1" s="1"/>
  <c r="BB109" i="1"/>
  <c r="BC112" i="1"/>
  <c r="BI112" i="1"/>
  <c r="BJ112" i="1" s="1"/>
  <c r="BC119" i="1"/>
  <c r="BI119" i="1"/>
  <c r="BJ119" i="1" s="1"/>
  <c r="F36" i="1"/>
  <c r="BA43" i="1"/>
  <c r="BD44" i="1"/>
  <c r="BD45" i="1"/>
  <c r="D58" i="1"/>
  <c r="D72" i="1"/>
  <c r="G72" i="1" s="1"/>
  <c r="BD73" i="1"/>
  <c r="BC74" i="1"/>
  <c r="F85" i="1"/>
  <c r="BD86" i="1"/>
  <c r="BD94" i="1"/>
  <c r="BD115" i="1"/>
  <c r="BI30" i="1"/>
  <c r="BJ30" i="1" s="1"/>
  <c r="F10" i="1"/>
  <c r="BC13" i="1"/>
  <c r="D63" i="1"/>
  <c r="BA64" i="1"/>
  <c r="BC68" i="1"/>
  <c r="BI68" i="1"/>
  <c r="BJ68" i="1" s="1"/>
  <c r="BA73" i="1"/>
  <c r="BB85" i="1"/>
  <c r="BD89" i="1"/>
  <c r="D101" i="1"/>
  <c r="G101" i="1" s="1"/>
  <c r="D105" i="1"/>
  <c r="G105" i="1" s="1"/>
  <c r="BD112" i="1"/>
  <c r="BA115" i="1"/>
  <c r="D118" i="1"/>
  <c r="G118" i="1" s="1"/>
  <c r="BA121" i="1"/>
  <c r="D122" i="1"/>
  <c r="G122" i="1" s="1"/>
  <c r="BD126" i="1"/>
  <c r="D36" i="1"/>
  <c r="BB19" i="1"/>
  <c r="D51" i="1"/>
  <c r="G51" i="1" s="1"/>
  <c r="BA69" i="1"/>
  <c r="F71" i="1"/>
  <c r="BC72" i="1"/>
  <c r="BC77" i="1"/>
  <c r="BC97" i="1"/>
  <c r="BD99" i="1"/>
  <c r="BB101" i="1"/>
  <c r="BC105" i="1"/>
  <c r="BI105" i="1"/>
  <c r="BJ105" i="1" s="1"/>
  <c r="BD119" i="1"/>
  <c r="BD123" i="1"/>
  <c r="F125" i="1"/>
  <c r="BI20" i="1"/>
  <c r="BJ20" i="1" s="1"/>
  <c r="BA8" i="1"/>
  <c r="BC51" i="1"/>
  <c r="BA58" i="1"/>
  <c r="BD64" i="1"/>
  <c r="D67" i="1"/>
  <c r="G67" i="1" s="1"/>
  <c r="D71" i="1"/>
  <c r="G71" i="1" s="1"/>
  <c r="BB76" i="1"/>
  <c r="BA82" i="1"/>
  <c r="BA101" i="1"/>
  <c r="BA112" i="1"/>
  <c r="BA119" i="1"/>
  <c r="BA124" i="1"/>
  <c r="D10" i="1"/>
  <c r="G10" i="1" s="1"/>
  <c r="BD13" i="1"/>
  <c r="BB4" i="1"/>
  <c r="BI10" i="1"/>
  <c r="BJ10" i="1" s="1"/>
  <c r="BD15" i="1"/>
  <c r="BC19" i="1"/>
  <c r="BA23" i="1"/>
  <c r="BC71" i="1"/>
  <c r="D80" i="1"/>
  <c r="E80" i="1" s="1"/>
  <c r="BD81" i="1"/>
  <c r="BC92" i="1"/>
  <c r="BD104" i="1"/>
  <c r="BC114" i="1"/>
  <c r="BC122" i="1"/>
  <c r="BC125" i="1"/>
  <c r="BA126" i="1"/>
  <c r="BA9" i="1"/>
  <c r="BA14" i="1"/>
  <c r="BI14" i="1"/>
  <c r="BJ14" i="1" s="1"/>
  <c r="BD28" i="1"/>
  <c r="F31" i="1"/>
  <c r="BD35" i="1"/>
  <c r="BC9" i="1"/>
  <c r="BI9" i="1"/>
  <c r="BJ9" i="1" s="1"/>
  <c r="BC14" i="1"/>
  <c r="D31" i="1"/>
  <c r="G31" i="1" s="1"/>
  <c r="BA13" i="1"/>
  <c r="BA16" i="1"/>
  <c r="D47" i="1"/>
  <c r="BD48" i="1"/>
  <c r="BD5" i="1"/>
  <c r="BC41" i="1"/>
  <c r="BA3" i="1"/>
  <c r="BB7" i="1"/>
  <c r="BI7" i="1"/>
  <c r="BJ7" i="1" s="1"/>
  <c r="D12" i="1"/>
  <c r="G12" i="1" s="1"/>
  <c r="BA15" i="1"/>
  <c r="F24" i="1"/>
  <c r="BB32" i="1"/>
  <c r="BI51" i="1"/>
  <c r="BJ51" i="1" s="1"/>
  <c r="F54" i="1"/>
  <c r="BD58" i="1"/>
  <c r="BD59" i="1"/>
  <c r="F62" i="1"/>
  <c r="BB63" i="1"/>
  <c r="BD68" i="1"/>
  <c r="BJ77" i="1"/>
  <c r="BB80" i="1"/>
  <c r="BA81" i="1"/>
  <c r="D84" i="1"/>
  <c r="E84" i="1" s="1"/>
  <c r="F88" i="1"/>
  <c r="BI96" i="1"/>
  <c r="BJ96" i="1" s="1"/>
  <c r="D100" i="1"/>
  <c r="G100" i="1" s="1"/>
  <c r="D111" i="1"/>
  <c r="G111" i="1" s="1"/>
  <c r="BC111" i="1"/>
  <c r="BI122" i="1"/>
  <c r="BJ122" i="1" s="1"/>
  <c r="BD11" i="1"/>
  <c r="BA11" i="1"/>
  <c r="BI11" i="1"/>
  <c r="BJ11" i="1" s="1"/>
  <c r="F20" i="1"/>
  <c r="BC20" i="1"/>
  <c r="BA20" i="1"/>
  <c r="F21" i="1"/>
  <c r="D21" i="1"/>
  <c r="G21" i="1" s="1"/>
  <c r="BB21" i="1"/>
  <c r="BD21" i="1"/>
  <c r="E2" i="1"/>
  <c r="E7" i="1"/>
  <c r="G7" i="1"/>
  <c r="F2" i="1"/>
  <c r="BA10" i="1"/>
  <c r="BB6" i="1"/>
  <c r="BA39" i="1"/>
  <c r="F61" i="1"/>
  <c r="D61" i="1"/>
  <c r="F7" i="1"/>
  <c r="BC11" i="1"/>
  <c r="BB3" i="1"/>
  <c r="F33" i="1"/>
  <c r="D33" i="1"/>
  <c r="BA68" i="1"/>
  <c r="BA100" i="1"/>
  <c r="G108" i="1"/>
  <c r="E108" i="1"/>
  <c r="BC7" i="1"/>
  <c r="BC29" i="1"/>
  <c r="BD39" i="1"/>
  <c r="D42" i="1"/>
  <c r="BB42" i="1"/>
  <c r="BB46" i="1"/>
  <c r="BA72" i="1"/>
  <c r="BC78" i="1"/>
  <c r="F83" i="1"/>
  <c r="D83" i="1"/>
  <c r="BA46" i="1"/>
  <c r="BJ52" i="1"/>
  <c r="BA78" i="1"/>
  <c r="BC83" i="1"/>
  <c r="BC2" i="1"/>
  <c r="D4" i="1"/>
  <c r="F28" i="1"/>
  <c r="D28" i="1"/>
  <c r="BB33" i="1"/>
  <c r="BA33" i="1"/>
  <c r="BI33" i="1"/>
  <c r="BJ33" i="1" s="1"/>
  <c r="BB37" i="1"/>
  <c r="BA42" i="1"/>
  <c r="BI42" i="1"/>
  <c r="BJ42" i="1" s="1"/>
  <c r="BD52" i="1"/>
  <c r="G59" i="1"/>
  <c r="BD93" i="1"/>
  <c r="F98" i="1"/>
  <c r="D11" i="1"/>
  <c r="BA26" i="1"/>
  <c r="D13" i="1"/>
  <c r="BD24" i="1"/>
  <c r="BD25" i="1"/>
  <c r="BB28" i="1"/>
  <c r="BA37" i="1"/>
  <c r="BD46" i="1"/>
  <c r="BA61" i="1"/>
  <c r="BD79" i="1"/>
  <c r="BD84" i="1"/>
  <c r="BA93" i="1"/>
  <c r="G23" i="1"/>
  <c r="BA28" i="1"/>
  <c r="BA29" i="1"/>
  <c r="BD33" i="1"/>
  <c r="BC37" i="1"/>
  <c r="BD42" i="1"/>
  <c r="BA55" i="1"/>
  <c r="BB59" i="1"/>
  <c r="F65" i="1"/>
  <c r="D65" i="1"/>
  <c r="BD71" i="1"/>
  <c r="F87" i="1"/>
  <c r="D87" i="1"/>
  <c r="BC98" i="1"/>
  <c r="BI98" i="1"/>
  <c r="BJ98" i="1" s="1"/>
  <c r="BB103" i="1"/>
  <c r="BB18" i="1"/>
  <c r="BB8" i="1"/>
  <c r="BC23" i="1"/>
  <c r="BB23" i="1"/>
  <c r="F32" i="1"/>
  <c r="D32" i="1"/>
  <c r="BD34" i="1"/>
  <c r="BA59" i="1"/>
  <c r="BA71" i="1"/>
  <c r="BD72" i="1"/>
  <c r="BA83" i="1"/>
  <c r="BB92" i="1"/>
  <c r="BA98" i="1"/>
  <c r="F22" i="1"/>
  <c r="BC32" i="1"/>
  <c r="BC33" i="1"/>
  <c r="G50" i="1"/>
  <c r="E50" i="1"/>
  <c r="BD55" i="1"/>
  <c r="BC59" i="1"/>
  <c r="BB65" i="1"/>
  <c r="BB70" i="1"/>
  <c r="D76" i="1"/>
  <c r="BB87" i="1"/>
  <c r="BA92" i="1"/>
  <c r="BB36" i="1"/>
  <c r="BA38" i="1"/>
  <c r="BB41" i="1"/>
  <c r="BB50" i="1"/>
  <c r="BD51" i="1"/>
  <c r="BD56" i="1"/>
  <c r="BA65" i="1"/>
  <c r="BI65" i="1"/>
  <c r="BJ65" i="1" s="1"/>
  <c r="BA70" i="1"/>
  <c r="BC76" i="1"/>
  <c r="BA87" i="1"/>
  <c r="BI87" i="1"/>
  <c r="BJ87" i="1" s="1"/>
  <c r="BD98" i="1"/>
  <c r="BD103" i="1"/>
  <c r="BD23" i="1"/>
  <c r="BB27" i="1"/>
  <c r="BA36" i="1"/>
  <c r="BA50" i="1"/>
  <c r="BA51" i="1"/>
  <c r="BA76" i="1"/>
  <c r="BC91" i="1"/>
  <c r="BB91" i="1"/>
  <c r="BD92" i="1"/>
  <c r="BJ92" i="1"/>
  <c r="BB97" i="1"/>
  <c r="BB102" i="1"/>
  <c r="BC22" i="1"/>
  <c r="BA27" i="1"/>
  <c r="BA41" i="1"/>
  <c r="BB58" i="1"/>
  <c r="BA60" i="1"/>
  <c r="BD65" i="1"/>
  <c r="BC69" i="1"/>
  <c r="BB69" i="1"/>
  <c r="BD70" i="1"/>
  <c r="BD87" i="1"/>
  <c r="BA97" i="1"/>
  <c r="BC10" i="1"/>
  <c r="BC16" i="1"/>
  <c r="BB14" i="1"/>
  <c r="BA22" i="1"/>
  <c r="BI41" i="1"/>
  <c r="BJ41" i="1" s="1"/>
  <c r="BC49" i="1"/>
  <c r="BD50" i="1"/>
  <c r="BB54" i="1"/>
  <c r="BB75" i="1"/>
  <c r="BD76" i="1"/>
  <c r="BB81" i="1"/>
  <c r="D20" i="1"/>
  <c r="BB26" i="1"/>
  <c r="BD27" i="1"/>
  <c r="F40" i="1"/>
  <c r="BC44" i="1"/>
  <c r="BI44" i="1"/>
  <c r="BJ44" i="1" s="1"/>
  <c r="F53" i="1"/>
  <c r="BD61" i="1"/>
  <c r="BB64" i="1"/>
  <c r="BD66" i="1"/>
  <c r="BA75" i="1"/>
  <c r="BD88" i="1"/>
  <c r="F90" i="1"/>
  <c r="BD91" i="1"/>
  <c r="BD102" i="1"/>
  <c r="BB5" i="1"/>
  <c r="BB15" i="1"/>
  <c r="E17" i="1"/>
  <c r="BA21" i="1"/>
  <c r="BD22" i="1"/>
  <c r="BA44" i="1"/>
  <c r="BB48" i="1"/>
  <c r="G53" i="1"/>
  <c r="E53" i="1"/>
  <c r="BB53" i="1"/>
  <c r="BD69" i="1"/>
  <c r="BB20" i="1"/>
  <c r="BI21" i="1"/>
  <c r="BJ21" i="1" s="1"/>
  <c r="BB31" i="1"/>
  <c r="BA35" i="1"/>
  <c r="BD36" i="1"/>
  <c r="BA48" i="1"/>
  <c r="BD54" i="1"/>
  <c r="BD83" i="1"/>
  <c r="BB90" i="1"/>
  <c r="BB96" i="1"/>
  <c r="BA99" i="1"/>
  <c r="BB105" i="1"/>
  <c r="BJ115" i="1"/>
  <c r="G95" i="1"/>
  <c r="D43" i="1"/>
  <c r="BA63" i="1"/>
  <c r="D73" i="1"/>
  <c r="BA74" i="1"/>
  <c r="BA85" i="1"/>
  <c r="BD96" i="1"/>
  <c r="BA105" i="1"/>
  <c r="BI16" i="1"/>
  <c r="BJ16" i="1" s="1"/>
  <c r="BI17" i="1"/>
  <c r="BJ17" i="1" s="1"/>
  <c r="BB30" i="1"/>
  <c r="BC34" i="1"/>
  <c r="BB34" i="1"/>
  <c r="BB47" i="1"/>
  <c r="BA49" i="1"/>
  <c r="BB52" i="1"/>
  <c r="BD57" i="1"/>
  <c r="BC62" i="1"/>
  <c r="BI62" i="1"/>
  <c r="BJ62" i="1" s="1"/>
  <c r="BA77" i="1"/>
  <c r="BD80" i="1"/>
  <c r="BC100" i="1"/>
  <c r="BA30" i="1"/>
  <c r="BD32" i="1"/>
  <c r="E39" i="1"/>
  <c r="BB43" i="1"/>
  <c r="BA47" i="1"/>
  <c r="BA62" i="1"/>
  <c r="BD63" i="1"/>
  <c r="BB67" i="1"/>
  <c r="BD74" i="1"/>
  <c r="BD85" i="1"/>
  <c r="BB89" i="1"/>
  <c r="BB94" i="1"/>
  <c r="BD105" i="1"/>
  <c r="BD31" i="1"/>
  <c r="BB39" i="1"/>
  <c r="BD40" i="1"/>
  <c r="BA67" i="1"/>
  <c r="BB79" i="1"/>
  <c r="BI84" i="1"/>
  <c r="BJ84" i="1" s="1"/>
  <c r="BA89" i="1"/>
  <c r="BD95" i="1"/>
  <c r="BD101" i="1"/>
  <c r="BC108" i="1"/>
  <c r="D115" i="1"/>
  <c r="BB127" i="1"/>
  <c r="BC130" i="1"/>
  <c r="BB124" i="1"/>
  <c r="BB25" i="1"/>
  <c r="BB77" i="1"/>
  <c r="BB99" i="1"/>
  <c r="D109" i="1"/>
  <c r="BB121" i="1"/>
  <c r="D106" i="1"/>
  <c r="BB118" i="1"/>
  <c r="D128" i="1"/>
  <c r="BB29" i="1"/>
  <c r="BB71" i="1"/>
  <c r="BB93" i="1"/>
  <c r="BB115" i="1"/>
  <c r="BB40" i="1"/>
  <c r="BB51" i="1"/>
  <c r="BB112" i="1"/>
  <c r="BB22" i="1"/>
  <c r="D75" i="1"/>
  <c r="D97" i="1"/>
  <c r="BB44" i="1"/>
  <c r="BB55" i="1"/>
  <c r="BB62" i="1"/>
  <c r="BB84" i="1"/>
  <c r="BB106" i="1"/>
  <c r="BB128" i="1"/>
  <c r="D34" i="1"/>
  <c r="E41" i="1"/>
  <c r="D69" i="1"/>
  <c r="D91" i="1"/>
  <c r="E94" i="1"/>
  <c r="D113" i="1"/>
  <c r="BB125" i="1"/>
  <c r="BB78" i="1"/>
  <c r="BB100" i="1"/>
  <c r="BB122" i="1"/>
  <c r="BB119" i="1"/>
  <c r="D129" i="1"/>
  <c r="BB116" i="1"/>
  <c r="BB113" i="1"/>
  <c r="BB45" i="1"/>
  <c r="BB56" i="1"/>
  <c r="BB66" i="1"/>
  <c r="BB88" i="1"/>
  <c r="BB107" i="1"/>
  <c r="BB129" i="1"/>
  <c r="BB38" i="1"/>
  <c r="BB49" i="1"/>
  <c r="BB60" i="1"/>
  <c r="BB82" i="1"/>
  <c r="BB104" i="1"/>
  <c r="D114" i="1"/>
  <c r="E117" i="1"/>
  <c r="BB126" i="1"/>
  <c r="E35" i="1"/>
  <c r="E92" i="1"/>
  <c r="BB123" i="1"/>
  <c r="BB98" i="1"/>
  <c r="BB120" i="1"/>
  <c r="D130" i="1"/>
  <c r="BB24" i="1"/>
  <c r="BB73" i="1"/>
  <c r="BB95" i="1"/>
  <c r="BB117" i="1"/>
  <c r="D127" i="1"/>
  <c r="BB114" i="1"/>
  <c r="BB17" i="1"/>
  <c r="E96" i="1" l="1"/>
  <c r="E99" i="1"/>
  <c r="E48" i="1"/>
  <c r="E22" i="1"/>
  <c r="E72" i="1"/>
  <c r="G3" i="1"/>
  <c r="G25" i="1"/>
  <c r="G56" i="1"/>
  <c r="E116" i="1"/>
  <c r="G80" i="1"/>
  <c r="E49" i="1"/>
  <c r="G79" i="1"/>
  <c r="E74" i="1"/>
  <c r="G103" i="1"/>
  <c r="E101" i="1"/>
  <c r="G45" i="1"/>
  <c r="G15" i="1"/>
  <c r="E70" i="1"/>
  <c r="E31" i="1"/>
  <c r="E121" i="1"/>
  <c r="G107" i="1"/>
  <c r="G88" i="1"/>
  <c r="E52" i="1"/>
  <c r="E46" i="1"/>
  <c r="E85" i="1"/>
  <c r="E9" i="1"/>
  <c r="E6" i="1"/>
  <c r="G55" i="1"/>
  <c r="G54" i="1"/>
  <c r="E24" i="1"/>
  <c r="E119" i="1"/>
  <c r="E123" i="1"/>
  <c r="E8" i="1"/>
  <c r="G26" i="1"/>
  <c r="E40" i="1"/>
  <c r="E120" i="1"/>
  <c r="E38" i="1"/>
  <c r="E86" i="1"/>
  <c r="E44" i="1"/>
  <c r="E19" i="1"/>
  <c r="G27" i="1"/>
  <c r="E98" i="1"/>
  <c r="E64" i="1"/>
  <c r="E122" i="1"/>
  <c r="E30" i="1"/>
  <c r="G14" i="1"/>
  <c r="E71" i="1"/>
  <c r="E93" i="1"/>
  <c r="E62" i="1"/>
  <c r="G68" i="1"/>
  <c r="G125" i="1"/>
  <c r="G84" i="1"/>
  <c r="G78" i="1"/>
  <c r="E60" i="1"/>
  <c r="E51" i="1"/>
  <c r="E105" i="1"/>
  <c r="G90" i="1"/>
  <c r="E118" i="1"/>
  <c r="E110" i="1"/>
  <c r="G126" i="1"/>
  <c r="G18" i="1"/>
  <c r="G16" i="1"/>
  <c r="E16" i="1"/>
  <c r="E12" i="1"/>
  <c r="G77" i="1"/>
  <c r="E77" i="1"/>
  <c r="E102" i="1"/>
  <c r="G102" i="1"/>
  <c r="G36" i="1"/>
  <c r="E36" i="1"/>
  <c r="G82" i="1"/>
  <c r="E82" i="1"/>
  <c r="G47" i="1"/>
  <c r="E47" i="1"/>
  <c r="E100" i="1"/>
  <c r="G104" i="1"/>
  <c r="E104" i="1"/>
  <c r="E81" i="1"/>
  <c r="G81" i="1"/>
  <c r="G124" i="1"/>
  <c r="E89" i="1"/>
  <c r="E111" i="1"/>
  <c r="G58" i="1"/>
  <c r="E58" i="1"/>
  <c r="E5" i="1"/>
  <c r="G5" i="1"/>
  <c r="E67" i="1"/>
  <c r="E10" i="1"/>
  <c r="E112" i="1"/>
  <c r="E57" i="1"/>
  <c r="E37" i="1"/>
  <c r="G63" i="1"/>
  <c r="E63" i="1"/>
  <c r="E29" i="1"/>
  <c r="G66" i="1"/>
  <c r="E21" i="1"/>
  <c r="G109" i="1"/>
  <c r="E109" i="1"/>
  <c r="E73" i="1"/>
  <c r="G73" i="1"/>
  <c r="E34" i="1"/>
  <c r="G34" i="1"/>
  <c r="G106" i="1"/>
  <c r="E106" i="1"/>
  <c r="G127" i="1"/>
  <c r="E127" i="1"/>
  <c r="E43" i="1"/>
  <c r="G43" i="1"/>
  <c r="G83" i="1"/>
  <c r="E83" i="1"/>
  <c r="G128" i="1"/>
  <c r="E128" i="1"/>
  <c r="E69" i="1"/>
  <c r="G69" i="1"/>
  <c r="G130" i="1"/>
  <c r="E130" i="1"/>
  <c r="G33" i="1"/>
  <c r="E33" i="1"/>
  <c r="E20" i="1"/>
  <c r="G20" i="1"/>
  <c r="G87" i="1"/>
  <c r="E87" i="1"/>
  <c r="E91" i="1"/>
  <c r="G91" i="1"/>
  <c r="G115" i="1"/>
  <c r="E115" i="1"/>
  <c r="G129" i="1"/>
  <c r="E129" i="1"/>
  <c r="G97" i="1"/>
  <c r="E97" i="1"/>
  <c r="G75" i="1"/>
  <c r="E75" i="1"/>
  <c r="G65" i="1"/>
  <c r="E65" i="1"/>
  <c r="G13" i="1"/>
  <c r="E13" i="1"/>
  <c r="G28" i="1"/>
  <c r="E28" i="1"/>
  <c r="G76" i="1"/>
  <c r="E76" i="1"/>
  <c r="E11" i="1"/>
  <c r="G11" i="1"/>
  <c r="G4" i="1"/>
  <c r="E4" i="1"/>
  <c r="G113" i="1"/>
  <c r="E113" i="1"/>
  <c r="G61" i="1"/>
  <c r="E61" i="1"/>
  <c r="G114" i="1"/>
  <c r="E114" i="1"/>
  <c r="G32" i="1"/>
  <c r="E32" i="1"/>
  <c r="G42" i="1"/>
  <c r="E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I1" authorId="0" shapeId="0" xr:uid="{7FDA5AAF-836A-4D82-94FC-1366E9EA75B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Revisar Kilos despachados a Criaderos de Animales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Master_trasabilidad_TopShell].[Año].[All]}"/>
    <s v="{[Master_trasabilidad_TopShell].[Mes 2].&amp;[3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<sst xmlns="http://schemas.openxmlformats.org/spreadsheetml/2006/main" count="293" uniqueCount="291">
  <si>
    <t>DONOR</t>
  </si>
  <si>
    <t>{KG DECREASE IN THE MONTH}</t>
  </si>
  <si>
    <t>{KG DONATED IN THE MONTH}</t>
  </si>
  <si>
    <t>{KG YOU PROFIT IN THE MONTH}</t>
  </si>
  <si>
    <t>{FEED FORMULA % USED}</t>
  </si>
  <si>
    <t>{FOOD FORMULA % MERMA}</t>
  </si>
  <si>
    <t>{FORMULA CONVERSION TO FOOD PLATES}</t>
  </si>
  <si>
    <t>SIN AREA Obs/PRO</t>
  </si>
  <si>
    <t>NO ASSIGNED KG AREA</t>
  </si>
  <si>
    <t>SIN AREA BENEFICIARIOS</t>
  </si>
  <si>
    <t>P CENTRO Obs/PRO</t>
  </si>
  <si>
    <t>P CENTRO KG ASIGNADOS</t>
  </si>
  <si>
    <t>P CENTRO BENEFICIARIOS</t>
  </si>
  <si>
    <t>ESTE Obs/PRO</t>
  </si>
  <si>
    <t>ESTE KG ASIGNADOS</t>
  </si>
  <si>
    <t>ESTE BENEFICIARIOS</t>
  </si>
  <si>
    <t>NORTE Obs/PRO</t>
  </si>
  <si>
    <t>NORTE KG ASIGNADOS</t>
  </si>
  <si>
    <t>NORTE BENEFICIARIOS</t>
  </si>
  <si>
    <t>SAN MIGUELITO Obs/PRO</t>
  </si>
  <si>
    <t>SAN MIGUELITO KG ASIGNADOS</t>
  </si>
  <si>
    <t>SAN MIGUELITO BENEFICIARIOS</t>
  </si>
  <si>
    <t>OESTE Obs/PRO</t>
  </si>
  <si>
    <t>OESTE KG ASIGNADOS</t>
  </si>
  <si>
    <t>OESTE BENEFICIARIOS</t>
  </si>
  <si>
    <t>COCLE Obs/PRO</t>
  </si>
  <si>
    <t>COCLE KG ASIGNADOS</t>
  </si>
  <si>
    <t>COCLE BENEFICIARIOS</t>
  </si>
  <si>
    <t>COLON Obs/PRO</t>
  </si>
  <si>
    <t>COLON KG ASIGNADOS</t>
  </si>
  <si>
    <t>COLON BENEFICIARIOS</t>
  </si>
  <si>
    <t>DARIÉN Obs/PRO</t>
  </si>
  <si>
    <t>DARIÉN KG ASIGNADOS</t>
  </si>
  <si>
    <t>DARIÉN BENEFICIARIOS</t>
  </si>
  <si>
    <t>HERRERA Obs/PRO</t>
  </si>
  <si>
    <t>HERRERA KG ASIGNADOS</t>
  </si>
  <si>
    <t>HERRERA BENEFICIARIOS</t>
  </si>
  <si>
    <t>LOS SANTOS Obs/PRO</t>
  </si>
  <si>
    <t>LOS SANTOS KG ASIGNADOS</t>
  </si>
  <si>
    <t>LOS SANTOS BENEFICIARIOS</t>
  </si>
  <si>
    <t>VERAGUAS Obs/PRO</t>
  </si>
  <si>
    <t>VERAGUAS KG ASIGNADOS</t>
  </si>
  <si>
    <t>VERAGUAS BENEFICIARIOS</t>
  </si>
  <si>
    <t>CHIRIQUI Obs/PRO</t>
  </si>
  <si>
    <t>CHIRIQUI KG ASIGNADOS</t>
  </si>
  <si>
    <t>CHIRIQUI BENEFICIARIOS</t>
  </si>
  <si>
    <t>BOCAS  Obs/PRO</t>
  </si>
  <si>
    <t>BOCAS KG ASIGNADOS</t>
  </si>
  <si>
    <t>BOCAS BENEFICIARIOS</t>
  </si>
  <si>
    <t>Comarca Ngabe Bugle Obs/PRO</t>
  </si>
  <si>
    <t>Comarca Ngabe Bugle KG ASIGNADOS</t>
  </si>
  <si>
    <t>Comarca Ngabe Bugle BENEFICIARIOS</t>
  </si>
  <si>
    <t>Total Obs/PRO</t>
  </si>
  <si>
    <t>Total KG ASIGNADOS</t>
  </si>
  <si>
    <t>Total_Prov_Pma</t>
  </si>
  <si>
    <t>Total BENEFICIARIOS</t>
  </si>
  <si>
    <t>Sin Edad</t>
  </si>
  <si>
    <t>Niños 0-5</t>
  </si>
  <si>
    <t>Niños 6-10</t>
  </si>
  <si>
    <t>Niños 11-18</t>
  </si>
  <si>
    <t>Total NIÑOS</t>
  </si>
  <si>
    <t>Total ADULTOS</t>
  </si>
  <si>
    <t>Benefeciarios en Total</t>
  </si>
  <si>
    <t>OB_Ene</t>
  </si>
  <si>
    <t>OB_Feb</t>
  </si>
  <si>
    <t>OB_Mar</t>
  </si>
  <si>
    <t>OB_Abr</t>
  </si>
  <si>
    <t>OB_May</t>
  </si>
  <si>
    <t>OB_Jun</t>
  </si>
  <si>
    <t>OB_Jul</t>
  </si>
  <si>
    <t>OB_Ago</t>
  </si>
  <si>
    <t>OB_Sep</t>
  </si>
  <si>
    <t>OB_Oct</t>
  </si>
  <si>
    <t>OB_Nov</t>
  </si>
  <si>
    <t>OB_Dic</t>
  </si>
  <si>
    <t>OB_Total</t>
  </si>
  <si>
    <t>Kilos_Ene</t>
  </si>
  <si>
    <t>Kilos_Feb</t>
  </si>
  <si>
    <t>Kilos_Mar</t>
  </si>
  <si>
    <t>Kilos_Abr</t>
  </si>
  <si>
    <t>Kilos_May</t>
  </si>
  <si>
    <t>Kilos_Jun</t>
  </si>
  <si>
    <t>Kilos_Jul</t>
  </si>
  <si>
    <t>Kilos_Ago</t>
  </si>
  <si>
    <t>Kilos_Sep</t>
  </si>
  <si>
    <t>Kilos_Oct</t>
  </si>
  <si>
    <t>Kilos_Nov</t>
  </si>
  <si>
    <t>Kilos_Dic</t>
  </si>
  <si>
    <t>Kilos_Total</t>
  </si>
  <si>
    <t>Poblacion_Ene</t>
  </si>
  <si>
    <t>Poblacion_Feb</t>
  </si>
  <si>
    <t>Poblacion_Mar</t>
  </si>
  <si>
    <t>Poblacion_Abr</t>
  </si>
  <si>
    <t>Poblacion_May</t>
  </si>
  <si>
    <t>Poblacion_Jun</t>
  </si>
  <si>
    <t>Poblacion_Jul</t>
  </si>
  <si>
    <t>Poblacion_Ago</t>
  </si>
  <si>
    <t>Poblacion_Sep</t>
  </si>
  <si>
    <t>Poblacion_Oct</t>
  </si>
  <si>
    <t>Poblacion_Nov</t>
  </si>
  <si>
    <t>Poblacion_Dic</t>
  </si>
  <si>
    <t>Poblacion_Total</t>
  </si>
  <si>
    <t>Contacto principal</t>
  </si>
  <si>
    <t>Correo Electrónico</t>
  </si>
  <si>
    <t>Telefono</t>
  </si>
  <si>
    <t>File Name</t>
  </si>
  <si>
    <t>FEDURO AGENCIES</t>
  </si>
  <si>
    <t>Traceability Report - - FEDURO AGENCIES</t>
  </si>
  <si>
    <t>ALIMENTOS CÁRNICOS DE PANAMA, S.A</t>
  </si>
  <si>
    <t>Traceability Report - - ALIMENTOS CÁRNICOS DE PANAMA, S.A</t>
  </si>
  <si>
    <t>ALIMENTOS NICO, S.A, (ANICSA)</t>
  </si>
  <si>
    <t>Traceability Report - - ALIMENTOS NICO, S.A, (ANICSA)</t>
  </si>
  <si>
    <t>Bienes y Raices Metalicas S.A.</t>
  </si>
  <si>
    <t>Traceability Report - - Bienes y Raices Metalicas S.A.</t>
  </si>
  <si>
    <t>NATIONAL BREWERY</t>
  </si>
  <si>
    <t>Traceability Report - - NATIONAL BREWERY</t>
  </si>
  <si>
    <t>KOL SHEARITH ISRAEL BROTHERHOOD CONGREGATION</t>
  </si>
  <si>
    <t>Traceability Report - - KOL SHEARITH ISRAEL BROTHERHOOD CONGREGATION</t>
  </si>
  <si>
    <t>CORPORACIÓN INTERNACIONAL DE ALIMENTOS, S.A.</t>
  </si>
  <si>
    <t>Traceability Report - - CORPORACIÓN INTERNACIONAL DE ALIMENTOS, S.A.</t>
  </si>
  <si>
    <t>Delivery Hero Dmart Panama S.A. (Orders Now)</t>
  </si>
  <si>
    <t>Traceability Report - - Delivery Hero Dmart Panama S.A. (Orders Now)</t>
  </si>
  <si>
    <t>Empresa Panamaniña de Alimentos, S. A.</t>
  </si>
  <si>
    <t>Traceability Report - - Empresa Panamaniña de Alimentos, S. A.</t>
  </si>
  <si>
    <t>FELIPE MOTTA, S.A</t>
  </si>
  <si>
    <t>Traceability Report - - FELIPE MOTTA, S.A</t>
  </si>
  <si>
    <t>PANAMEAN FRANCHISES</t>
  </si>
  <si>
    <t>Traceability Report - - PANAMEAN FRANCHISES</t>
  </si>
  <si>
    <t>GENTILE - G &amp; H. S.A.</t>
  </si>
  <si>
    <t>Traceability Report - - GENTILE - G &amp; H. S.A.</t>
  </si>
  <si>
    <t>GLOBAL PRODUCTS AND LOGISTIC SERVICES, INC. (Dicarina)</t>
  </si>
  <si>
    <t>Traceability Report - - GLOBAL PRODUCTS AND LOGISTIC SERVICES, INC. (Dicarina)</t>
  </si>
  <si>
    <t>Calesa Group</t>
  </si>
  <si>
    <t>Traceability Report - - Calesa Group</t>
  </si>
  <si>
    <t>GRUPO REY</t>
  </si>
  <si>
    <t>Traceability Report - - GRUPO REY</t>
  </si>
  <si>
    <t>HT ZANETATO INC</t>
  </si>
  <si>
    <t>Traceability Report - - HT ZANETATO INC</t>
  </si>
  <si>
    <t>MERCA PANAMA</t>
  </si>
  <si>
    <t>Traceability Report - - MERCA PANAMA</t>
  </si>
  <si>
    <t>NEGOCIOS CENTROAMERICANOS, S.A</t>
  </si>
  <si>
    <t>Traceability Report - - NEGOCIOS CENTROAMERICANOS, S.A</t>
  </si>
  <si>
    <t>NESTLE PANAMA</t>
  </si>
  <si>
    <t>Traceability Report - - NESTLE PANAMA</t>
  </si>
  <si>
    <t>ORDER OF MALTA PANAMA PANAMANIAN ASSOCIATION</t>
  </si>
  <si>
    <t>Traceability Report - - ORDER OF MALTA PANAMA PANAMANIAN ASSOCIATION</t>
  </si>
  <si>
    <t>PANASAL</t>
  </si>
  <si>
    <t>Traceability Report - - PANASAL</t>
  </si>
  <si>
    <t>PEDERSEN FINE FOODS, S.A</t>
  </si>
  <si>
    <t>Traceability Report - - PEDERSEN FINE FOODS, S.A</t>
  </si>
  <si>
    <t>Price-Smart-Panama S.A</t>
  </si>
  <si>
    <t>Traceability Report - - Price-Smart-Panama S.A</t>
  </si>
  <si>
    <t>PRODISA TRADING S.A.</t>
  </si>
  <si>
    <t>Traceability Report - - PRODISA TRADING S.A.</t>
  </si>
  <si>
    <t>KIENER PRODUCTS</t>
  </si>
  <si>
    <t>Traceability Report - - KIENER PRODUCTS</t>
  </si>
  <si>
    <t>PRODUCTOS LA DOÑA, S.A</t>
  </si>
  <si>
    <t>Traceability Report - - PRODUCTOS LA DOÑA, S.A</t>
  </si>
  <si>
    <t>NEVADA S.A. PRODUCTS</t>
  </si>
  <si>
    <t>Traceability Report - - NEVADA S.A. PRODUCTS</t>
  </si>
  <si>
    <t>TOLEDANO PRODUCTS</t>
  </si>
  <si>
    <t>Traceability Report - - TOLEDANO PRODUCTS</t>
  </si>
  <si>
    <t>KILOS OF HOPE PROGRAM</t>
  </si>
  <si>
    <t>Traceability Report - - KILOS OF HOPE PROGRAM</t>
  </si>
  <si>
    <t>PROSERV</t>
  </si>
  <si>
    <t>Traceability Report - - PROSERV</t>
  </si>
  <si>
    <t>PURISSIMA, S.A</t>
  </si>
  <si>
    <t>Traceability Report - - PURISSIMA, S.A</t>
  </si>
  <si>
    <t>REPRESENTACIONES TEJEIRA, S.A</t>
  </si>
  <si>
    <t>Traceability Report - - REPRESENTACIONES TEJEIRA, S.A</t>
  </si>
  <si>
    <t>SALVA - SEA,</t>
  </si>
  <si>
    <t>Traceability Report - - SAVE - SEA,</t>
  </si>
  <si>
    <t>SUPER MEATS</t>
  </si>
  <si>
    <t>Traceability Report - - SUPER MEATS</t>
  </si>
  <si>
    <t>VENTAS Y MERCADEO, S.A</t>
  </si>
  <si>
    <t>Traceability Report - - VENTAS Y MERCADEO, S.A</t>
  </si>
  <si>
    <t>Colgate Palmolive (CENTRAL AMERICA) INC</t>
  </si>
  <si>
    <t>Traceability Report - - Colgate Palmolive (CENTRAL AMERICA) INC</t>
  </si>
  <si>
    <t>IMPORTADORA FRUTA INTERNACIONAL PANAMÁ, S.A.</t>
  </si>
  <si>
    <t>Traceability Report - - IMPORTADORA FRUTA INTERNACIONAL PANAMÁ, S.A.</t>
  </si>
  <si>
    <t>IMPORTADORA TRANSMUNDI, S.A</t>
  </si>
  <si>
    <t>Traceability Report - - IMPORTADORA TRANSMUNDI, S.A</t>
  </si>
  <si>
    <t>FOREVER OCEANS PANAMA, S.A.</t>
  </si>
  <si>
    <t>Traceability Report - - FOREVER OCEANS PANAMA, S.A.</t>
  </si>
  <si>
    <t>SUPER BRANDS CORPORATION</t>
  </si>
  <si>
    <t>Traceability Report - - SUPER BRANDS CORPORATION</t>
  </si>
  <si>
    <t>Jacach S.A.</t>
  </si>
  <si>
    <t>Traceability Report - - Jacach S.A.</t>
  </si>
  <si>
    <t>Marketing Roots Inc.</t>
  </si>
  <si>
    <t>Traceability Report - - Marketing Roots Inc.</t>
  </si>
  <si>
    <t>Vima Foods Panama S.A.</t>
  </si>
  <si>
    <t>Traceability Report - - Vima Foods Panama S.A.</t>
  </si>
  <si>
    <t>PRODUCTOS LUX, S.A (Proluxa)</t>
  </si>
  <si>
    <t>Traceability Report - - PRODUCTOS LUX, S.A (Proluxa)</t>
  </si>
  <si>
    <t>MARTIN BROWER</t>
  </si>
  <si>
    <t>Traceability Report - - MARTIN BROWER</t>
  </si>
  <si>
    <t>NUTRISERVI PANAMA S.A</t>
  </si>
  <si>
    <t>Traceability Report - - NUTRISERVI PANAMA S.A</t>
  </si>
  <si>
    <t>RIBA SMITH, S.A.</t>
  </si>
  <si>
    <t>Traceability Report - - RIBA SMITH, S.A.</t>
  </si>
  <si>
    <t>SG Foods Latinoamérica, S.A.</t>
  </si>
  <si>
    <t>Traceability Report - - SG Foods Latinoamérica, S.A.</t>
  </si>
  <si>
    <t>IMPORTER AND EXPORTER NIMAR</t>
  </si>
  <si>
    <t>Traceability Report - - IMPORTER AND EXPORTER NIMAR</t>
  </si>
  <si>
    <t>GC DEV, S.A.</t>
  </si>
  <si>
    <t>Traceability Report - - GC DEV, S.A.</t>
  </si>
  <si>
    <t>Agrícola La Lomita, S.A.</t>
  </si>
  <si>
    <t>Traceability Report - - Agrícola La Lomita, S.A.</t>
  </si>
  <si>
    <t>NOURISHING LIVES CAMPAIGN</t>
  </si>
  <si>
    <t>Traceability Report - - NOURISHING LIVES CAMPAIGN</t>
  </si>
  <si>
    <t>CERRO PUNTA, S.A</t>
  </si>
  <si>
    <t>Traceability Report - - CERRO PUNTA, S.A</t>
  </si>
  <si>
    <t>COMPAÑIA LEVAPAN DE PANAMA, S.A.</t>
  </si>
  <si>
    <t>Traceability Report - - COMPAÑIA LEVAPAN DE PANAMA, S.A.</t>
  </si>
  <si>
    <t>DICSA PANAMA</t>
  </si>
  <si>
    <t>Traceability Report - - DICSA PANAMA</t>
  </si>
  <si>
    <t>Grupo Denis, S.A.</t>
  </si>
  <si>
    <t>Traceability Report - - Grupo Denis, S.A.</t>
  </si>
  <si>
    <t>INVERSIONES MAKAPANA, S.A</t>
  </si>
  <si>
    <t>Traceability Report - - INVERSIONES MAKAPANA, S.A</t>
  </si>
  <si>
    <t>KERRY PANAMA, S.A.</t>
  </si>
  <si>
    <t>Traceability Report - - KERRY P</t>
  </si>
  <si>
    <t>LINA CORPORATION INC (LINA)</t>
  </si>
  <si>
    <t>MEDIA ITEMS, INC</t>
  </si>
  <si>
    <t>MELO FARMA, S.A.</t>
  </si>
  <si>
    <t>MERCALIMENTOS PANAMA, S.A</t>
  </si>
  <si>
    <t>NATHAN FOODS CORPORATION</t>
  </si>
  <si>
    <t>San Gregorio Trading and Transport S.A.</t>
  </si>
  <si>
    <t>UNILEVER DE CENTROAMERICA S.A.</t>
  </si>
  <si>
    <t>VARELA BROTHERS</t>
  </si>
  <si>
    <t>GOLD MILLS</t>
  </si>
  <si>
    <t>International Franchise Food Service/Subway</t>
  </si>
  <si>
    <t>KIMBERLY-CLARK CENTRAL AMERICAN HOLDING, S.A</t>
  </si>
  <si>
    <t>GREENS &amp; CO</t>
  </si>
  <si>
    <t>PALM LOPEZ AGENCY</t>
  </si>
  <si>
    <t>AGROINVESA - Agroindustrias Alimentarias de Veraguas, S.A. - La Parmigiana</t>
  </si>
  <si>
    <t>IMPORTADORA RICAMAR - SUPER 99</t>
  </si>
  <si>
    <t>NEW HUNG SHENG</t>
  </si>
  <si>
    <t>PRODUCTOS DE PRESTIGIO, S.A</t>
  </si>
  <si>
    <t>COMERCIALIZADORA ANCAR, S.A.</t>
  </si>
  <si>
    <t>K-WORLD ENTERTAINMENT CAMPAIGN</t>
  </si>
  <si>
    <t>Puratos de Panamá, S.A.</t>
  </si>
  <si>
    <t>UNITED WAY</t>
  </si>
  <si>
    <t>IMPORTADORA VIRZI S.A.</t>
  </si>
  <si>
    <t>Inversiones Naturalia, S.A</t>
  </si>
  <si>
    <t>GOURMET IMPORTS, S.A.</t>
  </si>
  <si>
    <t>PANAMA CONVENTION CENTER</t>
  </si>
  <si>
    <t>Italo Hispana Distributor</t>
  </si>
  <si>
    <t>BIMBO DE PANAMA, S.A</t>
  </si>
  <si>
    <t>CESAR ARROCHA GRAELL Y CIA, S.A (Arrocha)</t>
  </si>
  <si>
    <t>FOODS OF THE ISTHMUS (PEPSICO)</t>
  </si>
  <si>
    <t>Grupo BIO, S.A</t>
  </si>
  <si>
    <t>Panama Ship Warehouse</t>
  </si>
  <si>
    <t>Comercializadora Continental Santana S.A. (Costa Group)</t>
  </si>
  <si>
    <t>GRUPO BARSASH, S.A</t>
  </si>
  <si>
    <t>POTUGA FRUIT COMPANY S.A</t>
  </si>
  <si>
    <t>RAMON GONZALEZ REVILLA DRUGSTORE</t>
  </si>
  <si>
    <t>DULCERIA MOMI, S.A.</t>
  </si>
  <si>
    <t>MINERA PANAMA</t>
  </si>
  <si>
    <t>EMPAQUES DE COLON S.A.</t>
  </si>
  <si>
    <t>H. TZANETATO INC</t>
  </si>
  <si>
    <t>INTERLIGHT INDUSTRIES, S.A.</t>
  </si>
  <si>
    <t>BALBOA INTERNATIONAL PRODUCERS INC.</t>
  </si>
  <si>
    <t>PAN. CESARIN</t>
  </si>
  <si>
    <t>ECO FOOD &amp; HEALTH S.A.</t>
  </si>
  <si>
    <t>CORONADO ACL S.A. (LEUDO BAKERY)</t>
  </si>
  <si>
    <t>Office of the 1st Lady</t>
  </si>
  <si>
    <t>INDUSTRIAS LACTEAS, S.A / Estrella Azul</t>
  </si>
  <si>
    <t>GEORGIA TECH PANAMA FOUNDATION</t>
  </si>
  <si>
    <t>IMPORTADORA AMADAHY S.A.</t>
  </si>
  <si>
    <t>LA CHOLITA S.A.</t>
  </si>
  <si>
    <t>L.A.L. (The Roaring Twenties)</t>
  </si>
  <si>
    <t>UNIVERDE S.A</t>
  </si>
  <si>
    <t>BARRAZA Y COMPAÑIA, S.A</t>
  </si>
  <si>
    <t>National Federation of Salt Cooperatives of Panama (FENCOSPA, R.L.)</t>
  </si>
  <si>
    <t>RODOLFO MORENO Y CIA (ROMOCIA)</t>
  </si>
  <si>
    <t>IMPORTADORA Y EXP HERMANOS GAGO S.A.</t>
  </si>
  <si>
    <t>EUROFRUTAS INC</t>
  </si>
  <si>
    <t>FRESCAFHISH, S.A</t>
  </si>
  <si>
    <t>Global B</t>
  </si>
  <si>
    <t>ULE RIVER RANCH</t>
  </si>
  <si>
    <t>PROCESADORA MONICA, S.A</t>
  </si>
  <si>
    <t>SAMBU ARTISAN FOOD, S.A.</t>
  </si>
  <si>
    <t>GRUPO NIJAR S.A.</t>
  </si>
  <si>
    <t>L?Oréal Panamá Comercial, S. A</t>
  </si>
  <si>
    <t>Agro Export Pacific, S.A</t>
  </si>
  <si>
    <t>CENTRAL AZUCARERO LA VICTORIA</t>
  </si>
  <si>
    <t>COOLBOX FRESIA CORP.</t>
  </si>
  <si>
    <t>CORPORACIÓN MENDELA S.A.</t>
  </si>
  <si>
    <t>FEAX INTERNATIONAL S.A.</t>
  </si>
  <si>
    <t>AGENCIAS ESCOFFERY,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</si>
</sst>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7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3" fontId="0" fillId="7" borderId="0" xfId="0" applyNumberFormat="1" applyFill="1" applyAlignment="1">
      <alignment horizontal="center" vertical="center" wrapText="1"/>
    </xf>
    <xf numFmtId="3" fontId="0" fillId="9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/>
    </xf>
    <xf numFmtId="3" fontId="0" fillId="8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0" fontId="6" fillId="0" borderId="1" xfId="0" applyFont="1" applyBorder="1" applyAlignment="1">
      <alignment horizontal="left"/>
    </xf>
    <xf numFmtId="3" fontId="1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 wrapText="1"/>
    </xf>
    <xf numFmtId="3" fontId="3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camj1/Downloads/Master%20BAP%20Trazabilidad%20mar-26.xlxs/Master%20BAP%20Trazabilidad%20mar-26.xlxs.xlsx" TargetMode="External"/><Relationship Id="rId2" Type="http://schemas.openxmlformats.org/officeDocument/2006/relationships/externalLinkPath" Target="file:///C:\Users\camj1\Downloads\Master%20BAP%20Trazabilidad%20mar-26.xlxs\Master%20BAP%20Trazabilidad%20mar-26.xlxs.xlsx" TargetMode="External"/><Relationship Id="rId1" Type="http://schemas.openxmlformats.org/officeDocument/2006/relationships/externalLinkPath" Target="/Users/camj1/Downloads/Master%20BAP%20Trazabilidad%20mar-26.xlxs/Master%20BAP%20Trazabilidad%20mar-26.xlx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rmes"/>
      <sheetName val="Lot All by Part and DT Expires"/>
      <sheetName val="TRACE DONATIONS WITH SF RECEIPT"/>
      <sheetName val="Lot All by Part"/>
      <sheetName val="TRACE ORDERS WITH DATA OBS"/>
      <sheetName val="Donor Summary"/>
      <sheetName val="Clasificación de Productos SF"/>
      <sheetName val="Donor-Served OBs"/>
      <sheetName val="Donor's Assigned Kilos"/>
      <sheetName val="Population"/>
      <sheetName val="MASTER-2025"/>
      <sheetName val="Now-OB-kg-POB-25"/>
      <sheetName val="OBSERVACIONES OBS"/>
      <sheetName val="Info Donantes"/>
    </sheetNames>
    <sheetDataSet>
      <sheetData sheetId="0"/>
      <sheetData sheetId="1"/>
      <sheetData sheetId="2"/>
      <sheetData sheetId="3">
        <row r="5">
          <cell r="T5" t="str">
            <v>Donantes</v>
          </cell>
          <cell r="U5" t="str">
            <v>Lot Number</v>
          </cell>
          <cell r="V5" t="str">
            <v>Part Name</v>
          </cell>
          <cell r="W5" t="str">
            <v>Clasificacion</v>
          </cell>
          <cell r="X5" t="str">
            <v>Suma de QTY</v>
          </cell>
          <cell r="Y5" t="str">
            <v>Peso  Adicional Despachado</v>
          </cell>
        </row>
        <row r="6">
          <cell r="T6" t="str">
            <v>PRODUCTOS LA DOÑA, S.A</v>
          </cell>
          <cell r="U6" t="str">
            <v>..</v>
          </cell>
          <cell r="V6" t="str">
            <v>SDS 3kg-CAJA</v>
          </cell>
          <cell r="W6" t="str">
            <v>Ajuste</v>
          </cell>
          <cell r="X6">
            <v>14</v>
          </cell>
          <cell r="Y6">
            <v>42</v>
          </cell>
        </row>
        <row r="7">
          <cell r="T7" t="str">
            <v/>
          </cell>
          <cell r="U7" t="str">
            <v>(en blanco)</v>
          </cell>
          <cell r="V7" t="str">
            <v>(en blanco)</v>
          </cell>
          <cell r="W7" t="str">
            <v>Ajuste</v>
          </cell>
          <cell r="Y7">
            <v>0</v>
          </cell>
        </row>
        <row r="8">
          <cell r="T8" t="str">
            <v/>
          </cell>
          <cell r="U8" t="str">
            <v>.</v>
          </cell>
          <cell r="V8" t="str">
            <v>BASP 5kg</v>
          </cell>
          <cell r="W8" t="str">
            <v>Ajuste</v>
          </cell>
          <cell r="X8">
            <v>132</v>
          </cell>
          <cell r="Y8">
            <v>660</v>
          </cell>
        </row>
        <row r="9">
          <cell r="T9" t="str">
            <v/>
          </cell>
          <cell r="U9" t="str">
            <v>.</v>
          </cell>
          <cell r="V9" t="str">
            <v>HAV 25kg-Unidad</v>
          </cell>
          <cell r="W9" t="str">
            <v>Ajuste</v>
          </cell>
          <cell r="X9">
            <v>8</v>
          </cell>
          <cell r="Y9">
            <v>200</v>
          </cell>
        </row>
        <row r="10">
          <cell r="T10" t="str">
            <v/>
          </cell>
          <cell r="U10" t="str">
            <v>.</v>
          </cell>
          <cell r="V10" t="str">
            <v>HAV 5kg-CAJA</v>
          </cell>
          <cell r="W10" t="str">
            <v>Ajuste</v>
          </cell>
          <cell r="X10">
            <v>164</v>
          </cell>
          <cell r="Y10">
            <v>820</v>
          </cell>
        </row>
        <row r="11">
          <cell r="T11" t="str">
            <v/>
          </cell>
          <cell r="U11" t="str">
            <v>.</v>
          </cell>
          <cell r="V11" t="str">
            <v>HAV PD 25kg-Unidad</v>
          </cell>
          <cell r="W11" t="str">
            <v>Ajuste</v>
          </cell>
          <cell r="X11">
            <v>8</v>
          </cell>
          <cell r="Y11">
            <v>200</v>
          </cell>
        </row>
        <row r="12">
          <cell r="T12" t="str">
            <v/>
          </cell>
          <cell r="U12" t="str">
            <v>.</v>
          </cell>
          <cell r="V12" t="str">
            <v>MNS 2kg-PAQUETE</v>
          </cell>
          <cell r="W12" t="str">
            <v>Ajuste</v>
          </cell>
          <cell r="X12">
            <v>6</v>
          </cell>
          <cell r="Y12">
            <v>12</v>
          </cell>
        </row>
        <row r="13">
          <cell r="T13" t="str">
            <v/>
          </cell>
          <cell r="U13" t="str">
            <v>.</v>
          </cell>
          <cell r="V13" t="str">
            <v>FRUVER 5kg</v>
          </cell>
          <cell r="W13" t="str">
            <v>Ajuste</v>
          </cell>
          <cell r="X13">
            <v>7</v>
          </cell>
          <cell r="Y13">
            <v>35</v>
          </cell>
        </row>
        <row r="14">
          <cell r="T14" t="str">
            <v/>
          </cell>
          <cell r="U14" t="str">
            <v>.</v>
          </cell>
          <cell r="V14" t="str">
            <v>PFC 2KG - BOLSA</v>
          </cell>
          <cell r="W14" t="str">
            <v>Ajuste</v>
          </cell>
          <cell r="X14">
            <v>2</v>
          </cell>
          <cell r="Y14">
            <v>4</v>
          </cell>
        </row>
        <row r="15">
          <cell r="T15" t="str">
            <v/>
          </cell>
          <cell r="U15" t="str">
            <v>.</v>
          </cell>
          <cell r="V15" t="str">
            <v>DTG Vr2kg-CAJA</v>
          </cell>
          <cell r="W15" t="str">
            <v>Ajuste</v>
          </cell>
          <cell r="X15">
            <v>2</v>
          </cell>
          <cell r="Y15">
            <v>4</v>
          </cell>
        </row>
        <row r="16">
          <cell r="T16" t="str">
            <v/>
          </cell>
          <cell r="U16" t="str">
            <v>.</v>
          </cell>
          <cell r="V16" t="str">
            <v>Menestra kg</v>
          </cell>
          <cell r="W16" t="str">
            <v>Ajuste</v>
          </cell>
          <cell r="X16">
            <v>2042</v>
          </cell>
          <cell r="Y16">
            <v>2042</v>
          </cell>
        </row>
        <row r="17">
          <cell r="T17" t="str">
            <v/>
          </cell>
          <cell r="U17" t="str">
            <v>.</v>
          </cell>
          <cell r="V17" t="str">
            <v>Manejo NV</v>
          </cell>
          <cell r="W17" t="str">
            <v>Ajuste</v>
          </cell>
          <cell r="X17">
            <v>76</v>
          </cell>
          <cell r="Y17">
            <v>0.76</v>
          </cell>
        </row>
        <row r="18">
          <cell r="T18" t="str">
            <v/>
          </cell>
          <cell r="U18" t="str">
            <v>.</v>
          </cell>
          <cell r="V18" t="str">
            <v>BPVAY 10kg</v>
          </cell>
          <cell r="W18" t="str">
            <v>Ajuste</v>
          </cell>
          <cell r="X18">
            <v>514</v>
          </cell>
          <cell r="Y18">
            <v>5140</v>
          </cell>
        </row>
        <row r="19">
          <cell r="T19" t="str">
            <v/>
          </cell>
          <cell r="U19" t="str">
            <v>.</v>
          </cell>
          <cell r="V19" t="str">
            <v>CLX 4kg</v>
          </cell>
          <cell r="W19" t="str">
            <v>Ajuste</v>
          </cell>
          <cell r="X19">
            <v>2</v>
          </cell>
          <cell r="Y19">
            <v>8</v>
          </cell>
        </row>
        <row r="20">
          <cell r="T20" t="str">
            <v/>
          </cell>
          <cell r="U20" t="str">
            <v>.</v>
          </cell>
          <cell r="V20" t="str">
            <v>BASPAY 5kg</v>
          </cell>
          <cell r="W20" t="str">
            <v>Ajuste</v>
          </cell>
          <cell r="X20">
            <v>514</v>
          </cell>
          <cell r="Y20">
            <v>2570</v>
          </cell>
        </row>
        <row r="21">
          <cell r="T21" t="str">
            <v/>
          </cell>
          <cell r="U21" t="str">
            <v>.</v>
          </cell>
          <cell r="V21" t="str">
            <v>SNK 1.5kg-CAJA</v>
          </cell>
          <cell r="W21" t="str">
            <v>Ajuste</v>
          </cell>
          <cell r="X21">
            <v>2</v>
          </cell>
          <cell r="Y21">
            <v>3</v>
          </cell>
        </row>
        <row r="22">
          <cell r="T22" t="str">
            <v/>
          </cell>
          <cell r="U22" t="str">
            <v>.</v>
          </cell>
          <cell r="V22" t="str">
            <v>ENV Dif Redondeo</v>
          </cell>
          <cell r="W22" t="str">
            <v>Ajuste</v>
          </cell>
          <cell r="X22">
            <v>4</v>
          </cell>
          <cell r="Y22">
            <v>0.04</v>
          </cell>
        </row>
        <row r="23">
          <cell r="T23" t="str">
            <v/>
          </cell>
          <cell r="U23" t="str">
            <v>.</v>
          </cell>
          <cell r="V23" t="str">
            <v>GLT 2kg</v>
          </cell>
          <cell r="W23" t="str">
            <v>Ajuste</v>
          </cell>
          <cell r="X23">
            <v>2</v>
          </cell>
          <cell r="Y23">
            <v>4</v>
          </cell>
        </row>
        <row r="24">
          <cell r="T24" t="str">
            <v/>
          </cell>
          <cell r="U24" t="str">
            <v>.</v>
          </cell>
          <cell r="V24" t="str">
            <v>DIV DSF 2Kg</v>
          </cell>
          <cell r="W24" t="str">
            <v>Ajuste</v>
          </cell>
          <cell r="X24">
            <v>12</v>
          </cell>
          <cell r="Y24">
            <v>24</v>
          </cell>
        </row>
        <row r="25">
          <cell r="T25" t="str">
            <v/>
          </cell>
          <cell r="U25" t="str">
            <v>.</v>
          </cell>
          <cell r="V25" t="str">
            <v>DIV EMBV 2kg</v>
          </cell>
          <cell r="W25" t="str">
            <v>Ajuste</v>
          </cell>
          <cell r="X25">
            <v>2</v>
          </cell>
          <cell r="Y25">
            <v>4</v>
          </cell>
        </row>
        <row r="26">
          <cell r="T26" t="str">
            <v/>
          </cell>
          <cell r="U26" t="str">
            <v>.</v>
          </cell>
          <cell r="V26" t="str">
            <v>DIV HAV 5kg</v>
          </cell>
          <cell r="W26" t="str">
            <v>Ajuste</v>
          </cell>
          <cell r="X26">
            <v>60</v>
          </cell>
          <cell r="Y26">
            <v>300</v>
          </cell>
        </row>
        <row r="27">
          <cell r="T27" t="str">
            <v/>
          </cell>
          <cell r="U27" t="str">
            <v>.</v>
          </cell>
          <cell r="V27" t="str">
            <v>DIV JLP 2kg</v>
          </cell>
          <cell r="W27" t="str">
            <v>Ajuste</v>
          </cell>
          <cell r="X27">
            <v>12</v>
          </cell>
          <cell r="Y27">
            <v>24</v>
          </cell>
        </row>
        <row r="28">
          <cell r="T28" t="str">
            <v/>
          </cell>
          <cell r="U28" t="str">
            <v>.</v>
          </cell>
          <cell r="V28" t="str">
            <v>DIV MNS 10kg</v>
          </cell>
          <cell r="W28" t="str">
            <v>Ajuste</v>
          </cell>
          <cell r="X28">
            <v>5</v>
          </cell>
          <cell r="Y28">
            <v>50</v>
          </cell>
        </row>
        <row r="29">
          <cell r="T29" t="str">
            <v/>
          </cell>
          <cell r="U29" t="str">
            <v>.</v>
          </cell>
          <cell r="V29" t="str">
            <v>DIV MYN 3kg</v>
          </cell>
          <cell r="W29" t="str">
            <v>Ajuste</v>
          </cell>
          <cell r="X29">
            <v>4</v>
          </cell>
          <cell r="Y29">
            <v>12</v>
          </cell>
        </row>
        <row r="30">
          <cell r="T30" t="str">
            <v/>
          </cell>
          <cell r="U30" t="str">
            <v>.</v>
          </cell>
          <cell r="V30" t="str">
            <v>DIV PP 5kg</v>
          </cell>
          <cell r="W30" t="str">
            <v>Ajuste</v>
          </cell>
          <cell r="X30">
            <v>4</v>
          </cell>
          <cell r="Y30">
            <v>20</v>
          </cell>
        </row>
        <row r="31">
          <cell r="T31" t="str">
            <v/>
          </cell>
          <cell r="U31" t="str">
            <v>.</v>
          </cell>
          <cell r="V31" t="str">
            <v>DIV PPF 2kg</v>
          </cell>
          <cell r="W31" t="str">
            <v>Ajuste</v>
          </cell>
          <cell r="X31">
            <v>1</v>
          </cell>
          <cell r="Y31">
            <v>2</v>
          </cell>
        </row>
        <row r="32">
          <cell r="T32" t="str">
            <v/>
          </cell>
          <cell r="U32" t="str">
            <v>.</v>
          </cell>
          <cell r="V32" t="str">
            <v>DIV PPF 3kg</v>
          </cell>
          <cell r="W32" t="str">
            <v>Ajuste</v>
          </cell>
          <cell r="X32">
            <v>6</v>
          </cell>
          <cell r="Y32">
            <v>18</v>
          </cell>
        </row>
        <row r="33">
          <cell r="T33" t="str">
            <v/>
          </cell>
          <cell r="U33" t="str">
            <v>.</v>
          </cell>
          <cell r="V33" t="str">
            <v>DIV PTM 5kg</v>
          </cell>
          <cell r="W33" t="str">
            <v>Ajuste</v>
          </cell>
          <cell r="X33">
            <v>833</v>
          </cell>
          <cell r="Y33">
            <v>4165</v>
          </cell>
        </row>
        <row r="34">
          <cell r="T34" t="str">
            <v/>
          </cell>
          <cell r="U34" t="str">
            <v>.</v>
          </cell>
          <cell r="V34" t="str">
            <v>DIV SCD 4kg</v>
          </cell>
          <cell r="W34" t="str">
            <v>Ajuste</v>
          </cell>
          <cell r="X34">
            <v>2</v>
          </cell>
          <cell r="Y34">
            <v>8</v>
          </cell>
        </row>
        <row r="35">
          <cell r="T35" t="str">
            <v/>
          </cell>
          <cell r="U35" t="str">
            <v>.</v>
          </cell>
          <cell r="V35" t="str">
            <v>DIV PEC 8KG</v>
          </cell>
          <cell r="W35" t="str">
            <v>Ajuste</v>
          </cell>
          <cell r="X35">
            <v>4</v>
          </cell>
          <cell r="Y35">
            <v>32</v>
          </cell>
        </row>
        <row r="36">
          <cell r="T36" t="str">
            <v/>
          </cell>
          <cell r="U36" t="str">
            <v>.</v>
          </cell>
          <cell r="V36" t="str">
            <v>DIV Menestra kg</v>
          </cell>
          <cell r="W36" t="str">
            <v>Ajuste</v>
          </cell>
          <cell r="X36">
            <v>790</v>
          </cell>
          <cell r="Y36">
            <v>790</v>
          </cell>
        </row>
        <row r="37">
          <cell r="T37" t="str">
            <v/>
          </cell>
          <cell r="U37" t="str">
            <v>.</v>
          </cell>
          <cell r="V37" t="str">
            <v>DIV Menestra kg</v>
          </cell>
          <cell r="W37" t="str">
            <v>Merma para Animales</v>
          </cell>
          <cell r="X37">
            <v>2970</v>
          </cell>
          <cell r="Y37">
            <v>2970</v>
          </cell>
        </row>
        <row r="38">
          <cell r="T38" t="str">
            <v/>
          </cell>
          <cell r="U38" t="str">
            <v>.</v>
          </cell>
          <cell r="V38" t="str">
            <v>DIV TSHRTH TV</v>
          </cell>
          <cell r="W38" t="str">
            <v>Ajuste</v>
          </cell>
          <cell r="X38">
            <v>1</v>
          </cell>
          <cell r="Y38">
            <v>0.5</v>
          </cell>
        </row>
        <row r="39">
          <cell r="T39" t="str">
            <v/>
          </cell>
          <cell r="U39" t="str">
            <v>.</v>
          </cell>
          <cell r="V39" t="str">
            <v>PRTZ UND</v>
          </cell>
          <cell r="W39" t="str">
            <v>Ajuste</v>
          </cell>
          <cell r="X39">
            <v>9</v>
          </cell>
          <cell r="Y39">
            <v>9</v>
          </cell>
        </row>
        <row r="40">
          <cell r="T40" t="str">
            <v/>
          </cell>
          <cell r="U40" t="str">
            <v>.</v>
          </cell>
          <cell r="V40" t="str">
            <v>DIV DTG Vr 3.5kg</v>
          </cell>
          <cell r="W40" t="str">
            <v>Ajuste</v>
          </cell>
          <cell r="X40">
            <v>1</v>
          </cell>
          <cell r="Y40">
            <v>3.5</v>
          </cell>
        </row>
        <row r="41">
          <cell r="T41" t="str">
            <v/>
          </cell>
          <cell r="U41" t="str">
            <v>.</v>
          </cell>
          <cell r="V41" t="str">
            <v>DIV HRN 2kg</v>
          </cell>
          <cell r="W41" t="str">
            <v>Ajuste</v>
          </cell>
          <cell r="X41">
            <v>8</v>
          </cell>
          <cell r="Y41">
            <v>16</v>
          </cell>
        </row>
        <row r="42">
          <cell r="T42" t="str">
            <v/>
          </cell>
          <cell r="U42" t="str">
            <v>.</v>
          </cell>
          <cell r="V42" t="str">
            <v>DIV MDP 5kg</v>
          </cell>
          <cell r="W42" t="str">
            <v>Ajuste</v>
          </cell>
          <cell r="X42">
            <v>5</v>
          </cell>
          <cell r="Y42">
            <v>25</v>
          </cell>
        </row>
        <row r="43">
          <cell r="T43" t="str">
            <v/>
          </cell>
          <cell r="U43" t="str">
            <v>.</v>
          </cell>
          <cell r="V43" t="str">
            <v>PV PAN 2kg</v>
          </cell>
          <cell r="W43" t="str">
            <v>Ajuste</v>
          </cell>
          <cell r="X43">
            <v>15</v>
          </cell>
          <cell r="Y43">
            <v>30</v>
          </cell>
        </row>
        <row r="44">
          <cell r="T44" t="str">
            <v/>
          </cell>
          <cell r="U44" t="str">
            <v>.</v>
          </cell>
          <cell r="V44" t="str">
            <v>PV PASTV 2kg</v>
          </cell>
          <cell r="W44" t="str">
            <v>Ajuste</v>
          </cell>
          <cell r="X44">
            <v>6</v>
          </cell>
          <cell r="Y44">
            <v>12</v>
          </cell>
        </row>
        <row r="45">
          <cell r="T45" t="str">
            <v/>
          </cell>
          <cell r="U45" t="str">
            <v>.</v>
          </cell>
          <cell r="V45" t="str">
            <v>PV PASTV 3kg</v>
          </cell>
          <cell r="W45" t="str">
            <v>Ajuste</v>
          </cell>
          <cell r="X45">
            <v>3</v>
          </cell>
          <cell r="Y45">
            <v>9</v>
          </cell>
        </row>
        <row r="46">
          <cell r="T46" t="str">
            <v/>
          </cell>
          <cell r="U46" t="str">
            <v>.</v>
          </cell>
          <cell r="V46" t="str">
            <v>DIV CNPH 4.5kg</v>
          </cell>
          <cell r="W46" t="str">
            <v>Ajuste</v>
          </cell>
          <cell r="X46">
            <v>3</v>
          </cell>
          <cell r="Y46">
            <v>13.5</v>
          </cell>
        </row>
        <row r="47">
          <cell r="T47" t="str">
            <v/>
          </cell>
          <cell r="U47" t="str">
            <v>.</v>
          </cell>
          <cell r="V47" t="str">
            <v>EGI</v>
          </cell>
          <cell r="W47" t="str">
            <v>Ajuste</v>
          </cell>
          <cell r="X47">
            <v>1</v>
          </cell>
          <cell r="Y47">
            <v>70</v>
          </cell>
        </row>
        <row r="48">
          <cell r="T48" t="str">
            <v/>
          </cell>
          <cell r="U48" t="str">
            <v>.</v>
          </cell>
          <cell r="V48" t="str">
            <v>PV BDP 5kg</v>
          </cell>
          <cell r="W48" t="str">
            <v>Ajuste</v>
          </cell>
          <cell r="X48">
            <v>1</v>
          </cell>
          <cell r="Y48">
            <v>5</v>
          </cell>
        </row>
        <row r="49">
          <cell r="T49" t="str">
            <v/>
          </cell>
          <cell r="U49" t="str">
            <v>.</v>
          </cell>
          <cell r="V49" t="str">
            <v>PV PTD 2 kg</v>
          </cell>
          <cell r="W49" t="str">
            <v>Ajuste</v>
          </cell>
          <cell r="X49">
            <v>2</v>
          </cell>
          <cell r="Y49">
            <v>4</v>
          </cell>
        </row>
        <row r="50">
          <cell r="T50" t="str">
            <v/>
          </cell>
          <cell r="U50" t="str">
            <v>.</v>
          </cell>
          <cell r="V50" t="str">
            <v>PV SBC 2kg</v>
          </cell>
          <cell r="W50" t="str">
            <v>Ajuste</v>
          </cell>
          <cell r="X50">
            <v>1</v>
          </cell>
          <cell r="Y50">
            <v>2</v>
          </cell>
        </row>
        <row r="51">
          <cell r="T51" t="str">
            <v/>
          </cell>
          <cell r="U51" t="str">
            <v>.</v>
          </cell>
          <cell r="V51" t="str">
            <v>PV SZD 5kg</v>
          </cell>
          <cell r="W51" t="str">
            <v>Ajuste</v>
          </cell>
          <cell r="X51">
            <v>4</v>
          </cell>
          <cell r="Y51">
            <v>20</v>
          </cell>
        </row>
        <row r="52">
          <cell r="T52" t="str">
            <v/>
          </cell>
          <cell r="U52" t="str">
            <v>.</v>
          </cell>
          <cell r="V52" t="str">
            <v>SNDA 8kg</v>
          </cell>
          <cell r="W52" t="str">
            <v>Ajuste</v>
          </cell>
          <cell r="X52">
            <v>2</v>
          </cell>
          <cell r="Y52">
            <v>16</v>
          </cell>
        </row>
        <row r="53">
          <cell r="T53">
            <v>0</v>
          </cell>
          <cell r="U53" t="str">
            <v>L88944</v>
          </cell>
          <cell r="V53" t="str">
            <v>DIV BPP 3kg</v>
          </cell>
          <cell r="W53" t="str">
            <v>Ajuste</v>
          </cell>
          <cell r="X53">
            <v>104</v>
          </cell>
          <cell r="Y53">
            <v>312</v>
          </cell>
        </row>
        <row r="54">
          <cell r="T54" t="str">
            <v>GRUPO REY</v>
          </cell>
          <cell r="U54" t="str">
            <v>,</v>
          </cell>
          <cell r="V54" t="str">
            <v>MNS 2kg-PAQUETE</v>
          </cell>
          <cell r="W54" t="str">
            <v>Ajuste</v>
          </cell>
          <cell r="X54">
            <v>4</v>
          </cell>
          <cell r="Y54">
            <v>8</v>
          </cell>
        </row>
        <row r="55">
          <cell r="T55">
            <v>0</v>
          </cell>
          <cell r="U55" t="str">
            <v>ManejoNV-ENERO</v>
          </cell>
          <cell r="V55" t="str">
            <v>Manejo NV</v>
          </cell>
          <cell r="W55" t="str">
            <v>Ajuste</v>
          </cell>
          <cell r="X55">
            <v>152</v>
          </cell>
          <cell r="Y55">
            <v>1.5200000000000007</v>
          </cell>
        </row>
        <row r="56">
          <cell r="T56">
            <v>0</v>
          </cell>
          <cell r="U56" t="str">
            <v>ManejoNV-DICIEMBRE</v>
          </cell>
          <cell r="V56" t="str">
            <v>Manejo NV</v>
          </cell>
          <cell r="W56" t="str">
            <v>Ajuste</v>
          </cell>
          <cell r="X56">
            <v>1</v>
          </cell>
          <cell r="Y56">
            <v>0.01</v>
          </cell>
        </row>
        <row r="57">
          <cell r="T57">
            <v>0</v>
          </cell>
          <cell r="U57" t="str">
            <v>L90691</v>
          </cell>
          <cell r="V57" t="str">
            <v>Menestra kg</v>
          </cell>
          <cell r="W57" t="str">
            <v>Ajuste</v>
          </cell>
          <cell r="X57">
            <v>845</v>
          </cell>
          <cell r="Y57">
            <v>845</v>
          </cell>
        </row>
        <row r="58">
          <cell r="T58">
            <v>0</v>
          </cell>
          <cell r="U58" t="str">
            <v>L90963</v>
          </cell>
          <cell r="V58" t="str">
            <v>Menestra kg</v>
          </cell>
          <cell r="W58" t="str">
            <v>Ajuste</v>
          </cell>
          <cell r="X58">
            <v>1.55</v>
          </cell>
          <cell r="Y58">
            <v>1.55</v>
          </cell>
        </row>
        <row r="59">
          <cell r="T59">
            <v>0</v>
          </cell>
          <cell r="U59" t="str">
            <v>L90720</v>
          </cell>
          <cell r="V59" t="str">
            <v>Merma KG</v>
          </cell>
          <cell r="W59" t="str">
            <v>Ajuste</v>
          </cell>
          <cell r="X59">
            <v>19.260000000000002</v>
          </cell>
          <cell r="Y59">
            <v>19.260000000000002</v>
          </cell>
        </row>
        <row r="60">
          <cell r="T60">
            <v>0</v>
          </cell>
          <cell r="U60" t="str">
            <v>L85783</v>
          </cell>
          <cell r="V60" t="str">
            <v>DIV NPP300kg</v>
          </cell>
          <cell r="W60" t="str">
            <v>Ajuste</v>
          </cell>
          <cell r="X60">
            <v>1</v>
          </cell>
          <cell r="Y60">
            <v>300</v>
          </cell>
        </row>
        <row r="61">
          <cell r="T61">
            <v>0</v>
          </cell>
          <cell r="U61" t="str">
            <v>L91104</v>
          </cell>
          <cell r="V61" t="str">
            <v>DIV SZT 24X163mL</v>
          </cell>
          <cell r="W61" t="str">
            <v>Ajuste</v>
          </cell>
          <cell r="X61">
            <v>30</v>
          </cell>
          <cell r="Y61">
            <v>120</v>
          </cell>
        </row>
        <row r="62">
          <cell r="T62">
            <v>0</v>
          </cell>
          <cell r="U62" t="str">
            <v>L92279</v>
          </cell>
          <cell r="V62" t="str">
            <v>CE T18</v>
          </cell>
          <cell r="W62" t="str">
            <v>Ajuste</v>
          </cell>
          <cell r="X62">
            <v>225</v>
          </cell>
          <cell r="Y62">
            <v>22.5</v>
          </cell>
        </row>
        <row r="63">
          <cell r="T63">
            <v>0</v>
          </cell>
          <cell r="U63" t="str">
            <v>L92279</v>
          </cell>
          <cell r="V63" t="str">
            <v>PV CE T18</v>
          </cell>
          <cell r="W63" t="str">
            <v>Ajuste</v>
          </cell>
          <cell r="X63">
            <v>206</v>
          </cell>
          <cell r="Y63">
            <v>20.599999999999991</v>
          </cell>
        </row>
        <row r="64">
          <cell r="T64">
            <v>0</v>
          </cell>
          <cell r="U64" t="str">
            <v>L91577</v>
          </cell>
          <cell r="V64" t="str">
            <v>Jugo kg</v>
          </cell>
          <cell r="W64" t="str">
            <v>Ajuste</v>
          </cell>
          <cell r="X64">
            <v>13</v>
          </cell>
          <cell r="Y64">
            <v>13</v>
          </cell>
        </row>
        <row r="65">
          <cell r="T65">
            <v>0</v>
          </cell>
          <cell r="U65" t="str">
            <v>L92068</v>
          </cell>
          <cell r="V65" t="str">
            <v>Jugo kg</v>
          </cell>
          <cell r="W65" t="str">
            <v>Ajuste</v>
          </cell>
          <cell r="X65">
            <v>6</v>
          </cell>
          <cell r="Y65">
            <v>6</v>
          </cell>
        </row>
        <row r="66">
          <cell r="T66">
            <v>0</v>
          </cell>
          <cell r="U66" t="str">
            <v>L91565</v>
          </cell>
          <cell r="V66" t="str">
            <v>Menestra kg</v>
          </cell>
          <cell r="W66" t="str">
            <v>Ajuste</v>
          </cell>
          <cell r="X66">
            <v>3</v>
          </cell>
          <cell r="Y66">
            <v>3</v>
          </cell>
        </row>
        <row r="67">
          <cell r="T67">
            <v>0</v>
          </cell>
          <cell r="U67" t="str">
            <v>L92262</v>
          </cell>
          <cell r="V67" t="str">
            <v>Menestra kg</v>
          </cell>
          <cell r="W67" t="str">
            <v>Ajuste</v>
          </cell>
          <cell r="X67">
            <v>5.73</v>
          </cell>
          <cell r="Y67">
            <v>5.73</v>
          </cell>
        </row>
        <row r="68">
          <cell r="T68">
            <v>0</v>
          </cell>
          <cell r="U68" t="str">
            <v>L92033</v>
          </cell>
          <cell r="V68" t="str">
            <v>Suavizante kg</v>
          </cell>
          <cell r="W68" t="str">
            <v>Ajuste</v>
          </cell>
          <cell r="X68">
            <v>6</v>
          </cell>
          <cell r="Y68">
            <v>6</v>
          </cell>
        </row>
        <row r="69">
          <cell r="T69">
            <v>0</v>
          </cell>
          <cell r="U69" t="str">
            <v>L92070</v>
          </cell>
          <cell r="V69" t="str">
            <v>Suavizante kg</v>
          </cell>
          <cell r="W69" t="str">
            <v>Ajuste</v>
          </cell>
          <cell r="X69">
            <v>26</v>
          </cell>
          <cell r="Y69">
            <v>26</v>
          </cell>
        </row>
        <row r="70">
          <cell r="T70">
            <v>0</v>
          </cell>
          <cell r="U70" t="str">
            <v>L92195</v>
          </cell>
          <cell r="V70" t="str">
            <v>Suavizante kg</v>
          </cell>
          <cell r="W70" t="str">
            <v>Ajuste</v>
          </cell>
          <cell r="X70">
            <v>2</v>
          </cell>
          <cell r="Y70">
            <v>2</v>
          </cell>
        </row>
        <row r="71">
          <cell r="T71">
            <v>0</v>
          </cell>
          <cell r="U71" t="str">
            <v>L95111</v>
          </cell>
          <cell r="V71" t="str">
            <v>SAL 25kg-PAQUETE</v>
          </cell>
          <cell r="W71" t="str">
            <v>Ajuste</v>
          </cell>
          <cell r="X71">
            <v>29</v>
          </cell>
          <cell r="Y71">
            <v>725</v>
          </cell>
        </row>
        <row r="72">
          <cell r="T72">
            <v>0</v>
          </cell>
          <cell r="U72" t="str">
            <v>L95111</v>
          </cell>
          <cell r="V72" t="str">
            <v>DIV SAL 25kg-PAQUETE</v>
          </cell>
          <cell r="W72" t="str">
            <v>Ajuste</v>
          </cell>
          <cell r="X72">
            <v>34</v>
          </cell>
          <cell r="Y72">
            <v>850</v>
          </cell>
        </row>
        <row r="73">
          <cell r="T73">
            <v>0</v>
          </cell>
          <cell r="U73" t="str">
            <v>L96243</v>
          </cell>
          <cell r="V73" t="str">
            <v>ADP 3kg</v>
          </cell>
          <cell r="W73" t="str">
            <v>Ajuste</v>
          </cell>
          <cell r="X73">
            <v>1</v>
          </cell>
          <cell r="Y73">
            <v>3</v>
          </cell>
        </row>
        <row r="74">
          <cell r="T74">
            <v>0</v>
          </cell>
          <cell r="U74" t="str">
            <v>L96331</v>
          </cell>
          <cell r="V74" t="str">
            <v>ADP 3kg</v>
          </cell>
          <cell r="W74" t="str">
            <v>Ajuste</v>
          </cell>
          <cell r="X74">
            <v>4</v>
          </cell>
          <cell r="Y74">
            <v>12</v>
          </cell>
        </row>
        <row r="75">
          <cell r="T75">
            <v>0</v>
          </cell>
          <cell r="U75" t="str">
            <v>L96215</v>
          </cell>
          <cell r="V75" t="str">
            <v>PTM 5kg-CAJA</v>
          </cell>
          <cell r="W75" t="str">
            <v>Ajuste</v>
          </cell>
          <cell r="X75">
            <v>401</v>
          </cell>
          <cell r="Y75">
            <v>2005</v>
          </cell>
        </row>
        <row r="76">
          <cell r="T76">
            <v>0</v>
          </cell>
          <cell r="U76" t="str">
            <v>L96765</v>
          </cell>
          <cell r="V76" t="str">
            <v>ADP 3kg</v>
          </cell>
          <cell r="W76" t="str">
            <v>Ajuste</v>
          </cell>
          <cell r="X76">
            <v>3</v>
          </cell>
          <cell r="Y76">
            <v>9</v>
          </cell>
        </row>
        <row r="77">
          <cell r="T77">
            <v>0</v>
          </cell>
          <cell r="U77" t="str">
            <v>L96879</v>
          </cell>
          <cell r="V77" t="str">
            <v>DIV GLDV 5kg</v>
          </cell>
          <cell r="W77" t="str">
            <v>Ajuste</v>
          </cell>
          <cell r="X77">
            <v>10</v>
          </cell>
          <cell r="Y77">
            <v>50</v>
          </cell>
        </row>
        <row r="78">
          <cell r="T78">
            <v>0</v>
          </cell>
          <cell r="U78" t="str">
            <v>L97180</v>
          </cell>
          <cell r="V78" t="str">
            <v>DIV MNS 10kg</v>
          </cell>
          <cell r="W78" t="str">
            <v>Ajuste</v>
          </cell>
          <cell r="X78">
            <v>466</v>
          </cell>
          <cell r="Y78">
            <v>4660</v>
          </cell>
        </row>
        <row r="79">
          <cell r="T79">
            <v>0</v>
          </cell>
          <cell r="U79" t="str">
            <v>L97180</v>
          </cell>
          <cell r="V79" t="str">
            <v>DIV MNS 10kg</v>
          </cell>
          <cell r="W79" t="str">
            <v>Dañado</v>
          </cell>
          <cell r="X79">
            <v>43</v>
          </cell>
          <cell r="Y79">
            <v>430</v>
          </cell>
        </row>
        <row r="80">
          <cell r="T80">
            <v>0</v>
          </cell>
          <cell r="U80" t="str">
            <v>L96644</v>
          </cell>
          <cell r="V80" t="str">
            <v>DIV PTM 5kg</v>
          </cell>
          <cell r="W80" t="str">
            <v>Ajuste</v>
          </cell>
          <cell r="X80">
            <v>2129</v>
          </cell>
          <cell r="Y80">
            <v>10645</v>
          </cell>
        </row>
        <row r="81">
          <cell r="T81">
            <v>0</v>
          </cell>
          <cell r="U81" t="str">
            <v>L96740</v>
          </cell>
          <cell r="V81" t="str">
            <v>DIV SAL 3kg</v>
          </cell>
          <cell r="W81" t="str">
            <v>Ajuste</v>
          </cell>
          <cell r="X81">
            <v>2</v>
          </cell>
          <cell r="Y81">
            <v>6</v>
          </cell>
        </row>
        <row r="82">
          <cell r="T82">
            <v>0</v>
          </cell>
          <cell r="U82" t="str">
            <v>L96760</v>
          </cell>
          <cell r="V82" t="str">
            <v>DIV SALRO 5kg</v>
          </cell>
          <cell r="W82" t="str">
            <v>Ajuste</v>
          </cell>
          <cell r="X82">
            <v>42</v>
          </cell>
          <cell r="Y82">
            <v>210</v>
          </cell>
        </row>
        <row r="83">
          <cell r="T83">
            <v>0</v>
          </cell>
          <cell r="U83" t="str">
            <v>L99111</v>
          </cell>
          <cell r="V83" t="str">
            <v>AJEP 3kg</v>
          </cell>
          <cell r="W83" t="str">
            <v>Ajuste</v>
          </cell>
          <cell r="X83">
            <v>67</v>
          </cell>
          <cell r="Y83">
            <v>201</v>
          </cell>
        </row>
        <row r="84">
          <cell r="T84">
            <v>0</v>
          </cell>
          <cell r="U84" t="str">
            <v>L99111</v>
          </cell>
          <cell r="V84" t="str">
            <v>DIV AJEP 3kg</v>
          </cell>
          <cell r="W84" t="str">
            <v>Ajuste</v>
          </cell>
          <cell r="X84">
            <v>7</v>
          </cell>
          <cell r="Y84">
            <v>21</v>
          </cell>
        </row>
        <row r="85">
          <cell r="T85">
            <v>0</v>
          </cell>
          <cell r="U85" t="str">
            <v>L99410</v>
          </cell>
          <cell r="V85" t="str">
            <v>DIV ALB 24x113g- CAJA</v>
          </cell>
          <cell r="W85" t="str">
            <v>Ajuste</v>
          </cell>
          <cell r="X85">
            <v>44</v>
          </cell>
          <cell r="Y85">
            <v>132</v>
          </cell>
        </row>
        <row r="86">
          <cell r="T86">
            <v>0</v>
          </cell>
          <cell r="U86" t="str">
            <v>L99413</v>
          </cell>
          <cell r="V86" t="str">
            <v>ALB 24x113g- CAJA</v>
          </cell>
          <cell r="W86" t="str">
            <v>Ajuste</v>
          </cell>
          <cell r="X86">
            <v>123</v>
          </cell>
          <cell r="Y86">
            <v>369</v>
          </cell>
        </row>
        <row r="87">
          <cell r="T87">
            <v>0</v>
          </cell>
          <cell r="U87" t="str">
            <v>L99413</v>
          </cell>
          <cell r="V87" t="str">
            <v>ALB 24x113g- CAJA</v>
          </cell>
          <cell r="W87" t="str">
            <v>Dañado</v>
          </cell>
          <cell r="X87">
            <v>2</v>
          </cell>
          <cell r="Y87">
            <v>6</v>
          </cell>
        </row>
        <row r="88">
          <cell r="T88">
            <v>0</v>
          </cell>
          <cell r="U88" t="str">
            <v>L98868</v>
          </cell>
          <cell r="V88" t="str">
            <v>ALCHF 3Kg</v>
          </cell>
          <cell r="W88" t="str">
            <v>Ajuste</v>
          </cell>
          <cell r="X88">
            <v>4</v>
          </cell>
          <cell r="Y88">
            <v>12</v>
          </cell>
        </row>
        <row r="89">
          <cell r="T89">
            <v>0</v>
          </cell>
          <cell r="U89" t="str">
            <v>L99395</v>
          </cell>
          <cell r="V89" t="str">
            <v>DIV AMCO 2kg</v>
          </cell>
          <cell r="W89" t="str">
            <v>Ajuste</v>
          </cell>
          <cell r="X89">
            <v>1</v>
          </cell>
          <cell r="Y89">
            <v>2</v>
          </cell>
        </row>
        <row r="90">
          <cell r="T90" t="str">
            <v/>
          </cell>
          <cell r="U90" t="str">
            <v>L98936</v>
          </cell>
          <cell r="V90" t="str">
            <v>DIV MNS 10kg</v>
          </cell>
          <cell r="W90" t="str">
            <v>Dañado</v>
          </cell>
          <cell r="X90">
            <v>48</v>
          </cell>
          <cell r="Y90">
            <v>480</v>
          </cell>
        </row>
        <row r="91">
          <cell r="T91">
            <v>0</v>
          </cell>
          <cell r="U91" t="str">
            <v>L99031</v>
          </cell>
          <cell r="V91" t="str">
            <v>DIV SAL 3kg</v>
          </cell>
          <cell r="W91" t="str">
            <v>Ajuste</v>
          </cell>
          <cell r="X91">
            <v>6</v>
          </cell>
          <cell r="Y91">
            <v>18</v>
          </cell>
        </row>
        <row r="92">
          <cell r="T92">
            <v>0</v>
          </cell>
          <cell r="U92" t="str">
            <v>L99317</v>
          </cell>
          <cell r="V92" t="str">
            <v>PTM 5kg-CAJA</v>
          </cell>
          <cell r="W92" t="str">
            <v>Ajuste</v>
          </cell>
          <cell r="X92">
            <v>34</v>
          </cell>
          <cell r="Y92">
            <v>170</v>
          </cell>
        </row>
        <row r="93">
          <cell r="T93">
            <v>0</v>
          </cell>
          <cell r="U93" t="str">
            <v>L100370</v>
          </cell>
          <cell r="V93" t="str">
            <v>ARZEPF14kg (CAJA)</v>
          </cell>
          <cell r="W93" t="str">
            <v>Ajuste</v>
          </cell>
          <cell r="X93">
            <v>12</v>
          </cell>
          <cell r="Y93">
            <v>168</v>
          </cell>
        </row>
        <row r="94">
          <cell r="T94">
            <v>0</v>
          </cell>
          <cell r="U94" t="str">
            <v>L99762</v>
          </cell>
          <cell r="V94" t="str">
            <v>ARZ AY 5Kg</v>
          </cell>
          <cell r="W94" t="str">
            <v>Ajuste</v>
          </cell>
          <cell r="X94">
            <v>23</v>
          </cell>
          <cell r="Y94">
            <v>115</v>
          </cell>
        </row>
        <row r="95">
          <cell r="T95" t="str">
            <v/>
          </cell>
          <cell r="U95" t="str">
            <v>L99875</v>
          </cell>
          <cell r="V95" t="str">
            <v>NPP900kg</v>
          </cell>
          <cell r="W95" t="str">
            <v>Ajuste</v>
          </cell>
          <cell r="X95">
            <v>1</v>
          </cell>
          <cell r="Y95">
            <v>0</v>
          </cell>
        </row>
        <row r="96">
          <cell r="T96">
            <v>0</v>
          </cell>
          <cell r="U96" t="str">
            <v>L100500</v>
          </cell>
          <cell r="V96" t="str">
            <v>CODV 5kg</v>
          </cell>
          <cell r="W96" t="str">
            <v>Ajuste</v>
          </cell>
          <cell r="X96">
            <v>2</v>
          </cell>
          <cell r="Y96">
            <v>10</v>
          </cell>
        </row>
        <row r="97">
          <cell r="T97">
            <v>0</v>
          </cell>
          <cell r="U97" t="str">
            <v>L99865</v>
          </cell>
          <cell r="V97" t="str">
            <v>LCH 3kg</v>
          </cell>
          <cell r="W97" t="str">
            <v>Ajuste</v>
          </cell>
          <cell r="X97">
            <v>2</v>
          </cell>
          <cell r="Y97">
            <v>6</v>
          </cell>
        </row>
        <row r="98">
          <cell r="T98">
            <v>0</v>
          </cell>
          <cell r="U98" t="str">
            <v>L100329</v>
          </cell>
          <cell r="V98" t="str">
            <v>DIV SAL 3kg</v>
          </cell>
          <cell r="W98" t="str">
            <v>Ajuste</v>
          </cell>
          <cell r="X98">
            <v>15</v>
          </cell>
          <cell r="Y98">
            <v>45</v>
          </cell>
        </row>
        <row r="99">
          <cell r="T99">
            <v>0</v>
          </cell>
          <cell r="U99" t="str">
            <v>L100028</v>
          </cell>
          <cell r="V99" t="str">
            <v>LCH 2kg-caja</v>
          </cell>
          <cell r="W99" t="str">
            <v>Ajuste</v>
          </cell>
          <cell r="X99">
            <v>16</v>
          </cell>
          <cell r="Y99">
            <v>32</v>
          </cell>
        </row>
        <row r="100">
          <cell r="T100">
            <v>0</v>
          </cell>
          <cell r="U100" t="str">
            <v>L100028</v>
          </cell>
          <cell r="V100" t="str">
            <v>LCHAY 2kg</v>
          </cell>
          <cell r="W100" t="str">
            <v>Ajuste</v>
          </cell>
          <cell r="X100">
            <v>7</v>
          </cell>
          <cell r="Y100">
            <v>0</v>
          </cell>
        </row>
        <row r="101">
          <cell r="T101" t="str">
            <v/>
          </cell>
          <cell r="U101" t="str">
            <v>L100687</v>
          </cell>
          <cell r="V101" t="str">
            <v>LCHAY 2kg</v>
          </cell>
          <cell r="W101" t="str">
            <v>Dañado</v>
          </cell>
          <cell r="X101">
            <v>2</v>
          </cell>
          <cell r="Y101">
            <v>0</v>
          </cell>
        </row>
        <row r="102">
          <cell r="T102">
            <v>0</v>
          </cell>
          <cell r="U102" t="str">
            <v>L99881</v>
          </cell>
          <cell r="V102" t="str">
            <v>LCHAY 4kg</v>
          </cell>
          <cell r="W102" t="str">
            <v>Ajuste</v>
          </cell>
          <cell r="X102">
            <v>5</v>
          </cell>
          <cell r="Y102">
            <v>20</v>
          </cell>
        </row>
        <row r="103">
          <cell r="T103">
            <v>0</v>
          </cell>
          <cell r="U103" t="str">
            <v>L100154</v>
          </cell>
          <cell r="V103" t="str">
            <v>LCHAY 4kg</v>
          </cell>
          <cell r="W103" t="str">
            <v>Ajuste</v>
          </cell>
          <cell r="X103">
            <v>2</v>
          </cell>
          <cell r="Y103">
            <v>8</v>
          </cell>
        </row>
        <row r="104">
          <cell r="T104">
            <v>0</v>
          </cell>
          <cell r="U104" t="str">
            <v>L100158</v>
          </cell>
          <cell r="V104" t="str">
            <v>LCHAY 4kg</v>
          </cell>
          <cell r="W104" t="str">
            <v>Ajuste</v>
          </cell>
          <cell r="X104">
            <v>4</v>
          </cell>
          <cell r="Y104">
            <v>16</v>
          </cell>
        </row>
        <row r="105">
          <cell r="T105">
            <v>0</v>
          </cell>
          <cell r="U105" t="str">
            <v>L100486</v>
          </cell>
          <cell r="V105" t="str">
            <v>srp 3kg - caja</v>
          </cell>
          <cell r="W105" t="str">
            <v>Ajuste</v>
          </cell>
          <cell r="X105">
            <v>13</v>
          </cell>
          <cell r="Y105">
            <v>39</v>
          </cell>
        </row>
        <row r="106">
          <cell r="T106">
            <v>0</v>
          </cell>
          <cell r="U106" t="str">
            <v>L100415</v>
          </cell>
          <cell r="V106" t="str">
            <v>TNQPLSTP</v>
          </cell>
          <cell r="W106" t="str">
            <v>Ajuste</v>
          </cell>
          <cell r="X106">
            <v>166</v>
          </cell>
          <cell r="Y106">
            <v>146.07999999999998</v>
          </cell>
        </row>
        <row r="107">
          <cell r="T107" t="str">
            <v/>
          </cell>
          <cell r="U107" t="str">
            <v>L101581</v>
          </cell>
          <cell r="V107" t="str">
            <v>ACT 4kg</v>
          </cell>
          <cell r="W107" t="str">
            <v>Ajuste</v>
          </cell>
          <cell r="X107">
            <v>3</v>
          </cell>
          <cell r="Y107">
            <v>0</v>
          </cell>
        </row>
        <row r="108">
          <cell r="T108" t="str">
            <v/>
          </cell>
          <cell r="U108" t="str">
            <v>L101097</v>
          </cell>
          <cell r="V108" t="str">
            <v>CJRC46-25UNI</v>
          </cell>
          <cell r="W108" t="str">
            <v>Ajuste</v>
          </cell>
          <cell r="X108">
            <v>48</v>
          </cell>
          <cell r="Y108">
            <v>374.4</v>
          </cell>
        </row>
        <row r="109">
          <cell r="T109" t="str">
            <v/>
          </cell>
          <cell r="U109" t="str">
            <v>L101626</v>
          </cell>
          <cell r="V109" t="str">
            <v>CJRC46-25UNI</v>
          </cell>
          <cell r="W109" t="str">
            <v>Ajuste</v>
          </cell>
          <cell r="X109">
            <v>64</v>
          </cell>
          <cell r="Y109">
            <v>499.2</v>
          </cell>
        </row>
        <row r="110">
          <cell r="T110">
            <v>0</v>
          </cell>
          <cell r="U110" t="str">
            <v>L101048</v>
          </cell>
          <cell r="V110" t="str">
            <v>CODV 2kg</v>
          </cell>
          <cell r="W110" t="str">
            <v>Ajuste</v>
          </cell>
          <cell r="X110">
            <v>8</v>
          </cell>
          <cell r="Y110">
            <v>16</v>
          </cell>
        </row>
        <row r="111">
          <cell r="T111">
            <v>0</v>
          </cell>
          <cell r="U111" t="str">
            <v>l101480</v>
          </cell>
          <cell r="V111" t="str">
            <v>ARZEPF14kg (CAJA)</v>
          </cell>
          <cell r="W111" t="str">
            <v>Ajuste</v>
          </cell>
          <cell r="X111">
            <v>72</v>
          </cell>
          <cell r="Y111">
            <v>1008</v>
          </cell>
        </row>
        <row r="112">
          <cell r="T112">
            <v>0</v>
          </cell>
          <cell r="U112" t="str">
            <v>L101256</v>
          </cell>
          <cell r="V112" t="str">
            <v>DIV MNS 10kg</v>
          </cell>
          <cell r="W112" t="str">
            <v>Ajuste</v>
          </cell>
          <cell r="X112">
            <v>337</v>
          </cell>
          <cell r="Y112">
            <v>3370</v>
          </cell>
        </row>
        <row r="113">
          <cell r="T113">
            <v>0</v>
          </cell>
          <cell r="U113" t="str">
            <v>L101793</v>
          </cell>
          <cell r="V113" t="str">
            <v>DIV PTLJM T8</v>
          </cell>
          <cell r="W113" t="str">
            <v>Ajuste</v>
          </cell>
          <cell r="X113">
            <v>9</v>
          </cell>
          <cell r="Y113">
            <v>9</v>
          </cell>
        </row>
        <row r="114">
          <cell r="T114">
            <v>0</v>
          </cell>
          <cell r="U114" t="str">
            <v>L100831</v>
          </cell>
          <cell r="V114" t="str">
            <v>DIV SHMP 2kg</v>
          </cell>
          <cell r="W114" t="str">
            <v>Ajuste</v>
          </cell>
          <cell r="X114">
            <v>1</v>
          </cell>
          <cell r="Y114">
            <v>2</v>
          </cell>
        </row>
        <row r="115">
          <cell r="T115">
            <v>0</v>
          </cell>
          <cell r="U115" t="str">
            <v>L100827</v>
          </cell>
          <cell r="V115" t="str">
            <v>EGB 2KG Caja</v>
          </cell>
          <cell r="W115" t="str">
            <v>Ajuste</v>
          </cell>
          <cell r="X115">
            <v>15</v>
          </cell>
          <cell r="Y115">
            <v>30</v>
          </cell>
        </row>
        <row r="116">
          <cell r="T116">
            <v>0</v>
          </cell>
          <cell r="U116" t="str">
            <v>L100829</v>
          </cell>
          <cell r="V116" t="str">
            <v>DIV EGB 3kg</v>
          </cell>
          <cell r="W116" t="str">
            <v>Ajuste</v>
          </cell>
          <cell r="X116">
            <v>7</v>
          </cell>
          <cell r="Y116">
            <v>21</v>
          </cell>
        </row>
        <row r="117">
          <cell r="T117">
            <v>0</v>
          </cell>
          <cell r="U117" t="str">
            <v>L101582</v>
          </cell>
          <cell r="V117" t="str">
            <v>FDV 3Kg</v>
          </cell>
          <cell r="W117" t="str">
            <v>Ajuste</v>
          </cell>
          <cell r="X117">
            <v>3</v>
          </cell>
          <cell r="Y117">
            <v>9</v>
          </cell>
        </row>
        <row r="118">
          <cell r="T118">
            <v>0</v>
          </cell>
          <cell r="U118" t="str">
            <v>L100919</v>
          </cell>
          <cell r="V118" t="str">
            <v>LCHAY 4kg</v>
          </cell>
          <cell r="W118" t="str">
            <v>Ajuste</v>
          </cell>
          <cell r="X118">
            <v>19</v>
          </cell>
          <cell r="Y118">
            <v>76</v>
          </cell>
        </row>
        <row r="119">
          <cell r="T119">
            <v>0</v>
          </cell>
          <cell r="U119" t="str">
            <v>L100923</v>
          </cell>
          <cell r="V119" t="str">
            <v>LCHAY 4kg</v>
          </cell>
          <cell r="W119" t="str">
            <v>Ajuste</v>
          </cell>
          <cell r="X119">
            <v>2</v>
          </cell>
          <cell r="Y119">
            <v>8</v>
          </cell>
        </row>
        <row r="120">
          <cell r="T120">
            <v>0</v>
          </cell>
          <cell r="U120" t="str">
            <v>L101045</v>
          </cell>
          <cell r="V120" t="str">
            <v>LCHAY 4kg</v>
          </cell>
          <cell r="W120" t="str">
            <v>Ajuste</v>
          </cell>
          <cell r="X120">
            <v>4</v>
          </cell>
          <cell r="Y120">
            <v>16</v>
          </cell>
        </row>
        <row r="121">
          <cell r="T121">
            <v>0</v>
          </cell>
          <cell r="U121" t="str">
            <v>L101313</v>
          </cell>
          <cell r="V121" t="str">
            <v>LCHAY 4kg</v>
          </cell>
          <cell r="W121" t="str">
            <v>Ajuste</v>
          </cell>
          <cell r="X121">
            <v>7</v>
          </cell>
          <cell r="Y121">
            <v>28</v>
          </cell>
        </row>
        <row r="122">
          <cell r="T122">
            <v>0</v>
          </cell>
          <cell r="U122" t="str">
            <v>L101314</v>
          </cell>
          <cell r="V122" t="str">
            <v>LCHAY 4kg</v>
          </cell>
          <cell r="W122" t="str">
            <v>Ajuste</v>
          </cell>
          <cell r="X122">
            <v>7</v>
          </cell>
          <cell r="Y122">
            <v>28</v>
          </cell>
        </row>
        <row r="123">
          <cell r="T123">
            <v>0</v>
          </cell>
          <cell r="U123" t="str">
            <v>L100756</v>
          </cell>
          <cell r="V123" t="str">
            <v>PTD 2 kg</v>
          </cell>
          <cell r="W123" t="str">
            <v>Ajuste</v>
          </cell>
          <cell r="X123">
            <v>2</v>
          </cell>
          <cell r="Y123">
            <v>4</v>
          </cell>
        </row>
        <row r="124">
          <cell r="T124">
            <v>0</v>
          </cell>
          <cell r="U124" t="str">
            <v>L100758</v>
          </cell>
          <cell r="V124" t="str">
            <v>PTD 2 kg</v>
          </cell>
          <cell r="W124" t="str">
            <v>Ajuste</v>
          </cell>
          <cell r="X124">
            <v>1</v>
          </cell>
          <cell r="Y124">
            <v>2</v>
          </cell>
        </row>
        <row r="125">
          <cell r="T125" t="str">
            <v/>
          </cell>
          <cell r="U125" t="str">
            <v>L101519</v>
          </cell>
          <cell r="V125" t="str">
            <v>PTV 5kg</v>
          </cell>
          <cell r="W125" t="str">
            <v>Ajuste</v>
          </cell>
          <cell r="X125">
            <v>10</v>
          </cell>
          <cell r="Y125">
            <v>50</v>
          </cell>
        </row>
        <row r="126">
          <cell r="T126">
            <v>0</v>
          </cell>
          <cell r="U126" t="str">
            <v>L101598</v>
          </cell>
          <cell r="V126" t="str">
            <v>SAV 3kg</v>
          </cell>
          <cell r="W126" t="str">
            <v>Ajuste</v>
          </cell>
          <cell r="X126">
            <v>11</v>
          </cell>
          <cell r="Y126">
            <v>33</v>
          </cell>
        </row>
        <row r="127">
          <cell r="T127">
            <v>0</v>
          </cell>
          <cell r="U127" t="str">
            <v>L101719</v>
          </cell>
          <cell r="V127" t="str">
            <v>SAV 3kg</v>
          </cell>
          <cell r="W127" t="str">
            <v>Ajuste</v>
          </cell>
          <cell r="X127">
            <v>8</v>
          </cell>
          <cell r="Y127">
            <v>24</v>
          </cell>
        </row>
        <row r="128">
          <cell r="T128">
            <v>0</v>
          </cell>
          <cell r="U128" t="str">
            <v>L100818</v>
          </cell>
          <cell r="V128" t="str">
            <v>SHP BB 12X400ml-CAJA</v>
          </cell>
          <cell r="W128" t="str">
            <v>Ajuste</v>
          </cell>
          <cell r="X128">
            <v>17</v>
          </cell>
          <cell r="Y128">
            <v>81.599999999999994</v>
          </cell>
        </row>
        <row r="129">
          <cell r="T129">
            <v>0</v>
          </cell>
          <cell r="U129" t="str">
            <v>L101495</v>
          </cell>
          <cell r="V129" t="str">
            <v>TRPGARAT 5kg</v>
          </cell>
          <cell r="W129" t="str">
            <v>Ajuste</v>
          </cell>
          <cell r="X129">
            <v>67</v>
          </cell>
          <cell r="Y129">
            <v>335</v>
          </cell>
        </row>
        <row r="130">
          <cell r="T130">
            <v>0</v>
          </cell>
          <cell r="U130" t="str">
            <v>L101495</v>
          </cell>
          <cell r="V130" t="str">
            <v>DIV TRPGARAT 5kg</v>
          </cell>
          <cell r="W130" t="str">
            <v>Ajuste</v>
          </cell>
          <cell r="X130">
            <v>14</v>
          </cell>
          <cell r="Y130">
            <v>70</v>
          </cell>
        </row>
        <row r="131">
          <cell r="T131">
            <v>0</v>
          </cell>
          <cell r="U131" t="str">
            <v>L101495</v>
          </cell>
          <cell r="V131" t="str">
            <v>PV TRPGARAT 5kg</v>
          </cell>
          <cell r="W131" t="str">
            <v>Ajuste</v>
          </cell>
          <cell r="X131">
            <v>96</v>
          </cell>
          <cell r="Y131">
            <v>480</v>
          </cell>
        </row>
        <row r="132">
          <cell r="T132">
            <v>0</v>
          </cell>
          <cell r="U132" t="str">
            <v>L102618</v>
          </cell>
          <cell r="V132" t="str">
            <v>ADR 3kg</v>
          </cell>
          <cell r="W132" t="str">
            <v>Ajuste</v>
          </cell>
          <cell r="X132">
            <v>6</v>
          </cell>
          <cell r="Y132">
            <v>18</v>
          </cell>
        </row>
        <row r="133">
          <cell r="T133">
            <v>0</v>
          </cell>
          <cell r="U133" t="str">
            <v>L102618</v>
          </cell>
          <cell r="V133" t="str">
            <v>ADR 3kg</v>
          </cell>
          <cell r="W133" t="str">
            <v>Dañado</v>
          </cell>
          <cell r="X133">
            <v>1</v>
          </cell>
          <cell r="Y133">
            <v>3</v>
          </cell>
        </row>
        <row r="134">
          <cell r="T134">
            <v>0</v>
          </cell>
          <cell r="U134" t="str">
            <v>L102238</v>
          </cell>
          <cell r="V134" t="str">
            <v>AGU 4x1gal-CAJA</v>
          </cell>
          <cell r="W134" t="str">
            <v>Ajuste</v>
          </cell>
          <cell r="X134">
            <v>11</v>
          </cell>
          <cell r="Y134">
            <v>166.54000000000002</v>
          </cell>
        </row>
        <row r="135">
          <cell r="T135">
            <v>0</v>
          </cell>
          <cell r="U135" t="str">
            <v>L102483</v>
          </cell>
          <cell r="V135" t="str">
            <v>AGU 4x1gal-CAJA</v>
          </cell>
          <cell r="W135" t="str">
            <v>Ajuste</v>
          </cell>
          <cell r="X135">
            <v>1</v>
          </cell>
          <cell r="Y135">
            <v>15.14</v>
          </cell>
        </row>
        <row r="136">
          <cell r="T136" t="str">
            <v/>
          </cell>
          <cell r="U136" t="str">
            <v>L102760</v>
          </cell>
          <cell r="V136" t="str">
            <v>BPV 5kg</v>
          </cell>
          <cell r="W136" t="str">
            <v>Ajuste</v>
          </cell>
          <cell r="X136">
            <v>2</v>
          </cell>
          <cell r="Y136">
            <v>10</v>
          </cell>
        </row>
        <row r="137">
          <cell r="T137" t="str">
            <v/>
          </cell>
          <cell r="U137" t="str">
            <v>L102007</v>
          </cell>
          <cell r="V137" t="str">
            <v>CJRC46-25UNI</v>
          </cell>
          <cell r="W137" t="str">
            <v>Ajuste</v>
          </cell>
          <cell r="X137">
            <v>32</v>
          </cell>
          <cell r="Y137">
            <v>249.6</v>
          </cell>
        </row>
        <row r="138">
          <cell r="T138">
            <v>0</v>
          </cell>
          <cell r="U138" t="str">
            <v>L102346</v>
          </cell>
          <cell r="V138" t="str">
            <v>CRV 1kg</v>
          </cell>
          <cell r="W138" t="str">
            <v>Ajuste</v>
          </cell>
          <cell r="X138">
            <v>15</v>
          </cell>
          <cell r="Y138">
            <v>15</v>
          </cell>
        </row>
        <row r="139">
          <cell r="T139">
            <v>0</v>
          </cell>
          <cell r="U139" t="str">
            <v>L102459</v>
          </cell>
          <cell r="V139" t="str">
            <v>CRV 1kg</v>
          </cell>
          <cell r="W139" t="str">
            <v>Ajuste</v>
          </cell>
          <cell r="X139">
            <v>1</v>
          </cell>
          <cell r="Y139">
            <v>1</v>
          </cell>
        </row>
        <row r="140">
          <cell r="T140">
            <v>0</v>
          </cell>
          <cell r="U140" t="str">
            <v>L102462</v>
          </cell>
          <cell r="V140" t="str">
            <v>CRV 1kg</v>
          </cell>
          <cell r="W140" t="str">
            <v>Ajuste</v>
          </cell>
          <cell r="X140">
            <v>1</v>
          </cell>
          <cell r="Y140">
            <v>1</v>
          </cell>
        </row>
        <row r="141">
          <cell r="T141">
            <v>0</v>
          </cell>
          <cell r="U141" t="str">
            <v>L102348</v>
          </cell>
          <cell r="V141" t="str">
            <v>CRV 2kg-CAJA</v>
          </cell>
          <cell r="W141" t="str">
            <v>Ajuste</v>
          </cell>
          <cell r="X141">
            <v>11</v>
          </cell>
          <cell r="Y141">
            <v>22</v>
          </cell>
        </row>
        <row r="142">
          <cell r="T142">
            <v>0</v>
          </cell>
          <cell r="U142" t="str">
            <v>L101837</v>
          </cell>
          <cell r="V142" t="str">
            <v>DIV PTD 2 kg</v>
          </cell>
          <cell r="W142" t="str">
            <v>Ajuste</v>
          </cell>
          <cell r="X142">
            <v>63</v>
          </cell>
          <cell r="Y142">
            <v>126</v>
          </cell>
        </row>
        <row r="143">
          <cell r="T143">
            <v>0</v>
          </cell>
          <cell r="U143" t="str">
            <v>L101842</v>
          </cell>
          <cell r="V143" t="str">
            <v>EGB 2KG Caja</v>
          </cell>
          <cell r="W143" t="str">
            <v>Ajuste</v>
          </cell>
          <cell r="X143">
            <v>9</v>
          </cell>
          <cell r="Y143">
            <v>18</v>
          </cell>
        </row>
        <row r="144">
          <cell r="T144">
            <v>0</v>
          </cell>
          <cell r="U144" t="str">
            <v>L101908</v>
          </cell>
          <cell r="V144" t="str">
            <v>EGB MD 250ML- UNIDAD</v>
          </cell>
          <cell r="W144" t="str">
            <v>Ajuste</v>
          </cell>
          <cell r="X144">
            <v>44</v>
          </cell>
          <cell r="Y144">
            <v>11</v>
          </cell>
        </row>
        <row r="145">
          <cell r="T145">
            <v>0</v>
          </cell>
          <cell r="U145" t="str">
            <v>L102280</v>
          </cell>
          <cell r="V145" t="str">
            <v>DIV HAV 25kg</v>
          </cell>
          <cell r="W145" t="str">
            <v>Ajuste</v>
          </cell>
          <cell r="X145">
            <v>22</v>
          </cell>
          <cell r="Y145">
            <v>550</v>
          </cell>
        </row>
        <row r="146">
          <cell r="T146">
            <v>0</v>
          </cell>
          <cell r="U146" t="str">
            <v>L102759</v>
          </cell>
          <cell r="V146" t="str">
            <v>JAL 5kg</v>
          </cell>
          <cell r="W146" t="str">
            <v>Ajuste</v>
          </cell>
          <cell r="X146">
            <v>11</v>
          </cell>
          <cell r="Y146">
            <v>55</v>
          </cell>
        </row>
        <row r="147">
          <cell r="T147">
            <v>0</v>
          </cell>
          <cell r="U147" t="str">
            <v>l102377</v>
          </cell>
          <cell r="V147" t="str">
            <v>JGO 1kg</v>
          </cell>
          <cell r="W147" t="str">
            <v>Ajuste</v>
          </cell>
          <cell r="X147">
            <v>18</v>
          </cell>
          <cell r="Y147">
            <v>18</v>
          </cell>
        </row>
        <row r="148">
          <cell r="T148" t="str">
            <v/>
          </cell>
          <cell r="U148" t="str">
            <v>L102410</v>
          </cell>
          <cell r="V148" t="str">
            <v>LCHAY 2kg</v>
          </cell>
          <cell r="W148" t="str">
            <v>Ajuste</v>
          </cell>
          <cell r="X148">
            <v>1</v>
          </cell>
          <cell r="Y148">
            <v>0</v>
          </cell>
        </row>
        <row r="149">
          <cell r="T149">
            <v>0</v>
          </cell>
          <cell r="U149" t="str">
            <v>L102406</v>
          </cell>
          <cell r="V149" t="str">
            <v>LCHAY 4kg</v>
          </cell>
          <cell r="W149" t="str">
            <v>Ajuste</v>
          </cell>
          <cell r="X149">
            <v>3</v>
          </cell>
          <cell r="Y149">
            <v>12</v>
          </cell>
        </row>
        <row r="150">
          <cell r="T150">
            <v>0</v>
          </cell>
          <cell r="U150" t="str">
            <v>L102681</v>
          </cell>
          <cell r="V150" t="str">
            <v>LCHAY 4kg</v>
          </cell>
          <cell r="W150" t="str">
            <v>Ajuste</v>
          </cell>
          <cell r="X150">
            <v>73</v>
          </cell>
          <cell r="Y150">
            <v>292</v>
          </cell>
        </row>
        <row r="151">
          <cell r="T151">
            <v>0</v>
          </cell>
          <cell r="U151" t="str">
            <v>L102553</v>
          </cell>
          <cell r="V151" t="str">
            <v>LCHPD 1x400g</v>
          </cell>
          <cell r="W151" t="str">
            <v>Ajuste</v>
          </cell>
          <cell r="X151">
            <v>538</v>
          </cell>
          <cell r="Y151">
            <v>215.2</v>
          </cell>
        </row>
        <row r="152">
          <cell r="T152" t="str">
            <v/>
          </cell>
          <cell r="U152" t="str">
            <v>L102479</v>
          </cell>
          <cell r="V152" t="str">
            <v>MCN PD 1x47g</v>
          </cell>
          <cell r="W152" t="str">
            <v>Ajuste</v>
          </cell>
          <cell r="X152">
            <v>336</v>
          </cell>
          <cell r="Y152">
            <v>0</v>
          </cell>
        </row>
        <row r="153">
          <cell r="T153" t="str">
            <v/>
          </cell>
          <cell r="U153" t="str">
            <v>L102138</v>
          </cell>
          <cell r="V153" t="str">
            <v>MERMA DE FRUVER 1 kg</v>
          </cell>
          <cell r="W153" t="str">
            <v>Ajuste</v>
          </cell>
          <cell r="X153">
            <v>24.5</v>
          </cell>
          <cell r="Y153">
            <v>24.5</v>
          </cell>
        </row>
        <row r="154">
          <cell r="T154">
            <v>0</v>
          </cell>
          <cell r="U154" t="str">
            <v>L102766</v>
          </cell>
          <cell r="V154" t="str">
            <v>Merma KG</v>
          </cell>
          <cell r="W154" t="str">
            <v>Ajuste</v>
          </cell>
          <cell r="X154">
            <v>100.5</v>
          </cell>
          <cell r="Y154">
            <v>100.5</v>
          </cell>
        </row>
        <row r="155">
          <cell r="T155">
            <v>0</v>
          </cell>
          <cell r="U155" t="str">
            <v>L102006</v>
          </cell>
          <cell r="V155" t="str">
            <v>MNS 10Kg-PAQUETE</v>
          </cell>
          <cell r="W155" t="str">
            <v>Ajuste</v>
          </cell>
          <cell r="X155">
            <v>5</v>
          </cell>
          <cell r="Y155">
            <v>50</v>
          </cell>
        </row>
        <row r="156">
          <cell r="T156">
            <v>0</v>
          </cell>
          <cell r="U156" t="str">
            <v>L102273</v>
          </cell>
          <cell r="V156" t="str">
            <v>MRL 3kg</v>
          </cell>
          <cell r="W156" t="str">
            <v>Ajuste</v>
          </cell>
          <cell r="X156">
            <v>1</v>
          </cell>
          <cell r="Y156">
            <v>3</v>
          </cell>
        </row>
        <row r="157">
          <cell r="T157">
            <v>0</v>
          </cell>
          <cell r="U157" t="str">
            <v>L102508</v>
          </cell>
          <cell r="V157" t="str">
            <v>MYN 3kg - Caja</v>
          </cell>
          <cell r="W157" t="str">
            <v>Ajuste</v>
          </cell>
          <cell r="X157">
            <v>2</v>
          </cell>
          <cell r="Y157">
            <v>6</v>
          </cell>
        </row>
        <row r="158">
          <cell r="T158">
            <v>0</v>
          </cell>
          <cell r="U158" t="str">
            <v>L102671</v>
          </cell>
          <cell r="V158" t="str">
            <v>NV ACE 12x900ml-CAJA</v>
          </cell>
          <cell r="W158" t="str">
            <v>Ajuste</v>
          </cell>
          <cell r="X158">
            <v>2</v>
          </cell>
          <cell r="Y158">
            <v>21.6</v>
          </cell>
        </row>
        <row r="159">
          <cell r="T159">
            <v>0</v>
          </cell>
          <cell r="U159" t="str">
            <v>L102675</v>
          </cell>
          <cell r="V159" t="str">
            <v>NV ACE 1x900ml-UNI</v>
          </cell>
          <cell r="W159" t="str">
            <v>Ajuste</v>
          </cell>
          <cell r="X159">
            <v>12</v>
          </cell>
          <cell r="Y159">
            <v>10.8</v>
          </cell>
        </row>
        <row r="160">
          <cell r="T160">
            <v>0</v>
          </cell>
          <cell r="U160" t="str">
            <v>l102669</v>
          </cell>
          <cell r="V160" t="str">
            <v>NV ARJ 1X1LB-UNI</v>
          </cell>
          <cell r="W160" t="str">
            <v>Ajuste</v>
          </cell>
          <cell r="X160">
            <v>18</v>
          </cell>
          <cell r="Y160">
            <v>7.56</v>
          </cell>
        </row>
        <row r="161">
          <cell r="T161">
            <v>0</v>
          </cell>
          <cell r="U161" t="str">
            <v>L102673</v>
          </cell>
          <cell r="V161" t="str">
            <v>NV ARZ 1x5lb-UNI</v>
          </cell>
          <cell r="W161" t="str">
            <v>Ajuste</v>
          </cell>
          <cell r="X161">
            <v>57</v>
          </cell>
          <cell r="Y161">
            <v>128.81999999999996</v>
          </cell>
        </row>
        <row r="162">
          <cell r="T162" t="str">
            <v>CAMPAÑA NUTRIENDO VIDAS</v>
          </cell>
          <cell r="U162" t="str">
            <v>l102652</v>
          </cell>
          <cell r="V162" t="str">
            <v>NV AZC 25 x 800g-CAJA</v>
          </cell>
          <cell r="W162" t="str">
            <v>Ajuste</v>
          </cell>
          <cell r="X162">
            <v>293</v>
          </cell>
          <cell r="Y162">
            <v>5860</v>
          </cell>
        </row>
        <row r="163">
          <cell r="T163" t="str">
            <v>CAMPAÑA NUTRIENDO VIDAS</v>
          </cell>
          <cell r="U163" t="str">
            <v>l102652</v>
          </cell>
          <cell r="V163" t="str">
            <v>NV AZC 25 x 800g-CAJA</v>
          </cell>
          <cell r="W163" t="str">
            <v>Reproceso</v>
          </cell>
          <cell r="X163">
            <v>24</v>
          </cell>
          <cell r="Y163">
            <v>480</v>
          </cell>
        </row>
        <row r="164">
          <cell r="T164" t="str">
            <v>CAMPAÑA NUTRIENDO VIDAS</v>
          </cell>
          <cell r="U164" t="str">
            <v>l102652</v>
          </cell>
          <cell r="V164" t="str">
            <v>NV AZC 1 x 800g-UNI</v>
          </cell>
          <cell r="W164" t="str">
            <v>Ajuste</v>
          </cell>
          <cell r="X164">
            <v>1202</v>
          </cell>
          <cell r="Y164">
            <v>961.59999999999991</v>
          </cell>
        </row>
        <row r="165">
          <cell r="T165">
            <v>0</v>
          </cell>
          <cell r="U165" t="str">
            <v>l102654</v>
          </cell>
          <cell r="V165" t="str">
            <v>NV CRAVE 1X320g-UNI</v>
          </cell>
          <cell r="W165" t="str">
            <v>Ajuste</v>
          </cell>
          <cell r="X165">
            <v>40</v>
          </cell>
          <cell r="Y165">
            <v>12.8</v>
          </cell>
        </row>
        <row r="166">
          <cell r="T166">
            <v>0</v>
          </cell>
          <cell r="U166" t="str">
            <v>l102653</v>
          </cell>
          <cell r="V166" t="str">
            <v>NV CRMAIZ 1X320g-UNI</v>
          </cell>
          <cell r="W166" t="str">
            <v>Ajuste</v>
          </cell>
          <cell r="X166">
            <v>40</v>
          </cell>
          <cell r="Y166">
            <v>12.8</v>
          </cell>
        </row>
        <row r="167">
          <cell r="T167">
            <v>0</v>
          </cell>
          <cell r="U167" t="str">
            <v>L102656</v>
          </cell>
          <cell r="V167" t="str">
            <v>NV HAR 1 x 454g-UNI</v>
          </cell>
          <cell r="W167" t="str">
            <v>Ajuste</v>
          </cell>
          <cell r="X167">
            <v>36</v>
          </cell>
          <cell r="Y167">
            <v>16.2</v>
          </cell>
        </row>
        <row r="168">
          <cell r="T168">
            <v>0</v>
          </cell>
          <cell r="U168" t="str">
            <v>L102658</v>
          </cell>
          <cell r="V168" t="str">
            <v>NV LCH 1X400g-UNI</v>
          </cell>
          <cell r="W168" t="str">
            <v>Ajuste</v>
          </cell>
          <cell r="X168">
            <v>18</v>
          </cell>
          <cell r="Y168">
            <v>7.2</v>
          </cell>
        </row>
        <row r="169">
          <cell r="T169">
            <v>0</v>
          </cell>
          <cell r="U169" t="str">
            <v>L102668</v>
          </cell>
          <cell r="V169" t="str">
            <v>NV LTJ 1X1Lb-UNI</v>
          </cell>
          <cell r="W169" t="str">
            <v>Ajuste</v>
          </cell>
          <cell r="X169">
            <v>14</v>
          </cell>
          <cell r="Y169">
            <v>6.3</v>
          </cell>
        </row>
        <row r="170">
          <cell r="T170">
            <v>0</v>
          </cell>
          <cell r="U170" t="str">
            <v>L102667</v>
          </cell>
          <cell r="V170" t="str">
            <v>NV LTJ 25X1Lb-CAJA</v>
          </cell>
          <cell r="W170" t="str">
            <v>Ajuste</v>
          </cell>
          <cell r="X170">
            <v>1</v>
          </cell>
          <cell r="Y170">
            <v>11.33</v>
          </cell>
        </row>
        <row r="171">
          <cell r="T171">
            <v>0</v>
          </cell>
          <cell r="U171" t="str">
            <v>l102674</v>
          </cell>
          <cell r="V171" t="str">
            <v>NV SAL 1X454g-UNI</v>
          </cell>
          <cell r="W171" t="str">
            <v>Ajuste</v>
          </cell>
          <cell r="X171">
            <v>8</v>
          </cell>
          <cell r="Y171">
            <v>3.6</v>
          </cell>
        </row>
        <row r="172">
          <cell r="T172">
            <v>0</v>
          </cell>
          <cell r="U172" t="str">
            <v>l102674</v>
          </cell>
          <cell r="V172" t="str">
            <v>NV SAL 30X454g-CAJA</v>
          </cell>
          <cell r="W172" t="str">
            <v>Ajuste</v>
          </cell>
          <cell r="X172">
            <v>1</v>
          </cell>
          <cell r="Y172">
            <v>13.62</v>
          </cell>
        </row>
        <row r="173">
          <cell r="T173">
            <v>0</v>
          </cell>
          <cell r="U173" t="str">
            <v>L102666</v>
          </cell>
          <cell r="V173" t="str">
            <v>NV SPAGUETTIS 1 x 454G-UNI</v>
          </cell>
          <cell r="W173" t="str">
            <v>Ajuste</v>
          </cell>
          <cell r="X173">
            <v>32</v>
          </cell>
          <cell r="Y173">
            <v>14.4</v>
          </cell>
        </row>
        <row r="174">
          <cell r="T174">
            <v>0</v>
          </cell>
          <cell r="U174" t="str">
            <v>L102665</v>
          </cell>
          <cell r="V174" t="str">
            <v>NV SPAGUETTIS 20 x 454G-CAJA</v>
          </cell>
          <cell r="W174" t="str">
            <v>Ajuste</v>
          </cell>
          <cell r="X174">
            <v>2</v>
          </cell>
          <cell r="Y174">
            <v>18.16</v>
          </cell>
        </row>
        <row r="175">
          <cell r="T175">
            <v>0</v>
          </cell>
          <cell r="U175" t="str">
            <v>L102664</v>
          </cell>
          <cell r="V175" t="str">
            <v>NV SRD 1X15 OZ-UNI</v>
          </cell>
          <cell r="W175" t="str">
            <v>Ajuste</v>
          </cell>
          <cell r="X175">
            <v>18</v>
          </cell>
          <cell r="Y175">
            <v>7.56</v>
          </cell>
        </row>
        <row r="176">
          <cell r="T176">
            <v>0</v>
          </cell>
          <cell r="U176" t="str">
            <v>L102662</v>
          </cell>
          <cell r="V176" t="str">
            <v>NV SRD 1X5.5 ONZ-UNI</v>
          </cell>
          <cell r="W176" t="str">
            <v>Ajuste</v>
          </cell>
          <cell r="X176">
            <v>36</v>
          </cell>
          <cell r="Y176">
            <v>5.3999999999999995</v>
          </cell>
        </row>
        <row r="177">
          <cell r="T177" t="str">
            <v/>
          </cell>
          <cell r="U177" t="str">
            <v>L102620</v>
          </cell>
          <cell r="V177" t="str">
            <v>PASTVH 2kg</v>
          </cell>
          <cell r="W177" t="str">
            <v>Ajuste</v>
          </cell>
          <cell r="X177">
            <v>6</v>
          </cell>
          <cell r="Y177">
            <v>0</v>
          </cell>
        </row>
        <row r="178">
          <cell r="T178">
            <v>0</v>
          </cell>
          <cell r="U178" t="str">
            <v>L101839</v>
          </cell>
          <cell r="V178" t="str">
            <v>PTD 2 kg</v>
          </cell>
          <cell r="W178" t="str">
            <v>Ajuste</v>
          </cell>
          <cell r="X178">
            <v>12</v>
          </cell>
          <cell r="Y178">
            <v>24</v>
          </cell>
        </row>
        <row r="179">
          <cell r="T179">
            <v>0</v>
          </cell>
          <cell r="U179" t="str">
            <v>L101851</v>
          </cell>
          <cell r="V179" t="str">
            <v>PTD 2 kg</v>
          </cell>
          <cell r="W179" t="str">
            <v>Ajuste</v>
          </cell>
          <cell r="X179">
            <v>3</v>
          </cell>
          <cell r="Y179">
            <v>6</v>
          </cell>
        </row>
        <row r="180">
          <cell r="T180">
            <v>0</v>
          </cell>
          <cell r="U180" t="str">
            <v>L101852</v>
          </cell>
          <cell r="V180" t="str">
            <v>PTD 2 kg</v>
          </cell>
          <cell r="W180" t="str">
            <v>Ajuste</v>
          </cell>
          <cell r="X180">
            <v>5</v>
          </cell>
          <cell r="Y180">
            <v>10</v>
          </cell>
        </row>
        <row r="181">
          <cell r="T181">
            <v>0</v>
          </cell>
          <cell r="U181" t="str">
            <v>L101853</v>
          </cell>
          <cell r="V181" t="str">
            <v>PTD 2 kg</v>
          </cell>
          <cell r="W181" t="str">
            <v>Ajuste</v>
          </cell>
          <cell r="X181">
            <v>17</v>
          </cell>
          <cell r="Y181">
            <v>34</v>
          </cell>
        </row>
        <row r="182">
          <cell r="T182">
            <v>0</v>
          </cell>
          <cell r="U182" t="str">
            <v>L101854</v>
          </cell>
          <cell r="V182" t="str">
            <v>PTD 2 kg</v>
          </cell>
          <cell r="W182" t="str">
            <v>Ajuste</v>
          </cell>
          <cell r="X182">
            <v>10</v>
          </cell>
          <cell r="Y182">
            <v>20</v>
          </cell>
        </row>
        <row r="183">
          <cell r="T183">
            <v>0</v>
          </cell>
          <cell r="U183" t="str">
            <v>L101855</v>
          </cell>
          <cell r="V183" t="str">
            <v>PTD 2 kg</v>
          </cell>
          <cell r="W183" t="str">
            <v>Ajuste</v>
          </cell>
          <cell r="X183">
            <v>15</v>
          </cell>
          <cell r="Y183">
            <v>30</v>
          </cell>
        </row>
        <row r="184">
          <cell r="T184">
            <v>0</v>
          </cell>
          <cell r="U184" t="str">
            <v>L101856</v>
          </cell>
          <cell r="V184" t="str">
            <v>PTD 2 kg</v>
          </cell>
          <cell r="W184" t="str">
            <v>Ajuste</v>
          </cell>
          <cell r="X184">
            <v>10</v>
          </cell>
          <cell r="Y184">
            <v>20</v>
          </cell>
        </row>
        <row r="185">
          <cell r="T185" t="str">
            <v/>
          </cell>
          <cell r="U185" t="str">
            <v>L101857</v>
          </cell>
          <cell r="V185" t="str">
            <v>PTD 2 kg</v>
          </cell>
          <cell r="W185" t="str">
            <v>Ajuste</v>
          </cell>
          <cell r="X185">
            <v>25</v>
          </cell>
          <cell r="Y185">
            <v>50</v>
          </cell>
        </row>
        <row r="186">
          <cell r="T186">
            <v>0</v>
          </cell>
          <cell r="U186" t="str">
            <v>L101858</v>
          </cell>
          <cell r="V186" t="str">
            <v>PTD 2 kg</v>
          </cell>
          <cell r="W186" t="str">
            <v>Ajuste</v>
          </cell>
          <cell r="X186">
            <v>24</v>
          </cell>
          <cell r="Y186">
            <v>48</v>
          </cell>
        </row>
        <row r="187">
          <cell r="T187" t="str">
            <v/>
          </cell>
          <cell r="U187" t="str">
            <v>L101859</v>
          </cell>
          <cell r="V187" t="str">
            <v>PTD 2 kg</v>
          </cell>
          <cell r="W187" t="str">
            <v>Ajuste</v>
          </cell>
          <cell r="X187">
            <v>23</v>
          </cell>
          <cell r="Y187">
            <v>46</v>
          </cell>
        </row>
        <row r="188">
          <cell r="T188">
            <v>0</v>
          </cell>
          <cell r="U188" t="str">
            <v>L102142</v>
          </cell>
          <cell r="V188" t="str">
            <v>PTD 2 kg</v>
          </cell>
          <cell r="W188" t="str">
            <v>Ajuste</v>
          </cell>
          <cell r="X188">
            <v>7</v>
          </cell>
          <cell r="Y188">
            <v>14</v>
          </cell>
        </row>
        <row r="189">
          <cell r="T189">
            <v>0</v>
          </cell>
          <cell r="U189" t="str">
            <v>L102702</v>
          </cell>
          <cell r="V189" t="str">
            <v>PTV 16 a 22kg</v>
          </cell>
          <cell r="W189" t="str">
            <v>Ajuste</v>
          </cell>
          <cell r="X189">
            <v>85</v>
          </cell>
          <cell r="Y189">
            <v>1615</v>
          </cell>
        </row>
        <row r="190">
          <cell r="T190">
            <v>0</v>
          </cell>
          <cell r="U190" t="str">
            <v>L102740</v>
          </cell>
          <cell r="V190" t="str">
            <v>PTV 2kg</v>
          </cell>
          <cell r="W190" t="str">
            <v>Ajuste</v>
          </cell>
          <cell r="X190">
            <v>4</v>
          </cell>
          <cell r="Y190">
            <v>8</v>
          </cell>
        </row>
        <row r="191">
          <cell r="T191">
            <v>0</v>
          </cell>
          <cell r="U191" t="str">
            <v>L102578</v>
          </cell>
          <cell r="V191" t="str">
            <v>PTV 5kg</v>
          </cell>
          <cell r="W191" t="str">
            <v>Ajuste</v>
          </cell>
          <cell r="X191">
            <v>352</v>
          </cell>
          <cell r="Y191">
            <v>1760</v>
          </cell>
        </row>
        <row r="192">
          <cell r="T192">
            <v>0</v>
          </cell>
          <cell r="U192" t="str">
            <v>L101838</v>
          </cell>
          <cell r="V192" t="str">
            <v>SHMP 1kg Caja</v>
          </cell>
          <cell r="W192" t="str">
            <v>Ajuste</v>
          </cell>
          <cell r="X192">
            <v>3</v>
          </cell>
          <cell r="Y192">
            <v>3</v>
          </cell>
        </row>
        <row r="193">
          <cell r="T193">
            <v>0</v>
          </cell>
          <cell r="U193" t="str">
            <v>L101845</v>
          </cell>
          <cell r="V193" t="str">
            <v>SHMP 1kg Caja</v>
          </cell>
          <cell r="W193" t="str">
            <v>Ajuste</v>
          </cell>
          <cell r="X193">
            <v>12</v>
          </cell>
          <cell r="Y193">
            <v>12</v>
          </cell>
        </row>
        <row r="194">
          <cell r="T194">
            <v>0</v>
          </cell>
          <cell r="U194" t="str">
            <v>L102583</v>
          </cell>
          <cell r="V194" t="str">
            <v>SHMP 1kg Caja</v>
          </cell>
          <cell r="W194" t="str">
            <v>Ajuste</v>
          </cell>
          <cell r="X194">
            <v>1</v>
          </cell>
          <cell r="Y194">
            <v>1</v>
          </cell>
        </row>
        <row r="195">
          <cell r="T195">
            <v>0</v>
          </cell>
          <cell r="U195" t="str">
            <v>L102253</v>
          </cell>
          <cell r="V195" t="str">
            <v>SSY 2kg-CAJA</v>
          </cell>
          <cell r="W195" t="str">
            <v>Ajuste</v>
          </cell>
          <cell r="X195">
            <v>11</v>
          </cell>
          <cell r="Y195">
            <v>22</v>
          </cell>
        </row>
        <row r="196">
          <cell r="T196">
            <v>0</v>
          </cell>
          <cell r="U196" t="str">
            <v>L102256</v>
          </cell>
          <cell r="V196" t="str">
            <v>SSY 2kg-CAJA</v>
          </cell>
          <cell r="W196" t="str">
            <v>Ajuste</v>
          </cell>
          <cell r="X196">
            <v>3</v>
          </cell>
          <cell r="Y196">
            <v>6</v>
          </cell>
        </row>
        <row r="197">
          <cell r="T197">
            <v>0</v>
          </cell>
          <cell r="U197" t="str">
            <v>l102284</v>
          </cell>
          <cell r="V197" t="str">
            <v>SVIT 2Kg - CAJA</v>
          </cell>
          <cell r="W197" t="str">
            <v>Ajuste</v>
          </cell>
          <cell r="X197">
            <v>58</v>
          </cell>
          <cell r="Y197">
            <v>116</v>
          </cell>
        </row>
        <row r="198">
          <cell r="T198">
            <v>0</v>
          </cell>
          <cell r="U198" t="str">
            <v>L103440</v>
          </cell>
          <cell r="V198" t="str">
            <v>ACE 1KG-CAJA</v>
          </cell>
          <cell r="W198" t="str">
            <v>Ajuste</v>
          </cell>
          <cell r="X198">
            <v>2</v>
          </cell>
          <cell r="Y198">
            <v>2</v>
          </cell>
        </row>
        <row r="199">
          <cell r="T199">
            <v>0</v>
          </cell>
          <cell r="U199" t="str">
            <v>L103534</v>
          </cell>
          <cell r="V199" t="str">
            <v>ACE 2KG</v>
          </cell>
          <cell r="W199" t="str">
            <v>Ajuste</v>
          </cell>
          <cell r="X199">
            <v>2</v>
          </cell>
          <cell r="Y199">
            <v>4</v>
          </cell>
        </row>
        <row r="200">
          <cell r="T200">
            <v>0</v>
          </cell>
          <cell r="U200" t="str">
            <v>L103605</v>
          </cell>
          <cell r="V200" t="str">
            <v>ACE 2KG</v>
          </cell>
          <cell r="W200" t="str">
            <v>Ajuste</v>
          </cell>
          <cell r="X200">
            <v>1</v>
          </cell>
          <cell r="Y200">
            <v>2</v>
          </cell>
        </row>
        <row r="201">
          <cell r="T201">
            <v>0</v>
          </cell>
          <cell r="U201" t="str">
            <v>L103734</v>
          </cell>
          <cell r="V201" t="str">
            <v>Aceituna kg</v>
          </cell>
          <cell r="W201" t="str">
            <v>Ajuste</v>
          </cell>
          <cell r="X201">
            <v>0.23</v>
          </cell>
          <cell r="Y201">
            <v>0.23</v>
          </cell>
        </row>
        <row r="202">
          <cell r="T202">
            <v>0</v>
          </cell>
          <cell r="U202" t="str">
            <v>L102914</v>
          </cell>
          <cell r="V202" t="str">
            <v>ACT 3kg</v>
          </cell>
          <cell r="W202" t="str">
            <v>Ajuste</v>
          </cell>
          <cell r="X202">
            <v>3</v>
          </cell>
          <cell r="Y202">
            <v>9</v>
          </cell>
        </row>
        <row r="203">
          <cell r="T203" t="str">
            <v/>
          </cell>
          <cell r="U203" t="str">
            <v>L103709</v>
          </cell>
          <cell r="V203" t="str">
            <v>ACT 4kg</v>
          </cell>
          <cell r="W203" t="str">
            <v>Ajuste</v>
          </cell>
          <cell r="X203">
            <v>1</v>
          </cell>
          <cell r="Y203">
            <v>0</v>
          </cell>
        </row>
        <row r="204">
          <cell r="T204" t="str">
            <v/>
          </cell>
          <cell r="U204" t="str">
            <v>L103719</v>
          </cell>
          <cell r="V204" t="str">
            <v>ACT 5kg</v>
          </cell>
          <cell r="W204" t="str">
            <v>Ajuste</v>
          </cell>
          <cell r="X204">
            <v>1</v>
          </cell>
          <cell r="Y204">
            <v>5</v>
          </cell>
        </row>
        <row r="205">
          <cell r="T205">
            <v>0</v>
          </cell>
          <cell r="U205" t="str">
            <v>L103101</v>
          </cell>
          <cell r="V205" t="str">
            <v>AGU 4x1gal-CAJA</v>
          </cell>
          <cell r="W205" t="str">
            <v>Ajuste</v>
          </cell>
          <cell r="X205">
            <v>228</v>
          </cell>
          <cell r="Y205">
            <v>3451.9200000000005</v>
          </cell>
        </row>
        <row r="206">
          <cell r="T206">
            <v>0</v>
          </cell>
          <cell r="U206" t="str">
            <v>L103101</v>
          </cell>
          <cell r="V206" t="str">
            <v>DIV AGU 1 GLN</v>
          </cell>
          <cell r="W206" t="str">
            <v>Ajuste</v>
          </cell>
          <cell r="X206">
            <v>175</v>
          </cell>
          <cell r="Y206">
            <v>661.5</v>
          </cell>
        </row>
        <row r="207">
          <cell r="T207">
            <v>0</v>
          </cell>
          <cell r="U207" t="str">
            <v>L103318</v>
          </cell>
          <cell r="V207" t="str">
            <v>AGU 4x1gal-CAJA</v>
          </cell>
          <cell r="W207" t="str">
            <v>Ajuste</v>
          </cell>
          <cell r="X207">
            <v>1</v>
          </cell>
          <cell r="Y207">
            <v>15.14</v>
          </cell>
        </row>
        <row r="208">
          <cell r="T208">
            <v>0</v>
          </cell>
          <cell r="U208" t="str">
            <v>L103567</v>
          </cell>
          <cell r="V208" t="str">
            <v>AGU 4x1gal-CAJA</v>
          </cell>
          <cell r="W208" t="str">
            <v>Ajuste</v>
          </cell>
          <cell r="X208">
            <v>310</v>
          </cell>
          <cell r="Y208">
            <v>4693.4000000000015</v>
          </cell>
        </row>
        <row r="209">
          <cell r="T209">
            <v>0</v>
          </cell>
          <cell r="U209" t="str">
            <v>L103689</v>
          </cell>
          <cell r="V209" t="str">
            <v>AGU 4x1gal-CAJA</v>
          </cell>
          <cell r="W209" t="str">
            <v>Ajuste</v>
          </cell>
          <cell r="X209">
            <v>1</v>
          </cell>
          <cell r="Y209">
            <v>15.14</v>
          </cell>
        </row>
        <row r="210">
          <cell r="T210">
            <v>0</v>
          </cell>
          <cell r="U210" t="str">
            <v>L103102</v>
          </cell>
          <cell r="V210" t="str">
            <v>AGU 4X5L-CAJA</v>
          </cell>
          <cell r="W210" t="str">
            <v>Ajuste</v>
          </cell>
          <cell r="X210">
            <v>70</v>
          </cell>
          <cell r="Y210">
            <v>1400</v>
          </cell>
        </row>
        <row r="211">
          <cell r="T211">
            <v>0</v>
          </cell>
          <cell r="U211" t="str">
            <v>L103568</v>
          </cell>
          <cell r="V211" t="str">
            <v>AGU 4X5L-CAJA</v>
          </cell>
          <cell r="W211" t="str">
            <v>Ajuste</v>
          </cell>
          <cell r="X211">
            <v>209</v>
          </cell>
          <cell r="Y211">
            <v>4180</v>
          </cell>
        </row>
        <row r="212">
          <cell r="T212">
            <v>0</v>
          </cell>
          <cell r="U212" t="str">
            <v>L103568</v>
          </cell>
          <cell r="V212" t="str">
            <v>DIV AGU 1 GLN</v>
          </cell>
          <cell r="W212" t="str">
            <v>Ajuste</v>
          </cell>
          <cell r="X212">
            <v>432</v>
          </cell>
          <cell r="Y212">
            <v>1632.9599999999994</v>
          </cell>
        </row>
        <row r="213">
          <cell r="T213" t="str">
            <v/>
          </cell>
          <cell r="U213" t="str">
            <v>L103688</v>
          </cell>
          <cell r="V213" t="str">
            <v>AGU 5kg-CAJA</v>
          </cell>
          <cell r="W213" t="str">
            <v>Ajuste</v>
          </cell>
          <cell r="X213">
            <v>2</v>
          </cell>
          <cell r="Y213">
            <v>0</v>
          </cell>
        </row>
        <row r="214">
          <cell r="T214">
            <v>0</v>
          </cell>
          <cell r="U214" t="str">
            <v>L103563</v>
          </cell>
          <cell r="V214" t="str">
            <v>ALC 24X16OZ</v>
          </cell>
          <cell r="W214" t="str">
            <v>Ajuste</v>
          </cell>
          <cell r="X214">
            <v>1</v>
          </cell>
          <cell r="Y214">
            <v>10.88</v>
          </cell>
        </row>
        <row r="215">
          <cell r="T215">
            <v>0</v>
          </cell>
          <cell r="U215" t="str">
            <v>L103562</v>
          </cell>
          <cell r="V215" t="str">
            <v>AMC 3Kg-CAJA</v>
          </cell>
          <cell r="W215" t="str">
            <v>Ajuste</v>
          </cell>
          <cell r="X215">
            <v>1</v>
          </cell>
          <cell r="Y215">
            <v>3</v>
          </cell>
        </row>
        <row r="216">
          <cell r="T216">
            <v>0</v>
          </cell>
          <cell r="U216" t="str">
            <v>L103743</v>
          </cell>
          <cell r="V216" t="str">
            <v>Arroz kg</v>
          </cell>
          <cell r="W216" t="str">
            <v>Ajuste</v>
          </cell>
          <cell r="X216">
            <v>1.06</v>
          </cell>
          <cell r="Y216">
            <v>1.06</v>
          </cell>
        </row>
        <row r="217">
          <cell r="T217">
            <v>0</v>
          </cell>
          <cell r="U217" t="str">
            <v>L103355</v>
          </cell>
          <cell r="V217" t="str">
            <v>ARZ 2 kg-Unidad</v>
          </cell>
          <cell r="W217" t="str">
            <v>Ajuste</v>
          </cell>
          <cell r="X217">
            <v>41</v>
          </cell>
          <cell r="Y217">
            <v>82</v>
          </cell>
        </row>
        <row r="218">
          <cell r="T218">
            <v>0</v>
          </cell>
          <cell r="U218" t="str">
            <v>L103457</v>
          </cell>
          <cell r="V218" t="str">
            <v>ARZ 2 kg-Unidad</v>
          </cell>
          <cell r="W218" t="str">
            <v>Ajuste</v>
          </cell>
          <cell r="X218">
            <v>12</v>
          </cell>
          <cell r="Y218">
            <v>24</v>
          </cell>
        </row>
        <row r="219">
          <cell r="T219">
            <v>0</v>
          </cell>
          <cell r="U219" t="str">
            <v>L103458</v>
          </cell>
          <cell r="V219" t="str">
            <v>ARZ 2 kg-Unidad</v>
          </cell>
          <cell r="W219" t="str">
            <v>Ajuste</v>
          </cell>
          <cell r="X219">
            <v>4</v>
          </cell>
          <cell r="Y219">
            <v>8</v>
          </cell>
        </row>
        <row r="220">
          <cell r="T220">
            <v>0</v>
          </cell>
          <cell r="U220" t="str">
            <v>L103459</v>
          </cell>
          <cell r="V220" t="str">
            <v>ARZ 2 kg-Unidad</v>
          </cell>
          <cell r="W220" t="str">
            <v>Ajuste</v>
          </cell>
          <cell r="X220">
            <v>1</v>
          </cell>
          <cell r="Y220">
            <v>2</v>
          </cell>
        </row>
        <row r="221">
          <cell r="T221">
            <v>0</v>
          </cell>
          <cell r="U221" t="str">
            <v>L103460</v>
          </cell>
          <cell r="V221" t="str">
            <v>ARZ 2 kg-Unidad</v>
          </cell>
          <cell r="W221" t="str">
            <v>Ajuste</v>
          </cell>
          <cell r="X221">
            <v>8</v>
          </cell>
          <cell r="Y221">
            <v>16</v>
          </cell>
        </row>
        <row r="222">
          <cell r="T222">
            <v>0</v>
          </cell>
          <cell r="U222" t="str">
            <v>L103651</v>
          </cell>
          <cell r="V222" t="str">
            <v>ARZ 2 kg-Unidad</v>
          </cell>
          <cell r="W222" t="str">
            <v>Ajuste</v>
          </cell>
          <cell r="X222">
            <v>54</v>
          </cell>
          <cell r="Y222">
            <v>108</v>
          </cell>
        </row>
        <row r="223">
          <cell r="T223">
            <v>0</v>
          </cell>
          <cell r="U223" t="str">
            <v>L103354</v>
          </cell>
          <cell r="V223" t="str">
            <v>ARZ 4.2 kg-Unidad</v>
          </cell>
          <cell r="W223" t="str">
            <v>Ajuste</v>
          </cell>
          <cell r="X223">
            <v>2</v>
          </cell>
          <cell r="Y223">
            <v>8.4</v>
          </cell>
        </row>
        <row r="224">
          <cell r="T224">
            <v>0</v>
          </cell>
          <cell r="U224" t="str">
            <v>L103650</v>
          </cell>
          <cell r="V224" t="str">
            <v>ARZ 4.2 kg-Unidad</v>
          </cell>
          <cell r="W224" t="str">
            <v>Ajuste</v>
          </cell>
          <cell r="X224">
            <v>1</v>
          </cell>
          <cell r="Y224">
            <v>4.2</v>
          </cell>
        </row>
        <row r="225">
          <cell r="T225">
            <v>0</v>
          </cell>
          <cell r="U225" t="str">
            <v>L103701</v>
          </cell>
          <cell r="V225" t="str">
            <v>ARZ 5Kg</v>
          </cell>
          <cell r="W225" t="str">
            <v>Ajuste</v>
          </cell>
          <cell r="X225">
            <v>134</v>
          </cell>
          <cell r="Y225">
            <v>670</v>
          </cell>
        </row>
        <row r="226">
          <cell r="T226">
            <v>0</v>
          </cell>
          <cell r="U226" t="str">
            <v>L103062</v>
          </cell>
          <cell r="V226" t="str">
            <v>PV ARZ PRCDO 11kg</v>
          </cell>
          <cell r="W226" t="str">
            <v>Ajuste</v>
          </cell>
          <cell r="X226">
            <v>340</v>
          </cell>
          <cell r="Y226">
            <v>3855.6000000000031</v>
          </cell>
        </row>
        <row r="227">
          <cell r="T227">
            <v>0</v>
          </cell>
          <cell r="U227" t="str">
            <v>L103062</v>
          </cell>
          <cell r="V227" t="str">
            <v>PV DIV ARZ PRCDO 11kg</v>
          </cell>
          <cell r="W227" t="str">
            <v>Ajuste</v>
          </cell>
          <cell r="X227">
            <v>205</v>
          </cell>
          <cell r="Y227">
            <v>2324.7000000000003</v>
          </cell>
        </row>
        <row r="228">
          <cell r="T228">
            <v>0</v>
          </cell>
          <cell r="U228" t="str">
            <v>L102780</v>
          </cell>
          <cell r="V228" t="str">
            <v>ARZEPA 14kg (CAJA)</v>
          </cell>
          <cell r="W228" t="str">
            <v>Ajuste</v>
          </cell>
          <cell r="X228">
            <v>159</v>
          </cell>
          <cell r="Y228">
            <v>2226</v>
          </cell>
        </row>
        <row r="229">
          <cell r="T229">
            <v>0</v>
          </cell>
          <cell r="U229" t="str">
            <v>L103266</v>
          </cell>
          <cell r="V229" t="str">
            <v>ARZEPF 5kg (CAJA)</v>
          </cell>
          <cell r="W229" t="str">
            <v>Ajuste</v>
          </cell>
          <cell r="X229">
            <v>703</v>
          </cell>
          <cell r="Y229">
            <v>3515</v>
          </cell>
        </row>
        <row r="230">
          <cell r="T230">
            <v>0</v>
          </cell>
          <cell r="U230" t="str">
            <v>L102752</v>
          </cell>
          <cell r="V230" t="str">
            <v>ARZEPF 5kg (CAJA)</v>
          </cell>
          <cell r="W230" t="str">
            <v>Ajuste</v>
          </cell>
          <cell r="X230">
            <v>26</v>
          </cell>
          <cell r="Y230">
            <v>130</v>
          </cell>
        </row>
        <row r="231">
          <cell r="T231">
            <v>0</v>
          </cell>
          <cell r="U231" t="str">
            <v>L103357</v>
          </cell>
          <cell r="V231" t="str">
            <v>ATN 1kg-CAJA</v>
          </cell>
          <cell r="W231" t="str">
            <v>Ajuste</v>
          </cell>
          <cell r="X231">
            <v>21</v>
          </cell>
          <cell r="Y231">
            <v>21</v>
          </cell>
        </row>
        <row r="232">
          <cell r="T232">
            <v>0</v>
          </cell>
          <cell r="U232" t="str">
            <v>L103535</v>
          </cell>
          <cell r="V232" t="str">
            <v>ATN 1kg-CAJA</v>
          </cell>
          <cell r="W232" t="str">
            <v>Ajuste</v>
          </cell>
          <cell r="X232">
            <v>12</v>
          </cell>
          <cell r="Y232">
            <v>12</v>
          </cell>
        </row>
        <row r="233">
          <cell r="T233" t="str">
            <v/>
          </cell>
          <cell r="U233" t="str">
            <v>L103710</v>
          </cell>
          <cell r="V233" t="str">
            <v>ATN 1kg-CAJA</v>
          </cell>
          <cell r="W233" t="str">
            <v>Ajuste</v>
          </cell>
          <cell r="X233">
            <v>2</v>
          </cell>
          <cell r="Y233">
            <v>2</v>
          </cell>
        </row>
        <row r="234">
          <cell r="T234" t="str">
            <v/>
          </cell>
          <cell r="U234" t="str">
            <v>L103617</v>
          </cell>
          <cell r="V234" t="str">
            <v>AZC 1kg-PAQUETE</v>
          </cell>
          <cell r="W234" t="str">
            <v>Ajuste</v>
          </cell>
          <cell r="X234">
            <v>78</v>
          </cell>
          <cell r="Y234">
            <v>78</v>
          </cell>
        </row>
        <row r="235">
          <cell r="T235">
            <v>0</v>
          </cell>
          <cell r="U235" t="str">
            <v>L103699</v>
          </cell>
          <cell r="V235" t="str">
            <v>AZC 2kg-PAQUETE</v>
          </cell>
          <cell r="W235" t="str">
            <v>Ajuste</v>
          </cell>
          <cell r="X235">
            <v>7</v>
          </cell>
          <cell r="Y235">
            <v>14</v>
          </cell>
        </row>
        <row r="236">
          <cell r="T236">
            <v>0</v>
          </cell>
          <cell r="U236" t="str">
            <v>L103302</v>
          </cell>
          <cell r="V236" t="str">
            <v>BPB 1Kg-UNIDAD</v>
          </cell>
          <cell r="W236" t="str">
            <v>Ajuste</v>
          </cell>
          <cell r="X236">
            <v>6</v>
          </cell>
          <cell r="Y236">
            <v>6</v>
          </cell>
        </row>
        <row r="237">
          <cell r="T237">
            <v>0</v>
          </cell>
          <cell r="U237" t="str">
            <v>L103261</v>
          </cell>
          <cell r="V237" t="str">
            <v>BPV 5kg</v>
          </cell>
          <cell r="W237" t="str">
            <v>Ajuste</v>
          </cell>
          <cell r="X237">
            <v>4</v>
          </cell>
          <cell r="Y237">
            <v>20</v>
          </cell>
        </row>
        <row r="238">
          <cell r="T238">
            <v>0</v>
          </cell>
          <cell r="U238" t="str">
            <v>L103522</v>
          </cell>
          <cell r="V238" t="str">
            <v>BPV 5kg</v>
          </cell>
          <cell r="W238" t="str">
            <v>Ajuste</v>
          </cell>
          <cell r="X238">
            <v>5</v>
          </cell>
          <cell r="Y238">
            <v>25</v>
          </cell>
        </row>
        <row r="239">
          <cell r="T239">
            <v>0</v>
          </cell>
          <cell r="U239" t="str">
            <v>L103526</v>
          </cell>
          <cell r="V239" t="str">
            <v>BPV 5kg</v>
          </cell>
          <cell r="W239" t="str">
            <v>Ajuste</v>
          </cell>
          <cell r="X239">
            <v>1</v>
          </cell>
          <cell r="Y239">
            <v>5</v>
          </cell>
        </row>
        <row r="240">
          <cell r="T240">
            <v>0</v>
          </cell>
          <cell r="U240" t="str">
            <v>L103539</v>
          </cell>
          <cell r="V240" t="str">
            <v>BPV 5kg</v>
          </cell>
          <cell r="W240" t="str">
            <v>Ajuste</v>
          </cell>
          <cell r="X240">
            <v>1</v>
          </cell>
          <cell r="Y240">
            <v>5</v>
          </cell>
        </row>
        <row r="241">
          <cell r="T241" t="str">
            <v/>
          </cell>
          <cell r="U241" t="str">
            <v>L103549</v>
          </cell>
          <cell r="V241" t="str">
            <v>BPV 5kg</v>
          </cell>
          <cell r="W241" t="str">
            <v>Ajuste</v>
          </cell>
          <cell r="X241">
            <v>9</v>
          </cell>
          <cell r="Y241">
            <v>45</v>
          </cell>
        </row>
        <row r="242">
          <cell r="T242">
            <v>0</v>
          </cell>
          <cell r="U242" t="str">
            <v>L103580</v>
          </cell>
          <cell r="V242" t="str">
            <v>BPV 5kg</v>
          </cell>
          <cell r="W242" t="str">
            <v>Ajuste</v>
          </cell>
          <cell r="X242">
            <v>9</v>
          </cell>
          <cell r="Y242">
            <v>45</v>
          </cell>
        </row>
        <row r="243">
          <cell r="T243">
            <v>0</v>
          </cell>
          <cell r="U243" t="str">
            <v>L103585</v>
          </cell>
          <cell r="V243" t="str">
            <v>BPV 5kg</v>
          </cell>
          <cell r="W243" t="str">
            <v>Ajuste</v>
          </cell>
          <cell r="X243">
            <v>1</v>
          </cell>
          <cell r="Y243">
            <v>5</v>
          </cell>
        </row>
        <row r="244">
          <cell r="T244" t="str">
            <v/>
          </cell>
          <cell r="U244" t="str">
            <v>L103593</v>
          </cell>
          <cell r="V244" t="str">
            <v>BPV 5kg</v>
          </cell>
          <cell r="W244" t="str">
            <v>Ajuste</v>
          </cell>
          <cell r="X244">
            <v>12</v>
          </cell>
          <cell r="Y244">
            <v>60</v>
          </cell>
        </row>
        <row r="245">
          <cell r="T245" t="str">
            <v/>
          </cell>
          <cell r="U245" t="str">
            <v>L103594</v>
          </cell>
          <cell r="V245" t="str">
            <v>BPV 5kg</v>
          </cell>
          <cell r="W245" t="str">
            <v>Ajuste</v>
          </cell>
          <cell r="X245">
            <v>5</v>
          </cell>
          <cell r="Y245">
            <v>25</v>
          </cell>
        </row>
        <row r="246">
          <cell r="T246" t="str">
            <v/>
          </cell>
          <cell r="U246" t="str">
            <v>L103595</v>
          </cell>
          <cell r="V246" t="str">
            <v>BPV 5kg</v>
          </cell>
          <cell r="W246" t="str">
            <v>Ajuste</v>
          </cell>
          <cell r="X246">
            <v>8</v>
          </cell>
          <cell r="Y246">
            <v>40</v>
          </cell>
        </row>
        <row r="247">
          <cell r="T247">
            <v>0</v>
          </cell>
          <cell r="U247" t="str">
            <v>L103606</v>
          </cell>
          <cell r="V247" t="str">
            <v>BPV 5kg</v>
          </cell>
          <cell r="W247" t="str">
            <v>Ajuste</v>
          </cell>
          <cell r="X247">
            <v>4</v>
          </cell>
          <cell r="Y247">
            <v>20</v>
          </cell>
        </row>
        <row r="248">
          <cell r="T248">
            <v>0</v>
          </cell>
          <cell r="U248" t="str">
            <v>L103697</v>
          </cell>
          <cell r="V248" t="str">
            <v>BPV 5kg</v>
          </cell>
          <cell r="W248" t="str">
            <v>Ajuste</v>
          </cell>
          <cell r="X248">
            <v>1</v>
          </cell>
          <cell r="Y248">
            <v>5</v>
          </cell>
        </row>
        <row r="249">
          <cell r="T249">
            <v>0</v>
          </cell>
          <cell r="U249" t="str">
            <v>L103698</v>
          </cell>
          <cell r="V249" t="str">
            <v>BPV 5kg</v>
          </cell>
          <cell r="W249" t="str">
            <v>Ajuste</v>
          </cell>
          <cell r="X249">
            <v>1</v>
          </cell>
          <cell r="Y249">
            <v>5</v>
          </cell>
        </row>
        <row r="250">
          <cell r="T250">
            <v>0</v>
          </cell>
          <cell r="U250" t="str">
            <v>L103706</v>
          </cell>
          <cell r="V250" t="str">
            <v>BPV 5kg</v>
          </cell>
          <cell r="W250" t="str">
            <v>Ajuste</v>
          </cell>
          <cell r="X250">
            <v>1</v>
          </cell>
          <cell r="Y250">
            <v>5</v>
          </cell>
        </row>
        <row r="251">
          <cell r="T251">
            <v>0</v>
          </cell>
          <cell r="U251" t="str">
            <v>L103707</v>
          </cell>
          <cell r="V251" t="str">
            <v>BPV 5kg</v>
          </cell>
          <cell r="W251" t="str">
            <v>Ajuste</v>
          </cell>
          <cell r="X251">
            <v>4</v>
          </cell>
          <cell r="Y251">
            <v>20</v>
          </cell>
        </row>
        <row r="252">
          <cell r="T252">
            <v>0</v>
          </cell>
          <cell r="U252" t="str">
            <v>...</v>
          </cell>
          <cell r="V252" t="str">
            <v>PASTV 4kg</v>
          </cell>
          <cell r="W252" t="str">
            <v>Ajuste</v>
          </cell>
          <cell r="X252">
            <v>2</v>
          </cell>
          <cell r="Y252">
            <v>8</v>
          </cell>
        </row>
        <row r="253">
          <cell r="T253">
            <v>0</v>
          </cell>
          <cell r="U253" t="str">
            <v>...</v>
          </cell>
          <cell r="V253" t="str">
            <v>PFC 3KG - CAJA</v>
          </cell>
          <cell r="W253" t="str">
            <v>Ajuste</v>
          </cell>
          <cell r="X253">
            <v>2</v>
          </cell>
          <cell r="Y253">
            <v>6</v>
          </cell>
        </row>
        <row r="254">
          <cell r="T254">
            <v>0</v>
          </cell>
          <cell r="U254" t="str">
            <v>L103744</v>
          </cell>
          <cell r="V254" t="str">
            <v>Cafe kg</v>
          </cell>
          <cell r="W254" t="str">
            <v>Ajuste</v>
          </cell>
          <cell r="X254">
            <v>21</v>
          </cell>
          <cell r="Y254">
            <v>21</v>
          </cell>
        </row>
        <row r="255">
          <cell r="T255">
            <v>0</v>
          </cell>
          <cell r="U255" t="str">
            <v>L103741</v>
          </cell>
          <cell r="V255" t="str">
            <v>Cereal kg</v>
          </cell>
          <cell r="W255" t="str">
            <v>Ajuste</v>
          </cell>
          <cell r="X255">
            <v>1.42</v>
          </cell>
          <cell r="Y255">
            <v>1.42</v>
          </cell>
        </row>
        <row r="256">
          <cell r="T256">
            <v>0</v>
          </cell>
          <cell r="U256" t="str">
            <v>L103742</v>
          </cell>
          <cell r="V256" t="str">
            <v>chocolate kg</v>
          </cell>
          <cell r="W256" t="str">
            <v>Ajuste</v>
          </cell>
          <cell r="X256">
            <v>0.36</v>
          </cell>
          <cell r="Y256">
            <v>0.36</v>
          </cell>
        </row>
        <row r="257">
          <cell r="T257">
            <v>0</v>
          </cell>
          <cell r="U257" t="str">
            <v>L103725</v>
          </cell>
          <cell r="V257" t="str">
            <v>CLX 4kg</v>
          </cell>
          <cell r="W257" t="str">
            <v>Ajuste</v>
          </cell>
          <cell r="X257">
            <v>5</v>
          </cell>
          <cell r="Y257">
            <v>20</v>
          </cell>
        </row>
        <row r="258">
          <cell r="T258">
            <v>0</v>
          </cell>
          <cell r="U258" t="str">
            <v>L103756</v>
          </cell>
          <cell r="V258" t="str">
            <v>CNPH 5Kg</v>
          </cell>
          <cell r="W258" t="str">
            <v>Ajuste</v>
          </cell>
          <cell r="X258">
            <v>100</v>
          </cell>
          <cell r="Y258">
            <v>500</v>
          </cell>
        </row>
        <row r="259">
          <cell r="T259">
            <v>0</v>
          </cell>
          <cell r="U259" t="str">
            <v>L103731</v>
          </cell>
          <cell r="V259" t="str">
            <v>Coctel de frutas kg</v>
          </cell>
          <cell r="W259" t="str">
            <v>Ajuste</v>
          </cell>
          <cell r="X259">
            <v>3.83</v>
          </cell>
          <cell r="Y259">
            <v>3.83</v>
          </cell>
        </row>
        <row r="260">
          <cell r="T260">
            <v>0</v>
          </cell>
          <cell r="U260" t="str">
            <v>L103133</v>
          </cell>
          <cell r="V260" t="str">
            <v>CRV 1kg</v>
          </cell>
          <cell r="W260" t="str">
            <v>Ajuste</v>
          </cell>
          <cell r="X260">
            <v>2</v>
          </cell>
          <cell r="Y260">
            <v>2</v>
          </cell>
        </row>
        <row r="261">
          <cell r="T261">
            <v>0</v>
          </cell>
          <cell r="U261" t="str">
            <v>L103536</v>
          </cell>
          <cell r="V261" t="str">
            <v>CRV 1.5kg</v>
          </cell>
          <cell r="W261" t="str">
            <v>Ajuste</v>
          </cell>
          <cell r="X261">
            <v>1</v>
          </cell>
          <cell r="Y261">
            <v>1.5</v>
          </cell>
        </row>
        <row r="262">
          <cell r="T262">
            <v>0</v>
          </cell>
          <cell r="U262" t="str">
            <v>L103678</v>
          </cell>
          <cell r="V262" t="str">
            <v>CRV 1.5kg</v>
          </cell>
          <cell r="W262" t="str">
            <v>Ajuste</v>
          </cell>
          <cell r="X262">
            <v>1</v>
          </cell>
          <cell r="Y262">
            <v>1.5</v>
          </cell>
        </row>
        <row r="263">
          <cell r="T263">
            <v>0</v>
          </cell>
          <cell r="U263" t="str">
            <v>L103521</v>
          </cell>
          <cell r="V263" t="str">
            <v>CRV 1kg</v>
          </cell>
          <cell r="W263" t="str">
            <v>Ajuste</v>
          </cell>
          <cell r="X263">
            <v>4</v>
          </cell>
          <cell r="Y263">
            <v>4</v>
          </cell>
        </row>
        <row r="264">
          <cell r="T264">
            <v>0</v>
          </cell>
          <cell r="U264" t="str">
            <v>L103677</v>
          </cell>
          <cell r="V264" t="str">
            <v>CRV 1kg</v>
          </cell>
          <cell r="W264" t="str">
            <v>Ajuste</v>
          </cell>
          <cell r="X264">
            <v>10</v>
          </cell>
          <cell r="Y264">
            <v>10</v>
          </cell>
        </row>
        <row r="265">
          <cell r="T265">
            <v>0</v>
          </cell>
          <cell r="U265" t="str">
            <v>L103681</v>
          </cell>
          <cell r="V265" t="str">
            <v>CRV 1kg</v>
          </cell>
          <cell r="W265" t="str">
            <v>Ajuste</v>
          </cell>
          <cell r="X265">
            <v>2</v>
          </cell>
          <cell r="Y265">
            <v>2</v>
          </cell>
        </row>
        <row r="266">
          <cell r="T266">
            <v>0</v>
          </cell>
          <cell r="U266" t="str">
            <v>L103692</v>
          </cell>
          <cell r="V266" t="str">
            <v>CRV 1kg</v>
          </cell>
          <cell r="W266" t="str">
            <v>Ajuste</v>
          </cell>
          <cell r="X266">
            <v>1</v>
          </cell>
          <cell r="Y266">
            <v>1</v>
          </cell>
        </row>
        <row r="267">
          <cell r="T267">
            <v>0</v>
          </cell>
          <cell r="U267" t="str">
            <v>L103003</v>
          </cell>
          <cell r="V267" t="str">
            <v>CRV 2kg-CAJA</v>
          </cell>
          <cell r="W267" t="str">
            <v>Ajuste</v>
          </cell>
          <cell r="X267">
            <v>2</v>
          </cell>
          <cell r="Y267">
            <v>4</v>
          </cell>
        </row>
        <row r="268">
          <cell r="T268">
            <v>0</v>
          </cell>
          <cell r="U268" t="str">
            <v>L103691</v>
          </cell>
          <cell r="V268" t="str">
            <v>CRV 2kg-CAJA</v>
          </cell>
          <cell r="W268" t="str">
            <v>Ajuste</v>
          </cell>
          <cell r="X268">
            <v>1</v>
          </cell>
          <cell r="Y268">
            <v>2</v>
          </cell>
        </row>
        <row r="269">
          <cell r="T269">
            <v>0</v>
          </cell>
          <cell r="U269" t="str">
            <v>......</v>
          </cell>
          <cell r="V269" t="str">
            <v>FRUVER 5kg</v>
          </cell>
          <cell r="W269" t="str">
            <v>Ajuste</v>
          </cell>
          <cell r="X269">
            <v>8</v>
          </cell>
          <cell r="Y269">
            <v>40</v>
          </cell>
        </row>
        <row r="270">
          <cell r="T270">
            <v>0</v>
          </cell>
          <cell r="U270" t="str">
            <v>......</v>
          </cell>
          <cell r="V270" t="str">
            <v>HGC8PACK</v>
          </cell>
          <cell r="W270" t="str">
            <v>Ajuste</v>
          </cell>
          <cell r="X270">
            <v>2</v>
          </cell>
          <cell r="Y270">
            <v>22.1</v>
          </cell>
        </row>
        <row r="271">
          <cell r="T271">
            <v>0</v>
          </cell>
          <cell r="U271" t="str">
            <v>.....</v>
          </cell>
          <cell r="V271" t="str">
            <v>FRUVER 10kg</v>
          </cell>
          <cell r="W271" t="str">
            <v>Ajuste</v>
          </cell>
          <cell r="X271">
            <v>2</v>
          </cell>
          <cell r="Y271">
            <v>20</v>
          </cell>
        </row>
        <row r="272">
          <cell r="T272">
            <v>0</v>
          </cell>
          <cell r="U272" t="str">
            <v>.....</v>
          </cell>
          <cell r="V272" t="str">
            <v>PASTV 4kg</v>
          </cell>
          <cell r="W272" t="str">
            <v>Ajuste</v>
          </cell>
          <cell r="X272">
            <v>2</v>
          </cell>
          <cell r="Y272">
            <v>8</v>
          </cell>
        </row>
        <row r="273">
          <cell r="T273">
            <v>0</v>
          </cell>
          <cell r="U273" t="str">
            <v>.....</v>
          </cell>
          <cell r="V273" t="str">
            <v>FRUVER 5kg</v>
          </cell>
          <cell r="W273" t="str">
            <v>Ajuste</v>
          </cell>
          <cell r="X273">
            <v>12</v>
          </cell>
          <cell r="Y273">
            <v>60</v>
          </cell>
        </row>
        <row r="274">
          <cell r="T274">
            <v>0</v>
          </cell>
          <cell r="U274" t="str">
            <v>L102905</v>
          </cell>
          <cell r="V274" t="str">
            <v>CTF 3Kg-CAJA</v>
          </cell>
          <cell r="W274" t="str">
            <v>Ajuste</v>
          </cell>
          <cell r="X274">
            <v>25</v>
          </cell>
          <cell r="Y274">
            <v>75</v>
          </cell>
        </row>
        <row r="275">
          <cell r="T275">
            <v>0</v>
          </cell>
          <cell r="U275" t="str">
            <v>L103431</v>
          </cell>
          <cell r="V275" t="str">
            <v>CTF 3Kg-CAJA</v>
          </cell>
          <cell r="W275" t="str">
            <v>Ajuste</v>
          </cell>
          <cell r="X275">
            <v>2</v>
          </cell>
          <cell r="Y275">
            <v>6</v>
          </cell>
        </row>
        <row r="276">
          <cell r="T276">
            <v>0</v>
          </cell>
          <cell r="U276" t="str">
            <v>L103515</v>
          </cell>
          <cell r="V276" t="str">
            <v>CTF 3Kg-CAJA</v>
          </cell>
          <cell r="W276" t="str">
            <v>Ajuste</v>
          </cell>
          <cell r="X276">
            <v>3</v>
          </cell>
          <cell r="Y276">
            <v>9</v>
          </cell>
        </row>
        <row r="277">
          <cell r="T277">
            <v>0</v>
          </cell>
          <cell r="U277" t="str">
            <v>L103711</v>
          </cell>
          <cell r="V277" t="str">
            <v>CTF 3Kg-CAJA</v>
          </cell>
          <cell r="W277" t="str">
            <v>Ajuste</v>
          </cell>
          <cell r="X277">
            <v>2</v>
          </cell>
          <cell r="Y277">
            <v>6</v>
          </cell>
        </row>
        <row r="278">
          <cell r="T278">
            <v>0</v>
          </cell>
          <cell r="U278" t="str">
            <v>L103081</v>
          </cell>
          <cell r="V278" t="str">
            <v>DIV ADR 3kg</v>
          </cell>
          <cell r="W278" t="str">
            <v>Ajuste</v>
          </cell>
          <cell r="X278">
            <v>1</v>
          </cell>
          <cell r="Y278">
            <v>3</v>
          </cell>
        </row>
        <row r="279">
          <cell r="T279">
            <v>0</v>
          </cell>
          <cell r="U279" t="str">
            <v>L103301</v>
          </cell>
          <cell r="V279" t="str">
            <v>DIV ADR 3kg</v>
          </cell>
          <cell r="W279" t="str">
            <v>Ajuste</v>
          </cell>
          <cell r="X279">
            <v>21</v>
          </cell>
          <cell r="Y279">
            <v>63</v>
          </cell>
        </row>
        <row r="280">
          <cell r="T280">
            <v>0</v>
          </cell>
          <cell r="U280" t="str">
            <v>L103486</v>
          </cell>
          <cell r="V280" t="str">
            <v>DIV ATN 1kg-CAJA</v>
          </cell>
          <cell r="W280" t="str">
            <v>Ajuste</v>
          </cell>
          <cell r="X280">
            <v>1</v>
          </cell>
          <cell r="Y280">
            <v>1</v>
          </cell>
        </row>
        <row r="281">
          <cell r="T281">
            <v>0</v>
          </cell>
          <cell r="U281" t="str">
            <v>L103485</v>
          </cell>
          <cell r="V281" t="str">
            <v>DIV BPV 5kg</v>
          </cell>
          <cell r="W281" t="str">
            <v>Ajuste</v>
          </cell>
          <cell r="X281">
            <v>1</v>
          </cell>
          <cell r="Y281">
            <v>5</v>
          </cell>
        </row>
        <row r="282">
          <cell r="T282">
            <v>0</v>
          </cell>
          <cell r="U282" t="str">
            <v>L103483</v>
          </cell>
          <cell r="V282" t="str">
            <v>DIV CODV 2kg</v>
          </cell>
          <cell r="W282" t="str">
            <v>Ajuste</v>
          </cell>
          <cell r="X282">
            <v>2</v>
          </cell>
          <cell r="Y282">
            <v>4</v>
          </cell>
        </row>
        <row r="283">
          <cell r="T283">
            <v>0</v>
          </cell>
          <cell r="U283" t="str">
            <v>L103118</v>
          </cell>
          <cell r="V283" t="str">
            <v>DIV CRM 2kg</v>
          </cell>
          <cell r="W283" t="str">
            <v>Ajuste</v>
          </cell>
          <cell r="X283">
            <v>1</v>
          </cell>
          <cell r="Y283">
            <v>2</v>
          </cell>
        </row>
        <row r="284">
          <cell r="T284">
            <v>0</v>
          </cell>
          <cell r="U284" t="str">
            <v>L102865</v>
          </cell>
          <cell r="V284" t="str">
            <v>DIV EMBV 3kg</v>
          </cell>
          <cell r="W284" t="str">
            <v>Ajuste</v>
          </cell>
          <cell r="X284">
            <v>2</v>
          </cell>
          <cell r="Y284">
            <v>6</v>
          </cell>
        </row>
        <row r="285">
          <cell r="T285">
            <v>0</v>
          </cell>
          <cell r="U285" t="str">
            <v>L103614</v>
          </cell>
          <cell r="V285" t="str">
            <v>ESQPCD 8kg</v>
          </cell>
          <cell r="W285" t="str">
            <v>Ajuste</v>
          </cell>
          <cell r="X285">
            <v>366</v>
          </cell>
          <cell r="Y285">
            <v>2928</v>
          </cell>
        </row>
        <row r="286">
          <cell r="T286">
            <v>0</v>
          </cell>
          <cell r="U286" t="str">
            <v>L103122</v>
          </cell>
          <cell r="V286" t="str">
            <v>DIV ESV 2kg</v>
          </cell>
          <cell r="W286" t="str">
            <v>Ajuste</v>
          </cell>
          <cell r="X286">
            <v>3</v>
          </cell>
          <cell r="Y286">
            <v>6</v>
          </cell>
        </row>
        <row r="287">
          <cell r="T287">
            <v>0</v>
          </cell>
          <cell r="U287" t="str">
            <v>L103675</v>
          </cell>
          <cell r="V287" t="str">
            <v>DIV FDPE 8Kg</v>
          </cell>
          <cell r="W287" t="str">
            <v>Ajuste</v>
          </cell>
          <cell r="X287">
            <v>2</v>
          </cell>
          <cell r="Y287">
            <v>16</v>
          </cell>
        </row>
        <row r="288">
          <cell r="T288">
            <v>0</v>
          </cell>
          <cell r="U288" t="str">
            <v>L103481</v>
          </cell>
          <cell r="V288" t="str">
            <v>DIV HRM 2Kg</v>
          </cell>
          <cell r="W288" t="str">
            <v>Ajuste</v>
          </cell>
          <cell r="X288">
            <v>1</v>
          </cell>
          <cell r="Y288">
            <v>2</v>
          </cell>
        </row>
        <row r="289">
          <cell r="T289">
            <v>0</v>
          </cell>
          <cell r="U289" t="str">
            <v>L103083</v>
          </cell>
          <cell r="V289" t="str">
            <v>DIV KTP 2kg</v>
          </cell>
          <cell r="W289" t="str">
            <v>Ajuste</v>
          </cell>
          <cell r="X289">
            <v>2</v>
          </cell>
          <cell r="Y289">
            <v>4</v>
          </cell>
        </row>
        <row r="290">
          <cell r="T290">
            <v>0</v>
          </cell>
          <cell r="U290" t="str">
            <v>L103636</v>
          </cell>
          <cell r="V290" t="str">
            <v>DIV KTP 4kg</v>
          </cell>
          <cell r="W290" t="str">
            <v>Ajuste</v>
          </cell>
          <cell r="X290">
            <v>2</v>
          </cell>
          <cell r="Y290">
            <v>8</v>
          </cell>
        </row>
        <row r="291">
          <cell r="T291">
            <v>0</v>
          </cell>
          <cell r="U291" t="str">
            <v>L103633</v>
          </cell>
          <cell r="V291" t="str">
            <v>DIV LCH 48X314g</v>
          </cell>
          <cell r="W291" t="str">
            <v>Ajuste</v>
          </cell>
          <cell r="X291">
            <v>38</v>
          </cell>
          <cell r="Y291">
            <v>684</v>
          </cell>
        </row>
        <row r="292">
          <cell r="T292">
            <v>0</v>
          </cell>
          <cell r="U292" t="str">
            <v>L103645</v>
          </cell>
          <cell r="V292" t="str">
            <v>DIV LCH 96X167g</v>
          </cell>
          <cell r="W292" t="str">
            <v>Ajuste</v>
          </cell>
          <cell r="X292">
            <v>453</v>
          </cell>
          <cell r="Y292">
            <v>8607</v>
          </cell>
        </row>
        <row r="293">
          <cell r="T293">
            <v>0</v>
          </cell>
          <cell r="U293" t="str">
            <v>L103070</v>
          </cell>
          <cell r="V293" t="str">
            <v>DIV MYN 2kg</v>
          </cell>
          <cell r="W293" t="str">
            <v>Ajuste</v>
          </cell>
          <cell r="X293">
            <v>6</v>
          </cell>
          <cell r="Y293">
            <v>12</v>
          </cell>
        </row>
        <row r="294">
          <cell r="T294">
            <v>0</v>
          </cell>
          <cell r="U294" t="str">
            <v>L103112</v>
          </cell>
          <cell r="V294" t="str">
            <v>DIV MYN 2kg</v>
          </cell>
          <cell r="W294" t="str">
            <v>Ajuste</v>
          </cell>
          <cell r="X294">
            <v>6</v>
          </cell>
          <cell r="Y294">
            <v>12</v>
          </cell>
        </row>
        <row r="295">
          <cell r="T295">
            <v>0</v>
          </cell>
          <cell r="U295" t="str">
            <v>L103085</v>
          </cell>
          <cell r="V295" t="str">
            <v>DIV MYN 4kg</v>
          </cell>
          <cell r="W295" t="str">
            <v>Ajuste</v>
          </cell>
          <cell r="X295">
            <v>1</v>
          </cell>
          <cell r="Y295">
            <v>4</v>
          </cell>
        </row>
        <row r="296">
          <cell r="T296">
            <v>0</v>
          </cell>
          <cell r="U296" t="str">
            <v>L103676</v>
          </cell>
          <cell r="V296" t="str">
            <v>DIV PLLPM 5kg</v>
          </cell>
          <cell r="W296" t="str">
            <v>Ajuste</v>
          </cell>
          <cell r="X296">
            <v>5</v>
          </cell>
          <cell r="Y296">
            <v>25</v>
          </cell>
        </row>
        <row r="297">
          <cell r="T297" t="str">
            <v/>
          </cell>
          <cell r="U297" t="str">
            <v>L103398</v>
          </cell>
          <cell r="V297" t="str">
            <v>DIV PPF 2kg</v>
          </cell>
          <cell r="W297" t="str">
            <v>Ajuste</v>
          </cell>
          <cell r="X297">
            <v>2</v>
          </cell>
          <cell r="Y297">
            <v>4</v>
          </cell>
        </row>
        <row r="298">
          <cell r="T298">
            <v>0</v>
          </cell>
          <cell r="U298" t="str">
            <v>L103009</v>
          </cell>
          <cell r="V298" t="str">
            <v>DIV PPF 3kg</v>
          </cell>
          <cell r="W298" t="str">
            <v>Ajuste</v>
          </cell>
          <cell r="X298">
            <v>36</v>
          </cell>
          <cell r="Y298">
            <v>108</v>
          </cell>
        </row>
        <row r="299">
          <cell r="T299">
            <v>0</v>
          </cell>
          <cell r="U299" t="str">
            <v>L103320</v>
          </cell>
          <cell r="V299" t="str">
            <v>DIV QSO 5kg</v>
          </cell>
          <cell r="W299" t="str">
            <v>Ajuste</v>
          </cell>
          <cell r="X299">
            <v>1</v>
          </cell>
          <cell r="Y299">
            <v>5</v>
          </cell>
        </row>
        <row r="300">
          <cell r="T300">
            <v>0</v>
          </cell>
          <cell r="U300" t="str">
            <v>L103642</v>
          </cell>
          <cell r="V300" t="str">
            <v>DIV QSO 5kg</v>
          </cell>
          <cell r="W300" t="str">
            <v>Ajuste</v>
          </cell>
          <cell r="X300">
            <v>17</v>
          </cell>
          <cell r="Y300">
            <v>85</v>
          </cell>
        </row>
        <row r="301">
          <cell r="T301">
            <v>0</v>
          </cell>
          <cell r="U301" t="str">
            <v>L103753</v>
          </cell>
          <cell r="V301" t="str">
            <v>DIV QSO 5kg</v>
          </cell>
          <cell r="W301" t="str">
            <v>Ajuste</v>
          </cell>
          <cell r="X301">
            <v>12</v>
          </cell>
          <cell r="Y301">
            <v>60</v>
          </cell>
        </row>
        <row r="302">
          <cell r="T302">
            <v>0</v>
          </cell>
          <cell r="U302" t="str">
            <v>L103643</v>
          </cell>
          <cell r="V302" t="str">
            <v>DIV QSV 2kg</v>
          </cell>
          <cell r="W302" t="str">
            <v>Ajuste</v>
          </cell>
          <cell r="X302">
            <v>2</v>
          </cell>
          <cell r="Y302">
            <v>4</v>
          </cell>
        </row>
        <row r="303">
          <cell r="T303">
            <v>0</v>
          </cell>
          <cell r="U303" t="str">
            <v>L103754</v>
          </cell>
          <cell r="V303" t="str">
            <v>DIV QSV 2kg</v>
          </cell>
          <cell r="W303" t="str">
            <v>Ajuste</v>
          </cell>
          <cell r="X303">
            <v>8</v>
          </cell>
          <cell r="Y303">
            <v>16</v>
          </cell>
        </row>
        <row r="304">
          <cell r="T304">
            <v>0</v>
          </cell>
          <cell r="U304" t="str">
            <v>L103547</v>
          </cell>
          <cell r="V304" t="str">
            <v>DIV QSV 3kg</v>
          </cell>
          <cell r="W304" t="str">
            <v>Ajuste</v>
          </cell>
          <cell r="X304">
            <v>4</v>
          </cell>
          <cell r="Y304">
            <v>12</v>
          </cell>
        </row>
        <row r="305">
          <cell r="T305">
            <v>0</v>
          </cell>
          <cell r="U305" t="str">
            <v>L103419</v>
          </cell>
          <cell r="V305" t="str">
            <v>DIV RTZPCDO 12kg</v>
          </cell>
          <cell r="W305" t="str">
            <v>Ajuste</v>
          </cell>
          <cell r="X305">
            <v>42</v>
          </cell>
          <cell r="Y305">
            <v>504</v>
          </cell>
        </row>
        <row r="306">
          <cell r="T306">
            <v>0</v>
          </cell>
          <cell r="U306" t="str">
            <v>L103420</v>
          </cell>
          <cell r="V306" t="str">
            <v>DIV RTZPCDO 2.5kg</v>
          </cell>
          <cell r="W306" t="str">
            <v>Ajuste</v>
          </cell>
          <cell r="X306">
            <v>97</v>
          </cell>
          <cell r="Y306">
            <v>242.5</v>
          </cell>
        </row>
        <row r="307">
          <cell r="T307">
            <v>0</v>
          </cell>
          <cell r="U307" t="str">
            <v>L103420</v>
          </cell>
          <cell r="V307" t="str">
            <v>DIV RTZPCDO 2.5kg</v>
          </cell>
          <cell r="W307" t="str">
            <v>Dañado</v>
          </cell>
          <cell r="X307">
            <v>19</v>
          </cell>
          <cell r="Y307">
            <v>47.5</v>
          </cell>
        </row>
        <row r="308">
          <cell r="T308">
            <v>0</v>
          </cell>
          <cell r="U308" t="str">
            <v>L103034</v>
          </cell>
          <cell r="V308" t="str">
            <v>DIV SAL 14kg</v>
          </cell>
          <cell r="W308" t="str">
            <v>Ajuste</v>
          </cell>
          <cell r="X308">
            <v>4</v>
          </cell>
          <cell r="Y308">
            <v>56</v>
          </cell>
        </row>
        <row r="309">
          <cell r="T309">
            <v>0</v>
          </cell>
          <cell r="U309" t="str">
            <v>L103637</v>
          </cell>
          <cell r="V309" t="str">
            <v>DIV SAL 3kg</v>
          </cell>
          <cell r="W309" t="str">
            <v>Ajuste</v>
          </cell>
          <cell r="X309">
            <v>15</v>
          </cell>
          <cell r="Y309">
            <v>45</v>
          </cell>
        </row>
        <row r="310">
          <cell r="T310">
            <v>0</v>
          </cell>
          <cell r="U310" t="str">
            <v>L102959</v>
          </cell>
          <cell r="V310" t="str">
            <v>DIV SNK 3kg</v>
          </cell>
          <cell r="W310" t="str">
            <v>Ajuste</v>
          </cell>
          <cell r="X310">
            <v>14</v>
          </cell>
          <cell r="Y310">
            <v>42</v>
          </cell>
        </row>
        <row r="311">
          <cell r="T311">
            <v>0</v>
          </cell>
          <cell r="U311" t="str">
            <v>L103073</v>
          </cell>
          <cell r="V311" t="str">
            <v>DIV STM 2kg</v>
          </cell>
          <cell r="W311" t="str">
            <v>Ajuste</v>
          </cell>
          <cell r="X311">
            <v>2</v>
          </cell>
          <cell r="Y311">
            <v>4</v>
          </cell>
        </row>
        <row r="312">
          <cell r="T312">
            <v>0</v>
          </cell>
          <cell r="U312" t="str">
            <v>L103640</v>
          </cell>
          <cell r="V312" t="str">
            <v>DIV STM 2kg</v>
          </cell>
          <cell r="W312" t="str">
            <v>Ajuste</v>
          </cell>
          <cell r="X312">
            <v>367</v>
          </cell>
          <cell r="Y312">
            <v>734</v>
          </cell>
        </row>
        <row r="313">
          <cell r="T313" t="str">
            <v/>
          </cell>
          <cell r="U313" t="str">
            <v>L102786</v>
          </cell>
          <cell r="V313" t="str">
            <v>STM 48x200g-CAJA</v>
          </cell>
          <cell r="W313" t="str">
            <v>Ajuste</v>
          </cell>
          <cell r="X313">
            <v>2</v>
          </cell>
          <cell r="Y313">
            <v>21.6</v>
          </cell>
        </row>
        <row r="314">
          <cell r="T314">
            <v>0</v>
          </cell>
          <cell r="U314" t="str">
            <v>L103639</v>
          </cell>
          <cell r="V314" t="str">
            <v>DIV STM 48x200g</v>
          </cell>
          <cell r="W314" t="str">
            <v>Ajuste</v>
          </cell>
          <cell r="X314">
            <v>17</v>
          </cell>
          <cell r="Y314">
            <v>183.60000000000002</v>
          </cell>
        </row>
        <row r="315">
          <cell r="T315">
            <v>0</v>
          </cell>
          <cell r="U315" t="str">
            <v>L103084</v>
          </cell>
          <cell r="V315" t="str">
            <v>DIV SZD 1kg</v>
          </cell>
          <cell r="W315" t="str">
            <v>Ajuste</v>
          </cell>
          <cell r="X315">
            <v>1</v>
          </cell>
          <cell r="Y315">
            <v>1</v>
          </cell>
        </row>
        <row r="316">
          <cell r="T316">
            <v>0</v>
          </cell>
          <cell r="U316" t="str">
            <v>L103113</v>
          </cell>
          <cell r="V316" t="str">
            <v>DIV SZD 2.5kg</v>
          </cell>
          <cell r="W316" t="str">
            <v>Ajuste</v>
          </cell>
          <cell r="X316">
            <v>8</v>
          </cell>
          <cell r="Y316">
            <v>20</v>
          </cell>
        </row>
        <row r="317">
          <cell r="T317">
            <v>0</v>
          </cell>
          <cell r="U317" t="str">
            <v>L103641</v>
          </cell>
          <cell r="V317" t="str">
            <v>DIV SZD 4kg</v>
          </cell>
          <cell r="W317" t="str">
            <v>Ajuste</v>
          </cell>
          <cell r="X317">
            <v>4</v>
          </cell>
          <cell r="Y317">
            <v>16</v>
          </cell>
        </row>
        <row r="318">
          <cell r="T318">
            <v>0</v>
          </cell>
          <cell r="U318" t="str">
            <v>L103561</v>
          </cell>
          <cell r="V318" t="str">
            <v>DSF 3kg-CAJA</v>
          </cell>
          <cell r="W318" t="str">
            <v>Ajuste</v>
          </cell>
          <cell r="X318">
            <v>1</v>
          </cell>
          <cell r="Y318">
            <v>3</v>
          </cell>
        </row>
        <row r="319">
          <cell r="T319">
            <v>0</v>
          </cell>
          <cell r="U319" t="str">
            <v>L103560</v>
          </cell>
          <cell r="V319" t="str">
            <v>DSF 5kg-CAJA</v>
          </cell>
          <cell r="W319" t="str">
            <v>Ajuste</v>
          </cell>
          <cell r="X319">
            <v>6</v>
          </cell>
          <cell r="Y319">
            <v>30</v>
          </cell>
        </row>
        <row r="320">
          <cell r="T320">
            <v>0</v>
          </cell>
          <cell r="U320" t="str">
            <v>L103728</v>
          </cell>
          <cell r="V320" t="str">
            <v>DSF 5kg-CAJA</v>
          </cell>
          <cell r="W320" t="str">
            <v>Ajuste</v>
          </cell>
          <cell r="X320">
            <v>3</v>
          </cell>
          <cell r="Y320">
            <v>15</v>
          </cell>
        </row>
        <row r="321">
          <cell r="T321">
            <v>0</v>
          </cell>
          <cell r="U321" t="str">
            <v>L103463</v>
          </cell>
          <cell r="V321" t="str">
            <v>DTG Vr2kg-CAJA</v>
          </cell>
          <cell r="W321" t="str">
            <v>Ajuste</v>
          </cell>
          <cell r="X321">
            <v>37</v>
          </cell>
          <cell r="Y321">
            <v>74</v>
          </cell>
        </row>
        <row r="322">
          <cell r="T322">
            <v>0</v>
          </cell>
          <cell r="U322" t="str">
            <v>L103463</v>
          </cell>
          <cell r="V322" t="str">
            <v>PV DTG Vr2kg</v>
          </cell>
          <cell r="W322" t="str">
            <v>Ajuste</v>
          </cell>
          <cell r="X322">
            <v>8</v>
          </cell>
          <cell r="Y322">
            <v>16</v>
          </cell>
        </row>
        <row r="323">
          <cell r="T323">
            <v>0</v>
          </cell>
          <cell r="U323" t="str">
            <v>L103476</v>
          </cell>
          <cell r="V323" t="str">
            <v>DTG Vr2kg-CAJA</v>
          </cell>
          <cell r="W323" t="str">
            <v>Ajuste</v>
          </cell>
          <cell r="X323">
            <v>11</v>
          </cell>
          <cell r="Y323">
            <v>22</v>
          </cell>
        </row>
        <row r="324">
          <cell r="T324">
            <v>0</v>
          </cell>
          <cell r="U324" t="str">
            <v>L103295</v>
          </cell>
          <cell r="V324" t="str">
            <v>DTG Vr3kg-CAJA</v>
          </cell>
          <cell r="W324" t="str">
            <v>Ajuste</v>
          </cell>
          <cell r="X324">
            <v>5</v>
          </cell>
          <cell r="Y324">
            <v>15</v>
          </cell>
        </row>
        <row r="325">
          <cell r="T325">
            <v>0</v>
          </cell>
          <cell r="U325" t="str">
            <v>L103724</v>
          </cell>
          <cell r="V325" t="str">
            <v>DTG Vr3kg-CAJA</v>
          </cell>
          <cell r="W325" t="str">
            <v>Ajuste</v>
          </cell>
          <cell r="X325">
            <v>210</v>
          </cell>
          <cell r="Y325">
            <v>630</v>
          </cell>
        </row>
        <row r="326">
          <cell r="T326">
            <v>0</v>
          </cell>
          <cell r="U326" t="str">
            <v>L102818</v>
          </cell>
          <cell r="V326" t="str">
            <v>EGB 2KG Caja</v>
          </cell>
          <cell r="W326" t="str">
            <v>Ajuste</v>
          </cell>
          <cell r="X326">
            <v>3</v>
          </cell>
          <cell r="Y326">
            <v>6</v>
          </cell>
        </row>
        <row r="327">
          <cell r="T327">
            <v>0</v>
          </cell>
          <cell r="U327" t="str">
            <v>L103577</v>
          </cell>
          <cell r="V327" t="str">
            <v>Embutido kg</v>
          </cell>
          <cell r="W327" t="str">
            <v>Ajuste</v>
          </cell>
          <cell r="X327">
            <v>13</v>
          </cell>
          <cell r="Y327">
            <v>13</v>
          </cell>
        </row>
        <row r="328">
          <cell r="T328">
            <v>0</v>
          </cell>
          <cell r="U328" t="str">
            <v>L103615</v>
          </cell>
          <cell r="V328" t="str">
            <v>EMBV 2kg-CAJA</v>
          </cell>
          <cell r="W328" t="str">
            <v>Ajuste</v>
          </cell>
          <cell r="X328">
            <v>134</v>
          </cell>
          <cell r="Y328">
            <v>268</v>
          </cell>
        </row>
        <row r="329">
          <cell r="T329">
            <v>0</v>
          </cell>
          <cell r="U329" t="str">
            <v>L103747</v>
          </cell>
          <cell r="V329" t="str">
            <v>EMBV 2kg-CAJA</v>
          </cell>
          <cell r="W329" t="str">
            <v>Ajuste</v>
          </cell>
          <cell r="X329">
            <v>29</v>
          </cell>
          <cell r="Y329">
            <v>58</v>
          </cell>
        </row>
        <row r="330">
          <cell r="T330">
            <v>0</v>
          </cell>
          <cell r="U330" t="str">
            <v>L103136</v>
          </cell>
          <cell r="V330" t="str">
            <v>FDV 3Kg</v>
          </cell>
          <cell r="W330" t="str">
            <v>Ajuste</v>
          </cell>
          <cell r="X330">
            <v>6</v>
          </cell>
          <cell r="Y330">
            <v>18</v>
          </cell>
        </row>
        <row r="331">
          <cell r="T331">
            <v>0</v>
          </cell>
          <cell r="U331" t="str">
            <v>L103137</v>
          </cell>
          <cell r="V331" t="str">
            <v>FDV 3Kg</v>
          </cell>
          <cell r="W331" t="str">
            <v>Ajuste</v>
          </cell>
          <cell r="X331">
            <v>16</v>
          </cell>
          <cell r="Y331">
            <v>48</v>
          </cell>
        </row>
        <row r="332">
          <cell r="T332">
            <v>0</v>
          </cell>
          <cell r="U332" t="str">
            <v>L103139</v>
          </cell>
          <cell r="V332" t="str">
            <v>FDV 3Kg</v>
          </cell>
          <cell r="W332" t="str">
            <v>Ajuste</v>
          </cell>
          <cell r="X332">
            <v>3</v>
          </cell>
          <cell r="Y332">
            <v>9</v>
          </cell>
        </row>
        <row r="333">
          <cell r="T333" t="str">
            <v/>
          </cell>
          <cell r="U333" t="str">
            <v>L103360</v>
          </cell>
          <cell r="V333" t="str">
            <v>FRJ 3kg-CAJA</v>
          </cell>
          <cell r="W333" t="str">
            <v>Ajuste</v>
          </cell>
          <cell r="X333">
            <v>1</v>
          </cell>
          <cell r="Y333">
            <v>3</v>
          </cell>
        </row>
        <row r="334">
          <cell r="T334" t="str">
            <v/>
          </cell>
          <cell r="U334" t="str">
            <v>L103434</v>
          </cell>
          <cell r="V334" t="str">
            <v>FRJ 3kg-CAJA</v>
          </cell>
          <cell r="W334" t="str">
            <v>Ajuste</v>
          </cell>
          <cell r="X334">
            <v>3</v>
          </cell>
          <cell r="Y334">
            <v>9</v>
          </cell>
        </row>
        <row r="335">
          <cell r="T335" t="str">
            <v/>
          </cell>
          <cell r="U335" t="str">
            <v>L103513</v>
          </cell>
          <cell r="V335" t="str">
            <v>FRJ 3kg-CAJA</v>
          </cell>
          <cell r="W335" t="str">
            <v>Ajuste</v>
          </cell>
          <cell r="X335">
            <v>2</v>
          </cell>
          <cell r="Y335">
            <v>6</v>
          </cell>
        </row>
        <row r="336">
          <cell r="T336" t="str">
            <v/>
          </cell>
          <cell r="U336" t="str">
            <v>L103589</v>
          </cell>
          <cell r="V336" t="str">
            <v>FRJ 3kg-CAJA</v>
          </cell>
          <cell r="W336" t="str">
            <v>Ajuste</v>
          </cell>
          <cell r="X336">
            <v>1</v>
          </cell>
          <cell r="Y336">
            <v>3</v>
          </cell>
        </row>
        <row r="337">
          <cell r="T337">
            <v>0</v>
          </cell>
          <cell r="U337" t="str">
            <v>L103749</v>
          </cell>
          <cell r="V337" t="str">
            <v>FRVDVG 8kg</v>
          </cell>
          <cell r="W337" t="str">
            <v>Ajuste</v>
          </cell>
          <cell r="X337">
            <v>30</v>
          </cell>
          <cell r="Y337">
            <v>240</v>
          </cell>
        </row>
        <row r="338">
          <cell r="T338">
            <v>0</v>
          </cell>
          <cell r="U338" t="str">
            <v>L103752</v>
          </cell>
          <cell r="V338" t="str">
            <v>FRVDVG 8kg</v>
          </cell>
          <cell r="W338" t="str">
            <v>Ajuste</v>
          </cell>
          <cell r="X338">
            <v>15</v>
          </cell>
          <cell r="Y338">
            <v>120</v>
          </cell>
        </row>
        <row r="339">
          <cell r="T339">
            <v>0</v>
          </cell>
          <cell r="U339" t="str">
            <v>L103191</v>
          </cell>
          <cell r="V339" t="str">
            <v>GLT 2kg</v>
          </cell>
          <cell r="W339" t="str">
            <v>Ajuste</v>
          </cell>
          <cell r="X339">
            <v>1</v>
          </cell>
          <cell r="Y339">
            <v>2</v>
          </cell>
        </row>
        <row r="340">
          <cell r="T340">
            <v>0</v>
          </cell>
          <cell r="U340" t="str">
            <v>L103150</v>
          </cell>
          <cell r="V340" t="str">
            <v>GRN 2Kg</v>
          </cell>
          <cell r="W340" t="str">
            <v>Ajuste</v>
          </cell>
          <cell r="X340">
            <v>4</v>
          </cell>
          <cell r="Y340">
            <v>8</v>
          </cell>
        </row>
        <row r="341">
          <cell r="T341">
            <v>0</v>
          </cell>
          <cell r="U341" t="str">
            <v>L103244</v>
          </cell>
          <cell r="V341" t="str">
            <v>GRN 2Kg</v>
          </cell>
          <cell r="W341" t="str">
            <v>Ajuste</v>
          </cell>
          <cell r="X341">
            <v>5</v>
          </cell>
          <cell r="Y341">
            <v>10</v>
          </cell>
        </row>
        <row r="342">
          <cell r="T342">
            <v>0</v>
          </cell>
          <cell r="U342" t="str">
            <v>L103686</v>
          </cell>
          <cell r="V342" t="str">
            <v>GRN 2Kg</v>
          </cell>
          <cell r="W342" t="str">
            <v>Ajuste</v>
          </cell>
          <cell r="X342">
            <v>2</v>
          </cell>
          <cell r="Y342">
            <v>4</v>
          </cell>
        </row>
        <row r="343">
          <cell r="T343">
            <v>0</v>
          </cell>
          <cell r="U343" t="str">
            <v>L103465</v>
          </cell>
          <cell r="V343" t="str">
            <v>GST 3kg</v>
          </cell>
          <cell r="W343" t="str">
            <v>Ajuste</v>
          </cell>
          <cell r="X343">
            <v>3</v>
          </cell>
          <cell r="Y343">
            <v>9</v>
          </cell>
        </row>
        <row r="344">
          <cell r="T344">
            <v>0</v>
          </cell>
          <cell r="U344" t="str">
            <v>L103517</v>
          </cell>
          <cell r="V344" t="str">
            <v>GST 3kg</v>
          </cell>
          <cell r="W344" t="str">
            <v>Ajuste</v>
          </cell>
          <cell r="X344">
            <v>2</v>
          </cell>
          <cell r="Y344">
            <v>6</v>
          </cell>
        </row>
        <row r="345">
          <cell r="T345">
            <v>0</v>
          </cell>
          <cell r="U345" t="str">
            <v>L103702</v>
          </cell>
          <cell r="V345" t="str">
            <v>GST 3kg</v>
          </cell>
          <cell r="W345" t="str">
            <v>Ajuste</v>
          </cell>
          <cell r="X345">
            <v>1</v>
          </cell>
          <cell r="Y345">
            <v>3</v>
          </cell>
        </row>
        <row r="346">
          <cell r="T346">
            <v>0</v>
          </cell>
          <cell r="U346" t="str">
            <v>L103714</v>
          </cell>
          <cell r="V346" t="str">
            <v>GST Vr5.0kg-CAJA</v>
          </cell>
          <cell r="W346" t="str">
            <v>Ajuste</v>
          </cell>
          <cell r="X346">
            <v>1</v>
          </cell>
          <cell r="Y346">
            <v>5</v>
          </cell>
        </row>
        <row r="347">
          <cell r="T347" t="str">
            <v/>
          </cell>
          <cell r="U347" t="str">
            <v>L103159</v>
          </cell>
          <cell r="V347" t="str">
            <v>GTA 1.5kg-CAJA</v>
          </cell>
          <cell r="W347" t="str">
            <v>Ajuste</v>
          </cell>
          <cell r="X347">
            <v>1</v>
          </cell>
          <cell r="Y347">
            <v>1.5</v>
          </cell>
        </row>
        <row r="348">
          <cell r="T348" t="str">
            <v/>
          </cell>
          <cell r="U348" t="str">
            <v>L103230</v>
          </cell>
          <cell r="V348" t="str">
            <v>GTA 1.5kg-CAJA</v>
          </cell>
          <cell r="W348" t="str">
            <v>Ajuste</v>
          </cell>
          <cell r="X348">
            <v>15</v>
          </cell>
          <cell r="Y348">
            <v>22.5</v>
          </cell>
        </row>
        <row r="349">
          <cell r="T349" t="str">
            <v/>
          </cell>
          <cell r="U349" t="str">
            <v>L103377</v>
          </cell>
          <cell r="V349" t="str">
            <v>GTA 1kg-CAJA</v>
          </cell>
          <cell r="W349" t="str">
            <v>Ajuste</v>
          </cell>
          <cell r="X349">
            <v>1</v>
          </cell>
          <cell r="Y349">
            <v>1</v>
          </cell>
        </row>
        <row r="350">
          <cell r="T350">
            <v>0</v>
          </cell>
          <cell r="U350" t="str">
            <v>L103679</v>
          </cell>
          <cell r="V350" t="str">
            <v>GTA 1kg-CAJA</v>
          </cell>
          <cell r="W350" t="str">
            <v>Ajuste</v>
          </cell>
          <cell r="X350">
            <v>4</v>
          </cell>
          <cell r="Y350">
            <v>4</v>
          </cell>
        </row>
        <row r="351">
          <cell r="T351">
            <v>0</v>
          </cell>
          <cell r="U351" t="str">
            <v>L103684</v>
          </cell>
          <cell r="V351" t="str">
            <v>GTA 1kg-CAJA</v>
          </cell>
          <cell r="W351" t="str">
            <v>Ajuste</v>
          </cell>
          <cell r="X351">
            <v>3</v>
          </cell>
          <cell r="Y351">
            <v>3</v>
          </cell>
        </row>
        <row r="352">
          <cell r="T352">
            <v>0</v>
          </cell>
          <cell r="U352" t="str">
            <v>L103723</v>
          </cell>
          <cell r="V352" t="str">
            <v>GTA 1kg-CAJA</v>
          </cell>
          <cell r="W352" t="str">
            <v>Ajuste</v>
          </cell>
          <cell r="X352">
            <v>50</v>
          </cell>
          <cell r="Y352">
            <v>50</v>
          </cell>
        </row>
        <row r="353">
          <cell r="T353">
            <v>0</v>
          </cell>
          <cell r="U353" t="str">
            <v>L103682</v>
          </cell>
          <cell r="V353" t="str">
            <v>GTA 2kg-CAJA</v>
          </cell>
          <cell r="W353" t="str">
            <v>Ajuste</v>
          </cell>
          <cell r="X353">
            <v>1</v>
          </cell>
          <cell r="Y353">
            <v>2</v>
          </cell>
        </row>
        <row r="354">
          <cell r="T354">
            <v>0</v>
          </cell>
          <cell r="U354" t="str">
            <v>L103685</v>
          </cell>
          <cell r="V354" t="str">
            <v>GTA 2kg-CAJA</v>
          </cell>
          <cell r="W354" t="str">
            <v>Ajuste</v>
          </cell>
          <cell r="X354">
            <v>1</v>
          </cell>
          <cell r="Y354">
            <v>2</v>
          </cell>
        </row>
        <row r="355">
          <cell r="T355">
            <v>0</v>
          </cell>
          <cell r="U355" t="str">
            <v>L103739</v>
          </cell>
          <cell r="V355" t="str">
            <v>Guandu kg</v>
          </cell>
          <cell r="W355" t="str">
            <v>Ajuste</v>
          </cell>
          <cell r="X355">
            <v>3.95</v>
          </cell>
          <cell r="Y355">
            <v>3.95</v>
          </cell>
        </row>
        <row r="356">
          <cell r="T356">
            <v>0</v>
          </cell>
          <cell r="U356" t="str">
            <v>L103433</v>
          </cell>
          <cell r="V356" t="str">
            <v>GUD 3kg</v>
          </cell>
          <cell r="W356" t="str">
            <v>Ajuste</v>
          </cell>
          <cell r="X356">
            <v>1</v>
          </cell>
          <cell r="Y356">
            <v>3</v>
          </cell>
        </row>
        <row r="357">
          <cell r="T357" t="str">
            <v/>
          </cell>
          <cell r="U357" t="str">
            <v>L103720</v>
          </cell>
          <cell r="V357" t="str">
            <v>GUD 5kg-CAJA</v>
          </cell>
          <cell r="W357" t="str">
            <v>Ajuste</v>
          </cell>
          <cell r="X357">
            <v>5</v>
          </cell>
          <cell r="Y357">
            <v>25</v>
          </cell>
        </row>
        <row r="358">
          <cell r="T358">
            <v>0</v>
          </cell>
          <cell r="U358" t="str">
            <v>L103746</v>
          </cell>
          <cell r="V358" t="str">
            <v>Guisante kg</v>
          </cell>
          <cell r="W358" t="str">
            <v>Ajuste</v>
          </cell>
          <cell r="X358">
            <v>2.85</v>
          </cell>
          <cell r="Y358">
            <v>2.85</v>
          </cell>
        </row>
        <row r="359">
          <cell r="T359">
            <v>0</v>
          </cell>
          <cell r="U359" t="str">
            <v>L103745</v>
          </cell>
          <cell r="V359" t="str">
            <v>Harina kg</v>
          </cell>
          <cell r="W359" t="str">
            <v>Ajuste</v>
          </cell>
          <cell r="X359">
            <v>0.51</v>
          </cell>
          <cell r="Y359">
            <v>0.51</v>
          </cell>
        </row>
        <row r="360">
          <cell r="T360">
            <v>0</v>
          </cell>
          <cell r="U360" t="str">
            <v>L103358</v>
          </cell>
          <cell r="V360" t="str">
            <v>HAV 3kg</v>
          </cell>
          <cell r="W360" t="str">
            <v>Ajuste</v>
          </cell>
          <cell r="X360">
            <v>1</v>
          </cell>
          <cell r="Y360">
            <v>3</v>
          </cell>
        </row>
        <row r="361">
          <cell r="T361">
            <v>0</v>
          </cell>
          <cell r="U361" t="str">
            <v>L103453</v>
          </cell>
          <cell r="V361" t="str">
            <v>HAV 3kg</v>
          </cell>
          <cell r="W361" t="str">
            <v>Ajuste</v>
          </cell>
          <cell r="X361">
            <v>3</v>
          </cell>
          <cell r="Y361">
            <v>9</v>
          </cell>
        </row>
        <row r="362">
          <cell r="T362">
            <v>0</v>
          </cell>
          <cell r="U362" t="str">
            <v>L103533</v>
          </cell>
          <cell r="V362" t="str">
            <v>HAV 3kg</v>
          </cell>
          <cell r="W362" t="str">
            <v>Ajuste</v>
          </cell>
          <cell r="X362">
            <v>3</v>
          </cell>
          <cell r="Y362">
            <v>9</v>
          </cell>
        </row>
        <row r="363">
          <cell r="T363">
            <v>0</v>
          </cell>
          <cell r="U363" t="str">
            <v>L103380</v>
          </cell>
          <cell r="V363" t="str">
            <v>HNG 3kg-CAJA</v>
          </cell>
          <cell r="W363" t="str">
            <v>Ajuste</v>
          </cell>
          <cell r="X363">
            <v>2</v>
          </cell>
          <cell r="Y363">
            <v>6</v>
          </cell>
        </row>
        <row r="364">
          <cell r="T364">
            <v>0</v>
          </cell>
          <cell r="U364" t="str">
            <v>L103287</v>
          </cell>
          <cell r="V364" t="str">
            <v>HNG 3kg-CAJA</v>
          </cell>
          <cell r="W364" t="str">
            <v>Ajuste</v>
          </cell>
          <cell r="X364">
            <v>2</v>
          </cell>
          <cell r="Y364">
            <v>6</v>
          </cell>
        </row>
        <row r="365">
          <cell r="T365">
            <v>0</v>
          </cell>
          <cell r="U365" t="str">
            <v>L103468</v>
          </cell>
          <cell r="V365" t="str">
            <v>HNG 3kg-CAJA</v>
          </cell>
          <cell r="W365" t="str">
            <v>Ajuste</v>
          </cell>
          <cell r="X365">
            <v>1</v>
          </cell>
          <cell r="Y365">
            <v>3</v>
          </cell>
        </row>
        <row r="366">
          <cell r="T366">
            <v>0</v>
          </cell>
          <cell r="U366" t="str">
            <v>L103518</v>
          </cell>
          <cell r="V366" t="str">
            <v>HNG 3kg-CAJA</v>
          </cell>
          <cell r="W366" t="str">
            <v>Ajuste</v>
          </cell>
          <cell r="X366">
            <v>3</v>
          </cell>
          <cell r="Y366">
            <v>9</v>
          </cell>
        </row>
        <row r="367">
          <cell r="T367">
            <v>0</v>
          </cell>
          <cell r="U367" t="str">
            <v>L103705</v>
          </cell>
          <cell r="V367" t="str">
            <v>HNG 3kg-CAJA</v>
          </cell>
          <cell r="W367" t="str">
            <v>Ajuste</v>
          </cell>
          <cell r="X367">
            <v>1</v>
          </cell>
          <cell r="Y367">
            <v>3</v>
          </cell>
        </row>
        <row r="368">
          <cell r="T368">
            <v>0</v>
          </cell>
          <cell r="U368" t="str">
            <v>L103715</v>
          </cell>
          <cell r="V368" t="str">
            <v>HNG 5kg-CAJA</v>
          </cell>
          <cell r="W368" t="str">
            <v>Ajuste</v>
          </cell>
          <cell r="X368">
            <v>1</v>
          </cell>
          <cell r="Y368">
            <v>5</v>
          </cell>
        </row>
        <row r="369">
          <cell r="T369">
            <v>0</v>
          </cell>
          <cell r="U369" t="str">
            <v>L103532</v>
          </cell>
          <cell r="V369" t="str">
            <v>HRM 2Kg</v>
          </cell>
          <cell r="W369" t="str">
            <v>Ajuste</v>
          </cell>
          <cell r="X369">
            <v>1</v>
          </cell>
          <cell r="Y369">
            <v>2</v>
          </cell>
        </row>
        <row r="370">
          <cell r="T370">
            <v>0</v>
          </cell>
          <cell r="U370" t="str">
            <v>L103067</v>
          </cell>
          <cell r="V370" t="str">
            <v>Jabon lava platos kg</v>
          </cell>
          <cell r="W370" t="str">
            <v>Ajuste</v>
          </cell>
          <cell r="X370">
            <v>24.77</v>
          </cell>
          <cell r="Y370">
            <v>24.77</v>
          </cell>
        </row>
        <row r="371">
          <cell r="T371">
            <v>0</v>
          </cell>
          <cell r="U371" t="str">
            <v>L103735</v>
          </cell>
          <cell r="V371" t="str">
            <v>Jamonilla kg</v>
          </cell>
          <cell r="W371" t="str">
            <v>Ajuste</v>
          </cell>
          <cell r="X371">
            <v>0.4</v>
          </cell>
          <cell r="Y371">
            <v>0.4</v>
          </cell>
        </row>
        <row r="372">
          <cell r="T372">
            <v>0</v>
          </cell>
          <cell r="U372" t="str">
            <v>L103143</v>
          </cell>
          <cell r="V372" t="str">
            <v>JGO 2kg</v>
          </cell>
          <cell r="W372" t="str">
            <v>Ajuste</v>
          </cell>
          <cell r="X372">
            <v>1</v>
          </cell>
          <cell r="Y372">
            <v>2</v>
          </cell>
        </row>
        <row r="373">
          <cell r="T373">
            <v>0</v>
          </cell>
          <cell r="U373" t="str">
            <v>L103436</v>
          </cell>
          <cell r="V373" t="str">
            <v>JGO 2kg</v>
          </cell>
          <cell r="W373" t="str">
            <v>Ajuste</v>
          </cell>
          <cell r="X373">
            <v>1</v>
          </cell>
          <cell r="Y373">
            <v>2</v>
          </cell>
        </row>
        <row r="374">
          <cell r="T374">
            <v>0</v>
          </cell>
          <cell r="U374" t="str">
            <v>L103473</v>
          </cell>
          <cell r="V374" t="str">
            <v>JLP 2kg Caja</v>
          </cell>
          <cell r="W374" t="str">
            <v>Ajuste</v>
          </cell>
          <cell r="X374">
            <v>39</v>
          </cell>
          <cell r="Y374">
            <v>78</v>
          </cell>
        </row>
        <row r="375">
          <cell r="T375">
            <v>0</v>
          </cell>
          <cell r="U375" t="str">
            <v>L103729</v>
          </cell>
          <cell r="V375" t="str">
            <v>JLP 2kg Caja</v>
          </cell>
          <cell r="W375" t="str">
            <v>Ajuste</v>
          </cell>
          <cell r="X375">
            <v>72</v>
          </cell>
          <cell r="Y375">
            <v>144</v>
          </cell>
        </row>
        <row r="376">
          <cell r="T376">
            <v>0</v>
          </cell>
          <cell r="U376" t="str">
            <v>L103730</v>
          </cell>
          <cell r="V376" t="str">
            <v>JLP 2kg Caja</v>
          </cell>
          <cell r="W376" t="str">
            <v>Ajuste</v>
          </cell>
          <cell r="X376">
            <v>84</v>
          </cell>
          <cell r="Y376">
            <v>168</v>
          </cell>
        </row>
        <row r="377">
          <cell r="T377">
            <v>0</v>
          </cell>
          <cell r="U377" t="str">
            <v>L103015</v>
          </cell>
          <cell r="V377" t="str">
            <v>JLPL 2kg UNIDAD</v>
          </cell>
          <cell r="W377" t="str">
            <v>Ajuste</v>
          </cell>
          <cell r="X377">
            <v>46</v>
          </cell>
          <cell r="Y377">
            <v>92</v>
          </cell>
        </row>
        <row r="378">
          <cell r="T378">
            <v>0</v>
          </cell>
          <cell r="U378" t="str">
            <v>L103727</v>
          </cell>
          <cell r="V378" t="str">
            <v>JLPL 2kg UNIDAD</v>
          </cell>
          <cell r="W378" t="str">
            <v>Ajuste</v>
          </cell>
          <cell r="X378">
            <v>1</v>
          </cell>
          <cell r="Y378">
            <v>2</v>
          </cell>
        </row>
        <row r="379">
          <cell r="T379">
            <v>0</v>
          </cell>
          <cell r="U379" t="str">
            <v>L103035</v>
          </cell>
          <cell r="V379" t="str">
            <v>KTP 2kg</v>
          </cell>
          <cell r="W379" t="str">
            <v>Ajuste</v>
          </cell>
          <cell r="X379">
            <v>3</v>
          </cell>
          <cell r="Y379">
            <v>6</v>
          </cell>
        </row>
        <row r="380">
          <cell r="T380">
            <v>0</v>
          </cell>
          <cell r="U380" t="str">
            <v>L103185</v>
          </cell>
          <cell r="V380" t="str">
            <v>LCC 3kg-(CAJA)</v>
          </cell>
          <cell r="W380" t="str">
            <v>Ajuste</v>
          </cell>
          <cell r="X380">
            <v>2</v>
          </cell>
          <cell r="Y380">
            <v>6</v>
          </cell>
        </row>
        <row r="381">
          <cell r="T381">
            <v>0</v>
          </cell>
          <cell r="U381" t="str">
            <v>L103538</v>
          </cell>
          <cell r="V381" t="str">
            <v>LCH 2kg-caja</v>
          </cell>
          <cell r="W381" t="str">
            <v>Ajuste</v>
          </cell>
          <cell r="X381">
            <v>6</v>
          </cell>
          <cell r="Y381">
            <v>12</v>
          </cell>
        </row>
        <row r="382">
          <cell r="T382">
            <v>0</v>
          </cell>
          <cell r="U382" t="str">
            <v>L103565</v>
          </cell>
          <cell r="V382" t="str">
            <v>LCH 3kg</v>
          </cell>
          <cell r="W382" t="str">
            <v>Ajuste</v>
          </cell>
          <cell r="X382">
            <v>7</v>
          </cell>
          <cell r="Y382">
            <v>21</v>
          </cell>
        </row>
        <row r="383">
          <cell r="T383">
            <v>0</v>
          </cell>
          <cell r="U383" t="str">
            <v>L103609</v>
          </cell>
          <cell r="V383" t="str">
            <v>LCH 3kg</v>
          </cell>
          <cell r="W383" t="str">
            <v>Ajuste</v>
          </cell>
          <cell r="X383">
            <v>6</v>
          </cell>
          <cell r="Y383">
            <v>18</v>
          </cell>
        </row>
        <row r="384">
          <cell r="T384">
            <v>0</v>
          </cell>
          <cell r="U384" t="str">
            <v>L103414</v>
          </cell>
          <cell r="V384" t="str">
            <v>LCH 4kg</v>
          </cell>
          <cell r="W384" t="str">
            <v>Ajuste</v>
          </cell>
          <cell r="X384">
            <v>1</v>
          </cell>
          <cell r="Y384">
            <v>4</v>
          </cell>
        </row>
        <row r="385">
          <cell r="T385">
            <v>0</v>
          </cell>
          <cell r="U385" t="str">
            <v>L103554</v>
          </cell>
          <cell r="V385" t="str">
            <v>LCH 4kg</v>
          </cell>
          <cell r="W385" t="str">
            <v>Ajuste</v>
          </cell>
          <cell r="X385">
            <v>1</v>
          </cell>
          <cell r="Y385">
            <v>4</v>
          </cell>
        </row>
        <row r="386">
          <cell r="T386">
            <v>0</v>
          </cell>
          <cell r="U386" t="str">
            <v>L103555</v>
          </cell>
          <cell r="V386" t="str">
            <v>LCH 4kg</v>
          </cell>
          <cell r="W386" t="str">
            <v>Ajuste</v>
          </cell>
          <cell r="X386">
            <v>2</v>
          </cell>
          <cell r="Y386">
            <v>8</v>
          </cell>
        </row>
        <row r="387">
          <cell r="T387">
            <v>0</v>
          </cell>
          <cell r="U387" t="str">
            <v>L103540</v>
          </cell>
          <cell r="V387" t="str">
            <v>LCH EV 2kg</v>
          </cell>
          <cell r="W387" t="str">
            <v>Ajuste</v>
          </cell>
          <cell r="X387">
            <v>1</v>
          </cell>
          <cell r="Y387">
            <v>2</v>
          </cell>
        </row>
        <row r="388">
          <cell r="T388">
            <v>0</v>
          </cell>
          <cell r="U388" t="str">
            <v>L103598</v>
          </cell>
          <cell r="V388" t="str">
            <v>LCH EV 2kg</v>
          </cell>
          <cell r="W388" t="str">
            <v>Ajuste</v>
          </cell>
          <cell r="X388">
            <v>1</v>
          </cell>
          <cell r="Y388">
            <v>2</v>
          </cell>
        </row>
        <row r="389">
          <cell r="T389" t="str">
            <v/>
          </cell>
          <cell r="U389" t="str">
            <v>L103265</v>
          </cell>
          <cell r="V389" t="str">
            <v>LCHAY 2kg</v>
          </cell>
          <cell r="W389" t="str">
            <v>Ajuste</v>
          </cell>
          <cell r="X389">
            <v>2</v>
          </cell>
          <cell r="Y389">
            <v>0</v>
          </cell>
        </row>
        <row r="390">
          <cell r="T390" t="str">
            <v/>
          </cell>
          <cell r="U390" t="str">
            <v>L103267</v>
          </cell>
          <cell r="V390" t="str">
            <v>LCHAY 2kg</v>
          </cell>
          <cell r="W390" t="str">
            <v>Ajuste</v>
          </cell>
          <cell r="X390">
            <v>4</v>
          </cell>
          <cell r="Y390">
            <v>0</v>
          </cell>
        </row>
        <row r="391">
          <cell r="T391" t="str">
            <v/>
          </cell>
          <cell r="U391" t="str">
            <v>L103268</v>
          </cell>
          <cell r="V391" t="str">
            <v>LCHAY 2kg</v>
          </cell>
          <cell r="W391" t="str">
            <v>Ajuste</v>
          </cell>
          <cell r="X391">
            <v>3</v>
          </cell>
          <cell r="Y391">
            <v>0</v>
          </cell>
        </row>
        <row r="392">
          <cell r="T392">
            <v>0</v>
          </cell>
          <cell r="U392" t="str">
            <v>L103269</v>
          </cell>
          <cell r="V392" t="str">
            <v>LCH 2kg-caja</v>
          </cell>
          <cell r="W392" t="str">
            <v>Ajuste</v>
          </cell>
          <cell r="X392">
            <v>34</v>
          </cell>
          <cell r="Y392">
            <v>68</v>
          </cell>
        </row>
        <row r="393">
          <cell r="T393">
            <v>0</v>
          </cell>
          <cell r="U393" t="str">
            <v>L103269</v>
          </cell>
          <cell r="V393" t="str">
            <v>LCHAY 2kg</v>
          </cell>
          <cell r="W393" t="str">
            <v>Ajuste</v>
          </cell>
          <cell r="X393">
            <v>5</v>
          </cell>
          <cell r="Y393">
            <v>0</v>
          </cell>
        </row>
        <row r="394">
          <cell r="T394" t="str">
            <v/>
          </cell>
          <cell r="U394" t="str">
            <v>L103270</v>
          </cell>
          <cell r="V394" t="str">
            <v>LCHAY 2kg</v>
          </cell>
          <cell r="W394" t="str">
            <v>Ajuste</v>
          </cell>
          <cell r="X394">
            <v>1</v>
          </cell>
          <cell r="Y394">
            <v>0</v>
          </cell>
        </row>
        <row r="395">
          <cell r="T395" t="str">
            <v/>
          </cell>
          <cell r="U395" t="str">
            <v>L103271</v>
          </cell>
          <cell r="V395" t="str">
            <v>LCHAY 2kg</v>
          </cell>
          <cell r="W395" t="str">
            <v>Ajuste</v>
          </cell>
          <cell r="X395">
            <v>3</v>
          </cell>
          <cell r="Y395">
            <v>0</v>
          </cell>
        </row>
        <row r="396">
          <cell r="T396">
            <v>0</v>
          </cell>
          <cell r="U396" t="str">
            <v>L103087</v>
          </cell>
          <cell r="V396" t="str">
            <v>LCHAY 4kg</v>
          </cell>
          <cell r="W396" t="str">
            <v>Ajuste</v>
          </cell>
          <cell r="X396">
            <v>144</v>
          </cell>
          <cell r="Y396">
            <v>576</v>
          </cell>
        </row>
        <row r="397">
          <cell r="T397">
            <v>0</v>
          </cell>
          <cell r="U397" t="str">
            <v>L103087</v>
          </cell>
          <cell r="V397" t="str">
            <v>LCH 4kg</v>
          </cell>
          <cell r="W397" t="str">
            <v>Ajuste</v>
          </cell>
          <cell r="X397">
            <v>128</v>
          </cell>
          <cell r="Y397">
            <v>512</v>
          </cell>
        </row>
        <row r="398">
          <cell r="T398" t="str">
            <v/>
          </cell>
          <cell r="U398" t="str">
            <v>L103089</v>
          </cell>
          <cell r="V398" t="str">
            <v>LCHAY 4kg</v>
          </cell>
          <cell r="W398" t="str">
            <v>Ajuste</v>
          </cell>
          <cell r="X398">
            <v>1</v>
          </cell>
          <cell r="Y398">
            <v>4</v>
          </cell>
        </row>
        <row r="399">
          <cell r="T399" t="str">
            <v/>
          </cell>
          <cell r="U399" t="str">
            <v>L103090</v>
          </cell>
          <cell r="V399" t="str">
            <v>LCHAY 4kg</v>
          </cell>
          <cell r="W399" t="str">
            <v>Ajuste</v>
          </cell>
          <cell r="X399">
            <v>9</v>
          </cell>
          <cell r="Y399">
            <v>36</v>
          </cell>
        </row>
        <row r="400">
          <cell r="T400">
            <v>0</v>
          </cell>
          <cell r="U400" t="str">
            <v>L103648</v>
          </cell>
          <cell r="V400" t="str">
            <v>LCHAY 4kg</v>
          </cell>
          <cell r="W400" t="str">
            <v>Ajuste</v>
          </cell>
          <cell r="X400">
            <v>3</v>
          </cell>
          <cell r="Y400">
            <v>12</v>
          </cell>
        </row>
        <row r="401">
          <cell r="T401">
            <v>0</v>
          </cell>
          <cell r="U401" t="str">
            <v>L103648</v>
          </cell>
          <cell r="V401" t="str">
            <v>LCH 4kg</v>
          </cell>
          <cell r="W401" t="str">
            <v>Ajuste</v>
          </cell>
          <cell r="X401">
            <v>44</v>
          </cell>
          <cell r="Y401">
            <v>176</v>
          </cell>
        </row>
        <row r="402">
          <cell r="T402">
            <v>0</v>
          </cell>
          <cell r="U402" t="str">
            <v>L103138</v>
          </cell>
          <cell r="V402" t="str">
            <v>LDS 3kg</v>
          </cell>
          <cell r="W402" t="str">
            <v>Ajuste</v>
          </cell>
          <cell r="X402">
            <v>18</v>
          </cell>
          <cell r="Y402">
            <v>54</v>
          </cell>
        </row>
        <row r="403">
          <cell r="T403">
            <v>0</v>
          </cell>
          <cell r="U403" t="str">
            <v>L103736</v>
          </cell>
          <cell r="V403" t="str">
            <v>Leche de coco kg</v>
          </cell>
          <cell r="W403" t="str">
            <v>Ajuste</v>
          </cell>
          <cell r="X403">
            <v>0.75</v>
          </cell>
          <cell r="Y403">
            <v>0.75</v>
          </cell>
        </row>
        <row r="404">
          <cell r="T404">
            <v>0</v>
          </cell>
          <cell r="U404" t="str">
            <v>L103732</v>
          </cell>
          <cell r="V404" t="str">
            <v>leche en polvo kg</v>
          </cell>
          <cell r="W404" t="str">
            <v>Ajuste</v>
          </cell>
          <cell r="X404">
            <v>1.47</v>
          </cell>
          <cell r="Y404">
            <v>1.47</v>
          </cell>
        </row>
        <row r="405">
          <cell r="T405">
            <v>0</v>
          </cell>
          <cell r="U405" t="str">
            <v>L103602</v>
          </cell>
          <cell r="V405" t="str">
            <v>LEP 2kg</v>
          </cell>
          <cell r="W405" t="str">
            <v>Ajuste</v>
          </cell>
          <cell r="X405">
            <v>1</v>
          </cell>
          <cell r="Y405">
            <v>2</v>
          </cell>
        </row>
        <row r="406">
          <cell r="T406">
            <v>0</v>
          </cell>
          <cell r="U406" t="str">
            <v>L103603</v>
          </cell>
          <cell r="V406" t="str">
            <v>LEP 2kg</v>
          </cell>
          <cell r="W406" t="str">
            <v>Ajuste</v>
          </cell>
          <cell r="X406">
            <v>1</v>
          </cell>
          <cell r="Y406">
            <v>2</v>
          </cell>
        </row>
        <row r="407">
          <cell r="T407">
            <v>0</v>
          </cell>
          <cell r="U407" t="str">
            <v>L103708</v>
          </cell>
          <cell r="V407" t="str">
            <v>LEP 2kg</v>
          </cell>
          <cell r="W407" t="str">
            <v>Ajuste</v>
          </cell>
          <cell r="X407">
            <v>2</v>
          </cell>
          <cell r="Y407">
            <v>4</v>
          </cell>
        </row>
        <row r="408">
          <cell r="T408">
            <v>0</v>
          </cell>
          <cell r="U408" t="str">
            <v>L103733</v>
          </cell>
          <cell r="V408" t="str">
            <v>Maiz kg</v>
          </cell>
          <cell r="W408" t="str">
            <v>Ajuste</v>
          </cell>
          <cell r="X408">
            <v>5.25</v>
          </cell>
          <cell r="Y408">
            <v>5.25</v>
          </cell>
        </row>
        <row r="409">
          <cell r="T409">
            <v>0</v>
          </cell>
          <cell r="U409" t="str">
            <v>L102955</v>
          </cell>
          <cell r="V409" t="str">
            <v>Mayonesa kg</v>
          </cell>
          <cell r="W409" t="str">
            <v>Ajuste</v>
          </cell>
          <cell r="X409">
            <v>2.25</v>
          </cell>
          <cell r="Y409">
            <v>2.25</v>
          </cell>
        </row>
        <row r="410">
          <cell r="T410">
            <v>0</v>
          </cell>
          <cell r="U410" t="str">
            <v>L103528</v>
          </cell>
          <cell r="V410" t="str">
            <v>MCR 2kg-CAJA</v>
          </cell>
          <cell r="W410" t="str">
            <v>Ajuste</v>
          </cell>
          <cell r="X410">
            <v>1</v>
          </cell>
          <cell r="Y410">
            <v>2</v>
          </cell>
        </row>
        <row r="411">
          <cell r="T411">
            <v>0</v>
          </cell>
          <cell r="U411" t="str">
            <v>L103607</v>
          </cell>
          <cell r="V411" t="str">
            <v>MCR 2kg-CAJA</v>
          </cell>
          <cell r="W411" t="str">
            <v>Ajuste</v>
          </cell>
          <cell r="X411">
            <v>1</v>
          </cell>
          <cell r="Y411">
            <v>2</v>
          </cell>
        </row>
        <row r="412">
          <cell r="T412">
            <v>0</v>
          </cell>
          <cell r="U412" t="str">
            <v>L103757</v>
          </cell>
          <cell r="V412" t="str">
            <v>MCR 5kg-CAJA</v>
          </cell>
          <cell r="W412" t="str">
            <v>Ajuste</v>
          </cell>
          <cell r="X412">
            <v>109</v>
          </cell>
          <cell r="Y412">
            <v>545</v>
          </cell>
        </row>
        <row r="413">
          <cell r="T413">
            <v>0</v>
          </cell>
          <cell r="U413" t="str">
            <v>L103683</v>
          </cell>
          <cell r="V413" t="str">
            <v>MCRQ 1kg-CAJA</v>
          </cell>
          <cell r="W413" t="str">
            <v>Ajuste</v>
          </cell>
          <cell r="X413">
            <v>1</v>
          </cell>
          <cell r="Y413">
            <v>1</v>
          </cell>
        </row>
        <row r="414">
          <cell r="T414" t="str">
            <v/>
          </cell>
          <cell r="U414" t="str">
            <v>L102838</v>
          </cell>
          <cell r="V414" t="str">
            <v>MERMA DE FRUVER 1 kg</v>
          </cell>
          <cell r="W414" t="str">
            <v>Ajuste</v>
          </cell>
          <cell r="X414">
            <v>103.5</v>
          </cell>
          <cell r="Y414">
            <v>103.5</v>
          </cell>
        </row>
        <row r="415">
          <cell r="T415">
            <v>0</v>
          </cell>
          <cell r="U415" t="str">
            <v>L103276</v>
          </cell>
          <cell r="V415" t="str">
            <v>MERMA DE FRUVER 1 kg</v>
          </cell>
          <cell r="W415" t="str">
            <v>Ajuste</v>
          </cell>
          <cell r="X415">
            <v>217.5</v>
          </cell>
          <cell r="Y415">
            <v>217.5</v>
          </cell>
        </row>
        <row r="416">
          <cell r="T416">
            <v>0</v>
          </cell>
          <cell r="U416" t="str">
            <v>L103329</v>
          </cell>
          <cell r="V416" t="str">
            <v>MERMA DE FRUVER 1 kg</v>
          </cell>
          <cell r="W416" t="str">
            <v>Ajuste</v>
          </cell>
          <cell r="X416">
            <v>55.72</v>
          </cell>
          <cell r="Y416">
            <v>55.72</v>
          </cell>
        </row>
        <row r="417">
          <cell r="T417">
            <v>0</v>
          </cell>
          <cell r="U417" t="str">
            <v>L103338</v>
          </cell>
          <cell r="V417" t="str">
            <v>MERMA DE FRUVER 1 kg</v>
          </cell>
          <cell r="W417" t="str">
            <v>Ajuste</v>
          </cell>
          <cell r="X417">
            <v>25.72</v>
          </cell>
          <cell r="Y417">
            <v>25.72</v>
          </cell>
        </row>
        <row r="418">
          <cell r="T418">
            <v>0</v>
          </cell>
          <cell r="U418" t="str">
            <v>L103340</v>
          </cell>
          <cell r="V418" t="str">
            <v>MERMA DE FRUVER 1 kg</v>
          </cell>
          <cell r="W418" t="str">
            <v>Ajuste</v>
          </cell>
          <cell r="X418">
            <v>4.46</v>
          </cell>
          <cell r="Y418">
            <v>4.46</v>
          </cell>
        </row>
        <row r="419">
          <cell r="T419">
            <v>0</v>
          </cell>
          <cell r="U419" t="str">
            <v>L103343</v>
          </cell>
          <cell r="V419" t="str">
            <v>MERMA DE FRUVER 1 kg</v>
          </cell>
          <cell r="W419" t="str">
            <v>Ajuste</v>
          </cell>
          <cell r="X419">
            <v>41.6</v>
          </cell>
          <cell r="Y419">
            <v>41.6</v>
          </cell>
        </row>
        <row r="420">
          <cell r="T420">
            <v>0</v>
          </cell>
          <cell r="U420" t="str">
            <v>L103346</v>
          </cell>
          <cell r="V420" t="str">
            <v>MERMA DE FRUVER 1 kg</v>
          </cell>
          <cell r="W420" t="str">
            <v>Ajuste</v>
          </cell>
          <cell r="X420">
            <v>21.55</v>
          </cell>
          <cell r="Y420">
            <v>21.55</v>
          </cell>
        </row>
        <row r="421">
          <cell r="T421">
            <v>0</v>
          </cell>
          <cell r="U421" t="str">
            <v>L103376</v>
          </cell>
          <cell r="V421" t="str">
            <v>MERMA DE FRUVER 1 kg</v>
          </cell>
          <cell r="W421" t="str">
            <v>Ajuste</v>
          </cell>
          <cell r="X421">
            <v>15.36</v>
          </cell>
          <cell r="Y421">
            <v>15.36</v>
          </cell>
        </row>
        <row r="422">
          <cell r="T422">
            <v>0</v>
          </cell>
          <cell r="U422" t="str">
            <v>L103403</v>
          </cell>
          <cell r="V422" t="str">
            <v>MERMA DE FRUVER 1 kg</v>
          </cell>
          <cell r="W422" t="str">
            <v>Ajuste</v>
          </cell>
          <cell r="X422">
            <v>38.18</v>
          </cell>
          <cell r="Y422">
            <v>38.18</v>
          </cell>
        </row>
        <row r="423">
          <cell r="T423">
            <v>0</v>
          </cell>
          <cell r="U423" t="str">
            <v>L103413</v>
          </cell>
          <cell r="V423" t="str">
            <v>MERMA DE FRUVER 1 kg</v>
          </cell>
          <cell r="W423" t="str">
            <v>Ajuste</v>
          </cell>
          <cell r="X423">
            <v>48.6</v>
          </cell>
          <cell r="Y423">
            <v>48.6</v>
          </cell>
        </row>
        <row r="424">
          <cell r="T424">
            <v>0</v>
          </cell>
          <cell r="U424" t="str">
            <v>L103494</v>
          </cell>
          <cell r="V424" t="str">
            <v>MERMA DE FRUVER 1 kg</v>
          </cell>
          <cell r="W424" t="str">
            <v>Ajuste</v>
          </cell>
          <cell r="X424">
            <v>18.399999999999999</v>
          </cell>
          <cell r="Y424">
            <v>18.399999999999999</v>
          </cell>
        </row>
        <row r="425">
          <cell r="T425">
            <v>0</v>
          </cell>
          <cell r="U425" t="str">
            <v>L103504</v>
          </cell>
          <cell r="V425" t="str">
            <v>MERMA DE FRUVER 1 kg</v>
          </cell>
          <cell r="W425" t="str">
            <v>Ajuste</v>
          </cell>
          <cell r="X425">
            <v>1.9</v>
          </cell>
          <cell r="Y425">
            <v>1.9</v>
          </cell>
        </row>
        <row r="426">
          <cell r="T426">
            <v>0</v>
          </cell>
          <cell r="U426" t="str">
            <v>L103506</v>
          </cell>
          <cell r="V426" t="str">
            <v>MERMA DE FRUVER 1 kg</v>
          </cell>
          <cell r="W426" t="str">
            <v>Ajuste</v>
          </cell>
          <cell r="X426">
            <v>21.14</v>
          </cell>
          <cell r="Y426">
            <v>21.14</v>
          </cell>
        </row>
        <row r="427">
          <cell r="T427">
            <v>0</v>
          </cell>
          <cell r="U427" t="str">
            <v>L103545</v>
          </cell>
          <cell r="V427" t="str">
            <v>MERMA DE FRUVER 1 kg</v>
          </cell>
          <cell r="W427" t="str">
            <v>Ajuste</v>
          </cell>
          <cell r="X427">
            <v>18</v>
          </cell>
          <cell r="Y427">
            <v>18</v>
          </cell>
        </row>
        <row r="428">
          <cell r="T428">
            <v>0</v>
          </cell>
          <cell r="U428" t="str">
            <v>L103656</v>
          </cell>
          <cell r="V428" t="str">
            <v>MERMA DE FRUVER 1 kg</v>
          </cell>
          <cell r="W428" t="str">
            <v>Ajuste</v>
          </cell>
          <cell r="X428">
            <v>4.25</v>
          </cell>
          <cell r="Y428">
            <v>4.25</v>
          </cell>
        </row>
        <row r="429">
          <cell r="T429">
            <v>0</v>
          </cell>
          <cell r="U429" t="str">
            <v>L103659</v>
          </cell>
          <cell r="V429" t="str">
            <v>MERMA DE FRUVER 1 kg</v>
          </cell>
          <cell r="W429" t="str">
            <v>Ajuste</v>
          </cell>
          <cell r="X429">
            <v>57.24</v>
          </cell>
          <cell r="Y429">
            <v>57.24</v>
          </cell>
        </row>
        <row r="430">
          <cell r="T430">
            <v>0</v>
          </cell>
          <cell r="U430" t="str">
            <v>L103672</v>
          </cell>
          <cell r="V430" t="str">
            <v>MERMA DE FRUVER 1 kg</v>
          </cell>
          <cell r="W430" t="str">
            <v>Ajuste</v>
          </cell>
          <cell r="X430">
            <v>24.51</v>
          </cell>
          <cell r="Y430">
            <v>24.51</v>
          </cell>
        </row>
        <row r="431">
          <cell r="T431">
            <v>0</v>
          </cell>
          <cell r="U431" t="str">
            <v>L103674</v>
          </cell>
          <cell r="V431" t="str">
            <v>MERMA DE FRUVER 1 kg</v>
          </cell>
          <cell r="W431" t="str">
            <v>Ajuste</v>
          </cell>
          <cell r="X431">
            <v>3.5</v>
          </cell>
          <cell r="Y431">
            <v>3.5</v>
          </cell>
        </row>
        <row r="432">
          <cell r="T432">
            <v>0</v>
          </cell>
          <cell r="U432" t="str">
            <v>L103066</v>
          </cell>
          <cell r="V432" t="str">
            <v>Merma KG</v>
          </cell>
          <cell r="W432" t="str">
            <v>Ajuste</v>
          </cell>
          <cell r="X432">
            <v>50.61</v>
          </cell>
          <cell r="Y432">
            <v>50.61</v>
          </cell>
        </row>
        <row r="433">
          <cell r="T433">
            <v>0</v>
          </cell>
          <cell r="U433" t="str">
            <v>L103385</v>
          </cell>
          <cell r="V433" t="str">
            <v>Merma KG</v>
          </cell>
          <cell r="W433" t="str">
            <v>Ajuste</v>
          </cell>
          <cell r="X433">
            <v>90.26</v>
          </cell>
          <cell r="Y433">
            <v>90.26</v>
          </cell>
        </row>
        <row r="434">
          <cell r="T434">
            <v>0</v>
          </cell>
          <cell r="U434" t="str">
            <v>L103583</v>
          </cell>
          <cell r="V434" t="str">
            <v>Merma KG</v>
          </cell>
          <cell r="W434" t="str">
            <v>Ajuste</v>
          </cell>
          <cell r="X434">
            <v>134.63999999999999</v>
          </cell>
          <cell r="Y434">
            <v>134.63999999999999</v>
          </cell>
        </row>
        <row r="435">
          <cell r="T435">
            <v>0</v>
          </cell>
          <cell r="U435" t="str">
            <v>l103323</v>
          </cell>
          <cell r="V435" t="str">
            <v>MLJP 20kg</v>
          </cell>
          <cell r="W435" t="str">
            <v>Ajuste</v>
          </cell>
          <cell r="X435">
            <v>22</v>
          </cell>
          <cell r="Y435">
            <v>440</v>
          </cell>
        </row>
        <row r="436">
          <cell r="T436" t="str">
            <v/>
          </cell>
          <cell r="U436" t="str">
            <v>L103356</v>
          </cell>
          <cell r="V436" t="str">
            <v>MNS 2kg-PAQUETE</v>
          </cell>
          <cell r="W436" t="str">
            <v>Ajuste</v>
          </cell>
          <cell r="X436">
            <v>9</v>
          </cell>
          <cell r="Y436">
            <v>18</v>
          </cell>
        </row>
        <row r="437">
          <cell r="T437" t="str">
            <v/>
          </cell>
          <cell r="U437" t="str">
            <v>L103454</v>
          </cell>
          <cell r="V437" t="str">
            <v>MNS 2kg-PAQUETE</v>
          </cell>
          <cell r="W437" t="str">
            <v>Ajuste</v>
          </cell>
          <cell r="X437">
            <v>13</v>
          </cell>
          <cell r="Y437">
            <v>26</v>
          </cell>
        </row>
        <row r="438">
          <cell r="T438" t="str">
            <v/>
          </cell>
          <cell r="U438" t="str">
            <v>L103529</v>
          </cell>
          <cell r="V438" t="str">
            <v>MNS 2kg-PAQUETE</v>
          </cell>
          <cell r="W438" t="str">
            <v>Ajuste</v>
          </cell>
          <cell r="X438">
            <v>1</v>
          </cell>
          <cell r="Y438">
            <v>2</v>
          </cell>
        </row>
        <row r="439">
          <cell r="T439">
            <v>0</v>
          </cell>
          <cell r="U439" t="str">
            <v>L103575</v>
          </cell>
          <cell r="V439" t="str">
            <v>MXTCD 10kg</v>
          </cell>
          <cell r="W439" t="str">
            <v>Ajuste</v>
          </cell>
          <cell r="X439">
            <v>3</v>
          </cell>
          <cell r="Y439">
            <v>30</v>
          </cell>
        </row>
        <row r="440">
          <cell r="T440">
            <v>0</v>
          </cell>
          <cell r="U440" t="str">
            <v>L103286</v>
          </cell>
          <cell r="V440" t="str">
            <v>MYN 3kg - Caja</v>
          </cell>
          <cell r="W440" t="str">
            <v>Ajuste</v>
          </cell>
          <cell r="X440">
            <v>1</v>
          </cell>
          <cell r="Y440">
            <v>3</v>
          </cell>
        </row>
        <row r="441">
          <cell r="T441">
            <v>0</v>
          </cell>
          <cell r="U441" t="str">
            <v>L103511</v>
          </cell>
          <cell r="V441" t="str">
            <v>MYN 3kg - Caja</v>
          </cell>
          <cell r="W441" t="str">
            <v>Ajuste</v>
          </cell>
          <cell r="X441">
            <v>2</v>
          </cell>
          <cell r="Y441">
            <v>6</v>
          </cell>
        </row>
        <row r="442">
          <cell r="T442">
            <v>0</v>
          </cell>
          <cell r="U442" t="str">
            <v>L103379</v>
          </cell>
          <cell r="V442" t="str">
            <v>MZL 3kg</v>
          </cell>
          <cell r="W442" t="str">
            <v>Ajuste</v>
          </cell>
          <cell r="X442">
            <v>1</v>
          </cell>
          <cell r="Y442">
            <v>3</v>
          </cell>
        </row>
        <row r="443">
          <cell r="T443">
            <v>0</v>
          </cell>
          <cell r="U443" t="str">
            <v>L103472</v>
          </cell>
          <cell r="V443" t="str">
            <v>MZL 3kg</v>
          </cell>
          <cell r="W443" t="str">
            <v>Ajuste</v>
          </cell>
          <cell r="X443">
            <v>2</v>
          </cell>
          <cell r="Y443">
            <v>6</v>
          </cell>
        </row>
        <row r="444">
          <cell r="T444">
            <v>0</v>
          </cell>
          <cell r="U444" t="str">
            <v>L103512</v>
          </cell>
          <cell r="V444" t="str">
            <v>MZL 3kg</v>
          </cell>
          <cell r="W444" t="str">
            <v>Ajuste</v>
          </cell>
          <cell r="X444">
            <v>17</v>
          </cell>
          <cell r="Y444">
            <v>51</v>
          </cell>
        </row>
        <row r="445">
          <cell r="U445" t="str">
            <v>L103712</v>
          </cell>
          <cell r="V445" t="str">
            <v>MZL 5kg</v>
          </cell>
          <cell r="W445" t="str">
            <v>Ajuste</v>
          </cell>
          <cell r="X445">
            <v>5</v>
          </cell>
          <cell r="Y445">
            <v>25</v>
          </cell>
        </row>
        <row r="446">
          <cell r="U446" t="str">
            <v>102660</v>
          </cell>
          <cell r="V446" t="str">
            <v>NV ATN 1x170g-UNIDAD</v>
          </cell>
          <cell r="W446" t="str">
            <v>Ajuste</v>
          </cell>
          <cell r="X446">
            <v>36</v>
          </cell>
          <cell r="Y446">
            <v>6.12</v>
          </cell>
        </row>
        <row r="447">
          <cell r="U447" t="str">
            <v>L103198</v>
          </cell>
          <cell r="V447" t="str">
            <v>NV BPA - UNI</v>
          </cell>
          <cell r="W447" t="str">
            <v>Ajuste</v>
          </cell>
          <cell r="X447">
            <v>5847</v>
          </cell>
          <cell r="Y447">
            <v>58.47000000000002</v>
          </cell>
        </row>
        <row r="448">
          <cell r="U448" t="str">
            <v>L103564</v>
          </cell>
          <cell r="V448" t="str">
            <v>PAN 2kg</v>
          </cell>
          <cell r="W448" t="str">
            <v>Ajuste</v>
          </cell>
          <cell r="X448">
            <v>14</v>
          </cell>
          <cell r="Y448">
            <v>28</v>
          </cell>
        </row>
        <row r="449">
          <cell r="U449" t="str">
            <v>L103124</v>
          </cell>
          <cell r="V449" t="str">
            <v>Pan kg</v>
          </cell>
          <cell r="W449" t="str">
            <v>Ajuste</v>
          </cell>
          <cell r="X449">
            <v>1.6</v>
          </cell>
          <cell r="Y449">
            <v>1.6</v>
          </cell>
        </row>
        <row r="450">
          <cell r="U450" t="str">
            <v>L102956</v>
          </cell>
          <cell r="V450" t="str">
            <v>Pancake kg</v>
          </cell>
          <cell r="W450" t="str">
            <v>Ajuste</v>
          </cell>
          <cell r="X450">
            <v>18.02</v>
          </cell>
          <cell r="Y450">
            <v>18.02</v>
          </cell>
        </row>
        <row r="451">
          <cell r="U451" t="str">
            <v>L103408</v>
          </cell>
          <cell r="V451" t="str">
            <v>Pancake kg</v>
          </cell>
          <cell r="W451" t="str">
            <v>Ajuste</v>
          </cell>
          <cell r="X451">
            <v>2.5</v>
          </cell>
          <cell r="Y451">
            <v>2.5</v>
          </cell>
        </row>
        <row r="452">
          <cell r="U452" t="str">
            <v>L103751</v>
          </cell>
          <cell r="V452" t="str">
            <v>PASTV 2kg</v>
          </cell>
          <cell r="W452" t="str">
            <v>Ajuste</v>
          </cell>
          <cell r="X452">
            <v>5</v>
          </cell>
          <cell r="Y452">
            <v>10</v>
          </cell>
        </row>
        <row r="453">
          <cell r="U453" t="str">
            <v>L103622</v>
          </cell>
          <cell r="V453" t="str">
            <v>PFC 2KG - BOLSA</v>
          </cell>
          <cell r="W453" t="str">
            <v>Ajuste</v>
          </cell>
          <cell r="X453">
            <v>134</v>
          </cell>
          <cell r="Y453">
            <v>268</v>
          </cell>
        </row>
        <row r="454">
          <cell r="U454" t="str">
            <v>L103402</v>
          </cell>
          <cell r="V454" t="str">
            <v>PFC 2KG - BOLSA</v>
          </cell>
          <cell r="W454" t="str">
            <v>Ajuste</v>
          </cell>
          <cell r="X454">
            <v>8</v>
          </cell>
          <cell r="Y454">
            <v>16</v>
          </cell>
        </row>
        <row r="455">
          <cell r="U455" t="str">
            <v>L103335</v>
          </cell>
          <cell r="V455" t="str">
            <v>PFC 3KG - CAJA</v>
          </cell>
          <cell r="W455" t="str">
            <v>Ajuste</v>
          </cell>
          <cell r="X455">
            <v>6</v>
          </cell>
          <cell r="Y455">
            <v>18</v>
          </cell>
        </row>
        <row r="456">
          <cell r="U456" t="str">
            <v>L103623</v>
          </cell>
          <cell r="V456" t="str">
            <v>PFC 3KG - CAJA</v>
          </cell>
          <cell r="W456" t="str">
            <v>Ajuste</v>
          </cell>
          <cell r="X456">
            <v>12</v>
          </cell>
          <cell r="Y456">
            <v>36</v>
          </cell>
        </row>
        <row r="457">
          <cell r="U457" t="str">
            <v>L103487</v>
          </cell>
          <cell r="V457" t="str">
            <v>PH 1kg</v>
          </cell>
          <cell r="W457" t="str">
            <v>Ajuste</v>
          </cell>
          <cell r="X457">
            <v>19</v>
          </cell>
          <cell r="Y457">
            <v>19</v>
          </cell>
        </row>
        <row r="458">
          <cell r="U458" t="str">
            <v>L103717</v>
          </cell>
          <cell r="V458" t="str">
            <v>PH 1kg</v>
          </cell>
          <cell r="W458" t="str">
            <v>Ajuste</v>
          </cell>
          <cell r="X458">
            <v>5</v>
          </cell>
          <cell r="Y458">
            <v>5</v>
          </cell>
        </row>
        <row r="459">
          <cell r="U459" t="str">
            <v>L103737</v>
          </cell>
          <cell r="V459" t="str">
            <v>Pina en lata kg</v>
          </cell>
          <cell r="W459" t="str">
            <v>Ajuste</v>
          </cell>
          <cell r="X459">
            <v>1.01</v>
          </cell>
          <cell r="Y459">
            <v>1.01</v>
          </cell>
        </row>
        <row r="460">
          <cell r="U460" t="str">
            <v>L103694</v>
          </cell>
          <cell r="V460" t="str">
            <v>PLM 1kg-CAJA</v>
          </cell>
          <cell r="W460" t="str">
            <v>Ajuste</v>
          </cell>
          <cell r="X460">
            <v>1</v>
          </cell>
          <cell r="Y460">
            <v>1</v>
          </cell>
        </row>
        <row r="461">
          <cell r="U461" t="str">
            <v>L103713</v>
          </cell>
          <cell r="V461" t="str">
            <v>PNALT 3kg</v>
          </cell>
          <cell r="W461" t="str">
            <v>Ajuste</v>
          </cell>
          <cell r="X461">
            <v>1</v>
          </cell>
          <cell r="Y461">
            <v>3</v>
          </cell>
        </row>
        <row r="462">
          <cell r="U462" t="str">
            <v>L103750</v>
          </cell>
          <cell r="V462" t="str">
            <v>PRTZ UND</v>
          </cell>
          <cell r="W462" t="str">
            <v>Ajuste</v>
          </cell>
          <cell r="X462">
            <v>11</v>
          </cell>
          <cell r="Y462">
            <v>11</v>
          </cell>
        </row>
        <row r="463">
          <cell r="U463" t="str">
            <v>L102853</v>
          </cell>
          <cell r="V463" t="str">
            <v>PTD 1 kg</v>
          </cell>
          <cell r="W463" t="str">
            <v>Ajuste</v>
          </cell>
          <cell r="X463">
            <v>19</v>
          </cell>
          <cell r="Y463">
            <v>19</v>
          </cell>
        </row>
        <row r="464">
          <cell r="U464" t="str">
            <v>L102864</v>
          </cell>
          <cell r="V464" t="str">
            <v>PTD 1 kg</v>
          </cell>
          <cell r="W464" t="str">
            <v>Ajuste</v>
          </cell>
          <cell r="X464">
            <v>2</v>
          </cell>
          <cell r="Y464">
            <v>2</v>
          </cell>
        </row>
        <row r="465">
          <cell r="U465" t="str">
            <v>L102862</v>
          </cell>
          <cell r="V465" t="str">
            <v>PTD 1 kg</v>
          </cell>
          <cell r="W465" t="str">
            <v>Ajuste</v>
          </cell>
          <cell r="X465">
            <v>10</v>
          </cell>
          <cell r="Y465">
            <v>10</v>
          </cell>
        </row>
        <row r="466">
          <cell r="U466" t="str">
            <v>L102857</v>
          </cell>
          <cell r="V466" t="str">
            <v>PTD 1 kg</v>
          </cell>
          <cell r="W466" t="str">
            <v>Ajuste</v>
          </cell>
          <cell r="X466">
            <v>1</v>
          </cell>
          <cell r="Y466">
            <v>1</v>
          </cell>
        </row>
        <row r="467">
          <cell r="U467" t="str">
            <v>L102883</v>
          </cell>
          <cell r="V467" t="str">
            <v>PTD 2 kg</v>
          </cell>
          <cell r="W467" t="str">
            <v>Ajuste</v>
          </cell>
          <cell r="X467">
            <v>41</v>
          </cell>
          <cell r="Y467">
            <v>82</v>
          </cell>
        </row>
        <row r="468">
          <cell r="U468" t="str">
            <v>L103281</v>
          </cell>
          <cell r="V468" t="str">
            <v>PTM -3kg- Caja</v>
          </cell>
          <cell r="W468" t="str">
            <v>Ajuste</v>
          </cell>
          <cell r="X468">
            <v>1</v>
          </cell>
          <cell r="Y468">
            <v>3</v>
          </cell>
        </row>
        <row r="469">
          <cell r="U469" t="str">
            <v>L103718</v>
          </cell>
          <cell r="V469" t="str">
            <v>PTO 1kg</v>
          </cell>
          <cell r="W469" t="str">
            <v>Ajuste</v>
          </cell>
          <cell r="X469">
            <v>1</v>
          </cell>
          <cell r="Y469">
            <v>1</v>
          </cell>
        </row>
        <row r="470">
          <cell r="U470" t="str">
            <v>L103189</v>
          </cell>
          <cell r="V470" t="str">
            <v>PTV 2kg</v>
          </cell>
          <cell r="W470" t="str">
            <v>Ajuste</v>
          </cell>
          <cell r="X470">
            <v>7</v>
          </cell>
          <cell r="Y470">
            <v>14</v>
          </cell>
        </row>
        <row r="471">
          <cell r="U471" t="str">
            <v>L103362</v>
          </cell>
          <cell r="V471" t="str">
            <v>PTV 2kg</v>
          </cell>
          <cell r="W471" t="str">
            <v>Ajuste</v>
          </cell>
          <cell r="X471">
            <v>8</v>
          </cell>
          <cell r="Y471">
            <v>16</v>
          </cell>
        </row>
        <row r="472">
          <cell r="U472" t="str">
            <v>L103455</v>
          </cell>
          <cell r="V472" t="str">
            <v>PTV 2kg</v>
          </cell>
          <cell r="W472" t="str">
            <v>Ajuste</v>
          </cell>
          <cell r="X472">
            <v>1</v>
          </cell>
          <cell r="Y472">
            <v>2</v>
          </cell>
        </row>
        <row r="473">
          <cell r="U473" t="str">
            <v>L103527</v>
          </cell>
          <cell r="V473" t="str">
            <v>PTV 2kg</v>
          </cell>
          <cell r="W473" t="str">
            <v>Ajuste</v>
          </cell>
          <cell r="X473">
            <v>6</v>
          </cell>
          <cell r="Y473">
            <v>12</v>
          </cell>
        </row>
        <row r="474">
          <cell r="U474" t="str">
            <v>L103758</v>
          </cell>
          <cell r="V474" t="str">
            <v>PTV 5kg</v>
          </cell>
          <cell r="W474" t="str">
            <v>Ajuste</v>
          </cell>
          <cell r="X474">
            <v>304</v>
          </cell>
          <cell r="Y474">
            <v>1520</v>
          </cell>
        </row>
        <row r="475">
          <cell r="U475" t="str">
            <v>L103209</v>
          </cell>
          <cell r="V475" t="str">
            <v>QSV 1kg</v>
          </cell>
          <cell r="W475" t="str">
            <v>Ajuste</v>
          </cell>
          <cell r="X475">
            <v>321</v>
          </cell>
          <cell r="Y475">
            <v>321</v>
          </cell>
        </row>
        <row r="476">
          <cell r="U476" t="str">
            <v>L103738</v>
          </cell>
          <cell r="V476" t="str">
            <v>Remolacha kg</v>
          </cell>
          <cell r="W476" t="str">
            <v>Ajuste</v>
          </cell>
          <cell r="X476">
            <v>0.49</v>
          </cell>
          <cell r="Y476">
            <v>0.49</v>
          </cell>
        </row>
        <row r="477">
          <cell r="U477" t="str">
            <v>L103098</v>
          </cell>
          <cell r="V477" t="str">
            <v>SAL 1kg-PAQUETE</v>
          </cell>
          <cell r="W477" t="str">
            <v>Ajuste</v>
          </cell>
          <cell r="X477">
            <v>1</v>
          </cell>
          <cell r="Y477">
            <v>1</v>
          </cell>
        </row>
        <row r="478">
          <cell r="U478" t="str">
            <v>L103359</v>
          </cell>
          <cell r="V478" t="str">
            <v>SAL 1kg-PAQUETE</v>
          </cell>
          <cell r="W478" t="str">
            <v>Ajuste</v>
          </cell>
          <cell r="X478">
            <v>1</v>
          </cell>
          <cell r="Y478">
            <v>1</v>
          </cell>
        </row>
        <row r="479">
          <cell r="U479" t="str">
            <v>L103700</v>
          </cell>
          <cell r="V479" t="str">
            <v>SAL 1kg-PAQUETE</v>
          </cell>
          <cell r="W479" t="str">
            <v>Ajuste</v>
          </cell>
          <cell r="X479">
            <v>1</v>
          </cell>
          <cell r="Y479">
            <v>1</v>
          </cell>
        </row>
        <row r="480">
          <cell r="U480" t="str">
            <v>L103140</v>
          </cell>
          <cell r="V480" t="str">
            <v>SAL 2kg-PAQUETE</v>
          </cell>
          <cell r="W480" t="str">
            <v>Ajuste</v>
          </cell>
          <cell r="X480">
            <v>1</v>
          </cell>
          <cell r="Y480">
            <v>2</v>
          </cell>
        </row>
        <row r="481">
          <cell r="U481" t="str">
            <v>L103314</v>
          </cell>
          <cell r="V481" t="str">
            <v>SAL 2kg-PAQUETE</v>
          </cell>
          <cell r="W481" t="str">
            <v>Ajuste</v>
          </cell>
          <cell r="X481">
            <v>2</v>
          </cell>
          <cell r="Y481">
            <v>4</v>
          </cell>
        </row>
        <row r="482">
          <cell r="U482" t="str">
            <v>L103361</v>
          </cell>
          <cell r="V482" t="str">
            <v>SAL 2kg-PAQUETE</v>
          </cell>
          <cell r="W482" t="str">
            <v>Ajuste</v>
          </cell>
          <cell r="X482">
            <v>1</v>
          </cell>
          <cell r="Y482">
            <v>2</v>
          </cell>
        </row>
        <row r="483">
          <cell r="U483" t="str">
            <v>L103406</v>
          </cell>
          <cell r="V483" t="str">
            <v>SAL 2kg-PAQUETE</v>
          </cell>
          <cell r="W483" t="str">
            <v>Ajuste</v>
          </cell>
          <cell r="X483">
            <v>23</v>
          </cell>
          <cell r="Y483">
            <v>46</v>
          </cell>
        </row>
        <row r="484">
          <cell r="U484" t="str">
            <v>L103599</v>
          </cell>
          <cell r="V484" t="str">
            <v>SAL 2kg-PAQUETE</v>
          </cell>
          <cell r="W484" t="str">
            <v>Ajuste</v>
          </cell>
          <cell r="X484">
            <v>1</v>
          </cell>
          <cell r="Y484">
            <v>2</v>
          </cell>
        </row>
        <row r="485">
          <cell r="U485" t="str">
            <v>L103703</v>
          </cell>
          <cell r="V485" t="str">
            <v>SAV 2kg-CAJA</v>
          </cell>
          <cell r="W485" t="str">
            <v>Ajuste</v>
          </cell>
          <cell r="X485">
            <v>1</v>
          </cell>
          <cell r="Y485">
            <v>2</v>
          </cell>
        </row>
        <row r="486">
          <cell r="U486" t="str">
            <v>L103288</v>
          </cell>
          <cell r="V486" t="str">
            <v>SAV 3kg</v>
          </cell>
          <cell r="W486" t="str">
            <v>Ajuste</v>
          </cell>
          <cell r="X486">
            <v>10</v>
          </cell>
          <cell r="Y486">
            <v>30</v>
          </cell>
        </row>
        <row r="487">
          <cell r="U487" t="str">
            <v>L103282</v>
          </cell>
          <cell r="V487" t="str">
            <v>SBC 3kg</v>
          </cell>
          <cell r="W487" t="str">
            <v>Ajuste</v>
          </cell>
          <cell r="X487">
            <v>1</v>
          </cell>
          <cell r="Y487">
            <v>3</v>
          </cell>
        </row>
        <row r="488">
          <cell r="U488" t="str">
            <v>L103095</v>
          </cell>
          <cell r="V488" t="str">
            <v>SDR 2Kg-UNIDAD</v>
          </cell>
          <cell r="W488" t="str">
            <v>Ajuste</v>
          </cell>
          <cell r="X488">
            <v>12</v>
          </cell>
          <cell r="Y488">
            <v>24</v>
          </cell>
        </row>
        <row r="489">
          <cell r="U489" t="str">
            <v>L102882</v>
          </cell>
          <cell r="V489" t="str">
            <v>SDR 2Kg-UNIDAD</v>
          </cell>
          <cell r="W489" t="str">
            <v>Ajuste</v>
          </cell>
          <cell r="X489">
            <v>72</v>
          </cell>
          <cell r="Y489">
            <v>144</v>
          </cell>
        </row>
        <row r="490">
          <cell r="U490" t="str">
            <v>L103008</v>
          </cell>
          <cell r="V490" t="str">
            <v>SDR 2Kg-UNIDAD</v>
          </cell>
          <cell r="W490" t="str">
            <v>Ajuste</v>
          </cell>
          <cell r="X490">
            <v>131</v>
          </cell>
          <cell r="Y490">
            <v>262</v>
          </cell>
        </row>
        <row r="491">
          <cell r="U491" t="str">
            <v>L103726</v>
          </cell>
          <cell r="V491" t="str">
            <v>SDR 3kg-CAJA</v>
          </cell>
          <cell r="W491" t="str">
            <v>Ajuste</v>
          </cell>
          <cell r="X491">
            <v>3</v>
          </cell>
          <cell r="Y491">
            <v>9</v>
          </cell>
        </row>
        <row r="492">
          <cell r="U492" t="str">
            <v>L103278</v>
          </cell>
          <cell r="V492" t="str">
            <v>SDS 2kg</v>
          </cell>
          <cell r="W492" t="str">
            <v>Ajuste</v>
          </cell>
          <cell r="X492">
            <v>6</v>
          </cell>
          <cell r="Y492">
            <v>12</v>
          </cell>
        </row>
        <row r="493">
          <cell r="U493" t="str">
            <v>L103693</v>
          </cell>
          <cell r="V493" t="str">
            <v>SDS 2kg</v>
          </cell>
          <cell r="W493" t="str">
            <v>Ajuste</v>
          </cell>
          <cell r="X493">
            <v>4</v>
          </cell>
          <cell r="Y493">
            <v>8</v>
          </cell>
        </row>
        <row r="494">
          <cell r="U494" t="str">
            <v>L103690</v>
          </cell>
          <cell r="V494" t="str">
            <v>SNK 1.5kg-CAJA</v>
          </cell>
          <cell r="W494" t="str">
            <v>Ajuste</v>
          </cell>
          <cell r="X494">
            <v>1</v>
          </cell>
          <cell r="Y494">
            <v>1.5</v>
          </cell>
        </row>
        <row r="495">
          <cell r="U495" t="str">
            <v>L103627</v>
          </cell>
          <cell r="V495" t="str">
            <v>SNK 1Kg-CAJA</v>
          </cell>
          <cell r="W495" t="str">
            <v>Ajuste</v>
          </cell>
          <cell r="X495">
            <v>1</v>
          </cell>
          <cell r="Y495">
            <v>1</v>
          </cell>
        </row>
        <row r="496">
          <cell r="U496" t="str">
            <v>L103687</v>
          </cell>
          <cell r="V496" t="str">
            <v>SNK 1Kg-CAJA</v>
          </cell>
          <cell r="W496" t="str">
            <v>Ajuste</v>
          </cell>
          <cell r="X496">
            <v>2</v>
          </cell>
          <cell r="Y496">
            <v>2</v>
          </cell>
        </row>
        <row r="497">
          <cell r="U497" t="str">
            <v>L103696</v>
          </cell>
          <cell r="V497" t="str">
            <v>SNK 1Kg-CAJA</v>
          </cell>
          <cell r="W497" t="str">
            <v>Ajuste</v>
          </cell>
          <cell r="X497">
            <v>1</v>
          </cell>
          <cell r="Y497">
            <v>1</v>
          </cell>
        </row>
        <row r="498">
          <cell r="U498" t="str">
            <v>L103142</v>
          </cell>
          <cell r="V498" t="str">
            <v>SNK 2kg-CAJA</v>
          </cell>
          <cell r="W498" t="str">
            <v>Ajuste</v>
          </cell>
          <cell r="X498">
            <v>1</v>
          </cell>
          <cell r="Y498">
            <v>2</v>
          </cell>
        </row>
        <row r="499">
          <cell r="U499" t="str">
            <v>L103625</v>
          </cell>
          <cell r="V499" t="str">
            <v>SNK 2kg-CAJA</v>
          </cell>
          <cell r="W499" t="str">
            <v>Ajuste</v>
          </cell>
          <cell r="X499">
            <v>2</v>
          </cell>
          <cell r="Y499">
            <v>4</v>
          </cell>
        </row>
        <row r="500">
          <cell r="U500" t="str">
            <v>L103630</v>
          </cell>
          <cell r="V500" t="str">
            <v>SNK 3kg-CAJA</v>
          </cell>
          <cell r="W500" t="str">
            <v>Ajuste</v>
          </cell>
          <cell r="X500">
            <v>2</v>
          </cell>
          <cell r="Y500">
            <v>6</v>
          </cell>
        </row>
        <row r="501">
          <cell r="U501" t="str">
            <v>L103042</v>
          </cell>
          <cell r="V501" t="str">
            <v>srp 3kg - caja</v>
          </cell>
          <cell r="W501" t="str">
            <v>Ajuste</v>
          </cell>
          <cell r="X501">
            <v>3</v>
          </cell>
          <cell r="Y501">
            <v>9</v>
          </cell>
        </row>
        <row r="502">
          <cell r="U502" t="str">
            <v>L103290</v>
          </cell>
          <cell r="V502" t="str">
            <v>STM 3kg-CAJA</v>
          </cell>
          <cell r="W502" t="str">
            <v>Ajuste</v>
          </cell>
          <cell r="X502">
            <v>25</v>
          </cell>
          <cell r="Y502">
            <v>75</v>
          </cell>
        </row>
        <row r="503">
          <cell r="U503" t="str">
            <v>L103291</v>
          </cell>
          <cell r="V503" t="str">
            <v>SZD 5kg-Caja</v>
          </cell>
          <cell r="W503" t="str">
            <v>Ajuste</v>
          </cell>
          <cell r="X503">
            <v>12</v>
          </cell>
          <cell r="Y503">
            <v>60</v>
          </cell>
        </row>
        <row r="504">
          <cell r="U504" t="str">
            <v>L103755</v>
          </cell>
          <cell r="V504" t="str">
            <v>TCN 6KG-CAJA</v>
          </cell>
          <cell r="W504" t="str">
            <v>Ajuste</v>
          </cell>
          <cell r="X504">
            <v>50</v>
          </cell>
          <cell r="Y504">
            <v>300</v>
          </cell>
        </row>
        <row r="505">
          <cell r="U505" t="str">
            <v>L103695</v>
          </cell>
          <cell r="V505" t="str">
            <v>TE 1kg-CAJA</v>
          </cell>
          <cell r="W505" t="str">
            <v>Ajuste</v>
          </cell>
          <cell r="X505">
            <v>1</v>
          </cell>
          <cell r="Y505">
            <v>1</v>
          </cell>
        </row>
        <row r="506">
          <cell r="U506" t="str">
            <v>L103740</v>
          </cell>
          <cell r="V506" t="str">
            <v>Vegetales mixtos kg</v>
          </cell>
          <cell r="W506" t="str">
            <v>Ajuste</v>
          </cell>
          <cell r="X506">
            <v>2.37</v>
          </cell>
          <cell r="Y506">
            <v>2.37</v>
          </cell>
        </row>
        <row r="507">
          <cell r="U507" t="str">
            <v>L103435</v>
          </cell>
          <cell r="V507" t="str">
            <v>VM 3kg-CAJA</v>
          </cell>
          <cell r="W507" t="str">
            <v>Ajuste</v>
          </cell>
          <cell r="X507">
            <v>1</v>
          </cell>
          <cell r="Y507">
            <v>3</v>
          </cell>
        </row>
        <row r="508">
          <cell r="U508" t="str">
            <v>L103466</v>
          </cell>
          <cell r="V508" t="str">
            <v>VM 3kg-CAJA</v>
          </cell>
          <cell r="W508" t="str">
            <v>Ajuste</v>
          </cell>
          <cell r="X508">
            <v>3</v>
          </cell>
          <cell r="Y508">
            <v>9</v>
          </cell>
        </row>
        <row r="509">
          <cell r="U509" t="str">
            <v>L103519</v>
          </cell>
          <cell r="V509" t="str">
            <v>VM 3kg-CAJA</v>
          </cell>
          <cell r="W509" t="str">
            <v>Ajuste</v>
          </cell>
          <cell r="X509">
            <v>4</v>
          </cell>
          <cell r="Y509">
            <v>12</v>
          </cell>
        </row>
        <row r="510">
          <cell r="U510" t="str">
            <v>L103704</v>
          </cell>
          <cell r="V510" t="str">
            <v>VM 3kg-CAJA</v>
          </cell>
          <cell r="W510" t="str">
            <v>Ajuste</v>
          </cell>
          <cell r="X510">
            <v>1</v>
          </cell>
          <cell r="Y510">
            <v>3</v>
          </cell>
        </row>
        <row r="511">
          <cell r="U511" t="str">
            <v>L103716</v>
          </cell>
          <cell r="V511" t="str">
            <v>VM 5kg-CAJA</v>
          </cell>
          <cell r="W511" t="str">
            <v>Ajuste</v>
          </cell>
          <cell r="X511">
            <v>4</v>
          </cell>
          <cell r="Y511">
            <v>20</v>
          </cell>
        </row>
        <row r="512">
          <cell r="U512" t="str">
            <v>L103429</v>
          </cell>
          <cell r="V512" t="str">
            <v>VNG 3KG</v>
          </cell>
          <cell r="W512" t="str">
            <v>Ajuste</v>
          </cell>
          <cell r="X512">
            <v>2</v>
          </cell>
          <cell r="Y512">
            <v>6</v>
          </cell>
        </row>
        <row r="513">
          <cell r="U513" t="str">
            <v>L104251</v>
          </cell>
          <cell r="V513" t="str">
            <v>ACE 1500ml-Unidad</v>
          </cell>
          <cell r="W513" t="str">
            <v>Ajuste</v>
          </cell>
          <cell r="X513">
            <v>4</v>
          </cell>
          <cell r="Y513">
            <v>6</v>
          </cell>
        </row>
        <row r="514">
          <cell r="U514" t="str">
            <v>L104873</v>
          </cell>
          <cell r="V514" t="str">
            <v>ACE 1500ml-Unidad</v>
          </cell>
          <cell r="W514" t="str">
            <v>Ajuste</v>
          </cell>
          <cell r="X514">
            <v>24</v>
          </cell>
          <cell r="Y514">
            <v>36</v>
          </cell>
        </row>
        <row r="515">
          <cell r="U515" t="str">
            <v>L104873</v>
          </cell>
          <cell r="V515" t="str">
            <v>PV ACE 1500ml</v>
          </cell>
          <cell r="W515" t="str">
            <v>Ajuste</v>
          </cell>
          <cell r="X515">
            <v>2</v>
          </cell>
          <cell r="Y515">
            <v>3</v>
          </cell>
        </row>
        <row r="516">
          <cell r="U516" t="str">
            <v>L104872</v>
          </cell>
          <cell r="V516" t="str">
            <v>ACE 1x450ml</v>
          </cell>
          <cell r="W516" t="str">
            <v>Ajuste</v>
          </cell>
          <cell r="X516">
            <v>814</v>
          </cell>
          <cell r="Y516">
            <v>366.2999999999995</v>
          </cell>
        </row>
        <row r="517">
          <cell r="U517" t="str">
            <v>L104872</v>
          </cell>
          <cell r="V517" t="str">
            <v>PV ACE 1x450ml</v>
          </cell>
          <cell r="W517" t="str">
            <v>Ajuste</v>
          </cell>
          <cell r="X517">
            <v>224</v>
          </cell>
          <cell r="Y517">
            <v>100.80000000000001</v>
          </cell>
        </row>
        <row r="518">
          <cell r="U518" t="str">
            <v>L104874</v>
          </cell>
          <cell r="V518" t="str">
            <v>ACE 1x950ml</v>
          </cell>
          <cell r="W518" t="str">
            <v>Ajuste</v>
          </cell>
          <cell r="X518">
            <v>168</v>
          </cell>
          <cell r="Y518">
            <v>159.59999999999971</v>
          </cell>
        </row>
        <row r="519">
          <cell r="U519" t="str">
            <v>L104874</v>
          </cell>
          <cell r="V519" t="str">
            <v>PV ACE 1x950ml</v>
          </cell>
          <cell r="W519" t="str">
            <v>Ajuste</v>
          </cell>
          <cell r="X519">
            <v>28</v>
          </cell>
          <cell r="Y519">
            <v>26.599999999999991</v>
          </cell>
        </row>
        <row r="520">
          <cell r="U520" t="str">
            <v>L104916</v>
          </cell>
          <cell r="V520" t="str">
            <v>ACT 3kg</v>
          </cell>
          <cell r="W520" t="str">
            <v>Ajuste</v>
          </cell>
          <cell r="X520">
            <v>9</v>
          </cell>
          <cell r="Y520">
            <v>27</v>
          </cell>
        </row>
        <row r="521">
          <cell r="U521" t="str">
            <v>L103781</v>
          </cell>
          <cell r="V521" t="str">
            <v>ACT 5kg</v>
          </cell>
          <cell r="W521" t="str">
            <v>Ajuste</v>
          </cell>
          <cell r="X521">
            <v>2</v>
          </cell>
          <cell r="Y521">
            <v>10</v>
          </cell>
        </row>
        <row r="522">
          <cell r="U522" t="str">
            <v>L104068</v>
          </cell>
          <cell r="V522" t="str">
            <v>ADP 2Kg</v>
          </cell>
          <cell r="W522" t="str">
            <v>Ajuste</v>
          </cell>
          <cell r="X522">
            <v>5</v>
          </cell>
          <cell r="Y522">
            <v>10</v>
          </cell>
        </row>
        <row r="523">
          <cell r="U523" t="str">
            <v>L104666</v>
          </cell>
          <cell r="V523" t="str">
            <v>ADP 3kg</v>
          </cell>
          <cell r="W523" t="str">
            <v>Ajuste</v>
          </cell>
          <cell r="X523">
            <v>4</v>
          </cell>
          <cell r="Y523">
            <v>12</v>
          </cell>
        </row>
        <row r="524">
          <cell r="U524" t="str">
            <v>L103965</v>
          </cell>
          <cell r="V524" t="str">
            <v>AGU 12X355ml - CAJA</v>
          </cell>
          <cell r="W524" t="str">
            <v>Ajuste</v>
          </cell>
          <cell r="X524">
            <v>60</v>
          </cell>
          <cell r="Y524">
            <v>255.59999999999997</v>
          </cell>
        </row>
        <row r="525">
          <cell r="U525" t="str">
            <v>L103963</v>
          </cell>
          <cell r="V525" t="str">
            <v>AGU 15x1L-CAJA</v>
          </cell>
          <cell r="W525" t="str">
            <v>Ajuste</v>
          </cell>
          <cell r="X525">
            <v>128</v>
          </cell>
          <cell r="Y525">
            <v>1920</v>
          </cell>
        </row>
        <row r="526">
          <cell r="U526" t="str">
            <v>L103962</v>
          </cell>
          <cell r="V526" t="str">
            <v>AGU 20X600ml-CAJA</v>
          </cell>
          <cell r="W526" t="str">
            <v>Ajuste</v>
          </cell>
          <cell r="X526">
            <v>196</v>
          </cell>
          <cell r="Y526">
            <v>2352</v>
          </cell>
        </row>
        <row r="527">
          <cell r="U527" t="str">
            <v>L103960</v>
          </cell>
          <cell r="V527" t="str">
            <v>AGU 4x1gal-CAJA</v>
          </cell>
          <cell r="W527" t="str">
            <v>Ajuste</v>
          </cell>
          <cell r="X527">
            <v>240</v>
          </cell>
          <cell r="Y527">
            <v>3633.5999999999995</v>
          </cell>
        </row>
        <row r="528">
          <cell r="U528" t="str">
            <v>L103961</v>
          </cell>
          <cell r="V528" t="str">
            <v>AGU 4X5L-CAJA</v>
          </cell>
          <cell r="W528" t="str">
            <v>Ajuste</v>
          </cell>
          <cell r="X528">
            <v>102</v>
          </cell>
          <cell r="Y528">
            <v>2040</v>
          </cell>
        </row>
        <row r="529">
          <cell r="U529" t="str">
            <v>L103964</v>
          </cell>
          <cell r="V529" t="str">
            <v>AGU 6X2L-CAJA</v>
          </cell>
          <cell r="W529" t="str">
            <v>Ajuste</v>
          </cell>
          <cell r="X529">
            <v>20</v>
          </cell>
          <cell r="Y529">
            <v>240</v>
          </cell>
        </row>
        <row r="530">
          <cell r="U530" t="str">
            <v>L104427</v>
          </cell>
          <cell r="V530" t="str">
            <v>AMIS 2kg</v>
          </cell>
          <cell r="W530" t="str">
            <v>Ajuste</v>
          </cell>
          <cell r="X530">
            <v>10</v>
          </cell>
          <cell r="Y530">
            <v>20</v>
          </cell>
        </row>
        <row r="531">
          <cell r="U531" t="str">
            <v>L104656</v>
          </cell>
          <cell r="V531" t="str">
            <v>APG 2.5kg</v>
          </cell>
          <cell r="W531" t="str">
            <v>Ajuste</v>
          </cell>
          <cell r="X531">
            <v>11</v>
          </cell>
          <cell r="Y531">
            <v>27.5</v>
          </cell>
        </row>
        <row r="532">
          <cell r="U532" t="str">
            <v>L104439</v>
          </cell>
          <cell r="V532" t="str">
            <v>APP 2Kg</v>
          </cell>
          <cell r="W532" t="str">
            <v>Ajuste</v>
          </cell>
          <cell r="X532">
            <v>14</v>
          </cell>
          <cell r="Y532">
            <v>28</v>
          </cell>
        </row>
        <row r="533">
          <cell r="U533" t="str">
            <v>L104917</v>
          </cell>
          <cell r="V533" t="str">
            <v>APV 3Kg</v>
          </cell>
          <cell r="W533" t="str">
            <v>Ajuste</v>
          </cell>
          <cell r="X533">
            <v>10</v>
          </cell>
          <cell r="Y533">
            <v>30</v>
          </cell>
        </row>
        <row r="534">
          <cell r="U534" t="str">
            <v>L104917</v>
          </cell>
          <cell r="V534" t="str">
            <v>PV SNK 5kg-CAJA</v>
          </cell>
          <cell r="W534" t="str">
            <v>Ajuste</v>
          </cell>
          <cell r="X534">
            <v>40</v>
          </cell>
          <cell r="Y534">
            <v>200</v>
          </cell>
        </row>
        <row r="535">
          <cell r="U535" t="str">
            <v>L104629</v>
          </cell>
          <cell r="V535" t="str">
            <v>ARPG 9Kg</v>
          </cell>
          <cell r="W535" t="str">
            <v>Ajuste</v>
          </cell>
          <cell r="X535">
            <v>57</v>
          </cell>
          <cell r="Y535">
            <v>513</v>
          </cell>
        </row>
        <row r="536">
          <cell r="U536" t="str">
            <v>L103823</v>
          </cell>
          <cell r="V536" t="str">
            <v>Arroz kg</v>
          </cell>
          <cell r="W536" t="str">
            <v>Ajuste</v>
          </cell>
          <cell r="X536">
            <v>30</v>
          </cell>
          <cell r="Y536">
            <v>30</v>
          </cell>
        </row>
        <row r="537">
          <cell r="U537" t="str">
            <v>L104580</v>
          </cell>
          <cell r="V537" t="str">
            <v>Arroz kg</v>
          </cell>
          <cell r="W537" t="str">
            <v>Ajuste</v>
          </cell>
          <cell r="X537">
            <v>46</v>
          </cell>
          <cell r="Y537">
            <v>46</v>
          </cell>
        </row>
        <row r="538">
          <cell r="U538" t="str">
            <v>L104926</v>
          </cell>
          <cell r="V538" t="str">
            <v>ARTVARHOG kg</v>
          </cell>
          <cell r="W538" t="str">
            <v>Ajuste</v>
          </cell>
          <cell r="X538">
            <v>4</v>
          </cell>
          <cell r="Y538">
            <v>4</v>
          </cell>
        </row>
        <row r="539">
          <cell r="U539" t="str">
            <v>L103869</v>
          </cell>
          <cell r="V539" t="str">
            <v>ARZ 2 kg-Unidad</v>
          </cell>
          <cell r="W539" t="str">
            <v>Ajuste</v>
          </cell>
          <cell r="X539">
            <v>12</v>
          </cell>
          <cell r="Y539">
            <v>24</v>
          </cell>
        </row>
        <row r="540">
          <cell r="U540" t="str">
            <v>L104046</v>
          </cell>
          <cell r="V540" t="str">
            <v>ARZ 2 kg-Unidad</v>
          </cell>
          <cell r="W540" t="str">
            <v>Ajuste</v>
          </cell>
          <cell r="X540">
            <v>156</v>
          </cell>
          <cell r="Y540">
            <v>312</v>
          </cell>
        </row>
        <row r="541">
          <cell r="U541" t="str">
            <v>L104250</v>
          </cell>
          <cell r="V541" t="str">
            <v>ARZ 4.2 kg-Unidad</v>
          </cell>
          <cell r="W541" t="str">
            <v>Ajuste</v>
          </cell>
          <cell r="X541">
            <v>11</v>
          </cell>
          <cell r="Y541">
            <v>46.2</v>
          </cell>
        </row>
        <row r="542">
          <cell r="U542" t="str">
            <v>L104566</v>
          </cell>
          <cell r="V542" t="str">
            <v>ARZ 5Kg</v>
          </cell>
          <cell r="W542" t="str">
            <v>Ajuste</v>
          </cell>
          <cell r="X542">
            <v>4</v>
          </cell>
          <cell r="Y542">
            <v>20</v>
          </cell>
        </row>
        <row r="543">
          <cell r="U543" t="str">
            <v>L104566</v>
          </cell>
          <cell r="V543" t="str">
            <v>ARZ AY 5Kg</v>
          </cell>
          <cell r="W543" t="str">
            <v>Ajuste</v>
          </cell>
          <cell r="X543">
            <v>2</v>
          </cell>
          <cell r="Y543">
            <v>10</v>
          </cell>
        </row>
        <row r="544">
          <cell r="U544" t="str">
            <v>L104566</v>
          </cell>
          <cell r="V544" t="str">
            <v>ARZ AY 5Kg</v>
          </cell>
          <cell r="W544" t="str">
            <v>Mal Ingreso</v>
          </cell>
          <cell r="X544">
            <v>2</v>
          </cell>
          <cell r="Y544">
            <v>10</v>
          </cell>
        </row>
        <row r="545">
          <cell r="U545" t="str">
            <v>L104566</v>
          </cell>
          <cell r="V545" t="str">
            <v>PV ARZ 5Kg</v>
          </cell>
          <cell r="W545" t="str">
            <v>Ajuste</v>
          </cell>
          <cell r="X545">
            <v>114</v>
          </cell>
          <cell r="Y545">
            <v>570</v>
          </cell>
        </row>
        <row r="546">
          <cell r="U546" t="str">
            <v>l104760</v>
          </cell>
          <cell r="V546" t="str">
            <v>ARZ 5Kg</v>
          </cell>
          <cell r="W546" t="str">
            <v>Ajuste</v>
          </cell>
          <cell r="X546">
            <v>170</v>
          </cell>
          <cell r="Y546">
            <v>850</v>
          </cell>
        </row>
        <row r="547">
          <cell r="U547" t="str">
            <v>l104760</v>
          </cell>
          <cell r="V547" t="str">
            <v>PV ARZ 5Kg</v>
          </cell>
          <cell r="W547" t="str">
            <v>Ajuste</v>
          </cell>
          <cell r="X547">
            <v>24</v>
          </cell>
          <cell r="Y547">
            <v>120</v>
          </cell>
        </row>
        <row r="548">
          <cell r="U548" t="str">
            <v>L103783</v>
          </cell>
          <cell r="V548" t="str">
            <v>ARZ 5Kg</v>
          </cell>
          <cell r="W548" t="str">
            <v>Ajuste</v>
          </cell>
          <cell r="X548">
            <v>282</v>
          </cell>
          <cell r="Y548">
            <v>1410</v>
          </cell>
        </row>
        <row r="549">
          <cell r="U549" t="str">
            <v>L104213</v>
          </cell>
          <cell r="V549" t="str">
            <v>ARZ 5Kg</v>
          </cell>
          <cell r="W549" t="str">
            <v>Ajuste</v>
          </cell>
          <cell r="X549">
            <v>314</v>
          </cell>
          <cell r="Y549">
            <v>1570</v>
          </cell>
        </row>
        <row r="550">
          <cell r="U550" t="str">
            <v>L104465</v>
          </cell>
          <cell r="V550" t="str">
            <v>ARZ 5Kg</v>
          </cell>
          <cell r="W550" t="str">
            <v>Ajuste</v>
          </cell>
          <cell r="X550">
            <v>208</v>
          </cell>
          <cell r="Y550">
            <v>1040</v>
          </cell>
        </row>
        <row r="551">
          <cell r="U551" t="str">
            <v>L104266</v>
          </cell>
          <cell r="V551" t="str">
            <v>ARZEPF 5kg (CAJA)</v>
          </cell>
          <cell r="W551" t="str">
            <v>Ajuste</v>
          </cell>
          <cell r="X551">
            <v>1332</v>
          </cell>
          <cell r="Y551">
            <v>6660</v>
          </cell>
        </row>
        <row r="552">
          <cell r="U552" t="str">
            <v>L104064</v>
          </cell>
          <cell r="V552" t="str">
            <v>ARZEPF14kg (CAJA)</v>
          </cell>
          <cell r="W552" t="str">
            <v>Ajuste</v>
          </cell>
          <cell r="X552">
            <v>216</v>
          </cell>
          <cell r="Y552">
            <v>3024</v>
          </cell>
        </row>
        <row r="553">
          <cell r="U553" t="str">
            <v>L104064</v>
          </cell>
          <cell r="V553" t="str">
            <v>DIV ARZEPF14kg</v>
          </cell>
          <cell r="W553" t="str">
            <v>Ajuste</v>
          </cell>
          <cell r="X553">
            <v>72</v>
          </cell>
          <cell r="Y553">
            <v>1008</v>
          </cell>
        </row>
        <row r="554">
          <cell r="U554" t="str">
            <v>L104652</v>
          </cell>
          <cell r="V554" t="str">
            <v>ATN 1kg-CAJA</v>
          </cell>
          <cell r="W554" t="str">
            <v>Ajuste</v>
          </cell>
          <cell r="X554">
            <v>24</v>
          </cell>
          <cell r="Y554">
            <v>24</v>
          </cell>
        </row>
        <row r="555">
          <cell r="U555" t="str">
            <v>L104584</v>
          </cell>
          <cell r="V555" t="str">
            <v>ATN 5kg-CAJA</v>
          </cell>
          <cell r="W555" t="str">
            <v>Ajuste</v>
          </cell>
          <cell r="X555">
            <v>2</v>
          </cell>
          <cell r="Y555">
            <v>10</v>
          </cell>
        </row>
        <row r="556">
          <cell r="U556" t="str">
            <v>L104693</v>
          </cell>
          <cell r="V556" t="str">
            <v>ATN 5kg-CAJA</v>
          </cell>
          <cell r="W556" t="str">
            <v>Ajuste</v>
          </cell>
          <cell r="X556">
            <v>4</v>
          </cell>
          <cell r="Y556">
            <v>20</v>
          </cell>
        </row>
        <row r="557">
          <cell r="U557" t="str">
            <v>L103787</v>
          </cell>
          <cell r="V557" t="str">
            <v>AZC 1kg-PAQUETE</v>
          </cell>
          <cell r="W557" t="str">
            <v>Ajuste</v>
          </cell>
          <cell r="X557">
            <v>156</v>
          </cell>
          <cell r="Y557">
            <v>156</v>
          </cell>
        </row>
        <row r="558">
          <cell r="U558" t="str">
            <v>L104047</v>
          </cell>
          <cell r="V558" t="str">
            <v>AZC 2kg-PAQUETE</v>
          </cell>
          <cell r="W558" t="str">
            <v>Ajuste</v>
          </cell>
          <cell r="X558">
            <v>115</v>
          </cell>
          <cell r="Y558">
            <v>230</v>
          </cell>
        </row>
        <row r="559">
          <cell r="U559" t="str">
            <v>L104480</v>
          </cell>
          <cell r="V559" t="str">
            <v>AZC 2kg-PAQUETE</v>
          </cell>
          <cell r="W559" t="str">
            <v>Ajuste</v>
          </cell>
          <cell r="X559">
            <v>189</v>
          </cell>
          <cell r="Y559">
            <v>378</v>
          </cell>
        </row>
        <row r="560">
          <cell r="U560" t="str">
            <v>L104643</v>
          </cell>
          <cell r="V560" t="str">
            <v>AZC 2kg-PAQUETE</v>
          </cell>
          <cell r="W560" t="str">
            <v>Ajuste</v>
          </cell>
          <cell r="X560">
            <v>60</v>
          </cell>
          <cell r="Y560">
            <v>120</v>
          </cell>
        </row>
        <row r="561">
          <cell r="U561" t="str">
            <v>L104764</v>
          </cell>
          <cell r="V561" t="str">
            <v>AZC 2kg-PAQUETE</v>
          </cell>
          <cell r="W561" t="str">
            <v>Ajuste</v>
          </cell>
          <cell r="X561">
            <v>104</v>
          </cell>
          <cell r="Y561">
            <v>208</v>
          </cell>
        </row>
        <row r="562">
          <cell r="U562" t="str">
            <v>L104892</v>
          </cell>
          <cell r="V562" t="str">
            <v>AZC 2kg-PAQUETE</v>
          </cell>
          <cell r="W562" t="str">
            <v>Ajuste</v>
          </cell>
          <cell r="X562">
            <v>177</v>
          </cell>
          <cell r="Y562">
            <v>354</v>
          </cell>
        </row>
        <row r="563">
          <cell r="U563" t="str">
            <v>L104242</v>
          </cell>
          <cell r="V563" t="str">
            <v>BASP 2kg</v>
          </cell>
          <cell r="W563" t="str">
            <v>Ajuste</v>
          </cell>
          <cell r="X563">
            <v>56</v>
          </cell>
          <cell r="Y563">
            <v>140</v>
          </cell>
        </row>
        <row r="564">
          <cell r="U564" t="str">
            <v>L104255</v>
          </cell>
          <cell r="V564" t="str">
            <v>BASP 5kg</v>
          </cell>
          <cell r="W564" t="str">
            <v>Ajuste</v>
          </cell>
          <cell r="X564">
            <v>14</v>
          </cell>
          <cell r="Y564">
            <v>70</v>
          </cell>
        </row>
        <row r="565">
          <cell r="U565" t="str">
            <v>L103194</v>
          </cell>
          <cell r="V565" t="str">
            <v>BASP 5kg</v>
          </cell>
          <cell r="W565" t="str">
            <v>Ajuste</v>
          </cell>
          <cell r="X565">
            <v>1</v>
          </cell>
          <cell r="Y565">
            <v>5</v>
          </cell>
        </row>
        <row r="566">
          <cell r="U566" t="str">
            <v>L103922</v>
          </cell>
          <cell r="V566" t="str">
            <v>BASPAY 5kg</v>
          </cell>
          <cell r="W566" t="str">
            <v>Ajuste</v>
          </cell>
          <cell r="X566">
            <v>132</v>
          </cell>
          <cell r="Y566">
            <v>660</v>
          </cell>
        </row>
        <row r="567">
          <cell r="U567" t="str">
            <v>L104622</v>
          </cell>
          <cell r="V567" t="str">
            <v>BEN 24x473mL-CAJA</v>
          </cell>
          <cell r="W567" t="str">
            <v>Ajuste</v>
          </cell>
          <cell r="X567">
            <v>134</v>
          </cell>
          <cell r="Y567">
            <v>1520.9000000000003</v>
          </cell>
        </row>
        <row r="568">
          <cell r="U568" t="str">
            <v>L104624</v>
          </cell>
          <cell r="V568" t="str">
            <v>BEN 2kg</v>
          </cell>
          <cell r="W568" t="str">
            <v>Ajuste</v>
          </cell>
          <cell r="X568">
            <v>270</v>
          </cell>
          <cell r="Y568">
            <v>540</v>
          </cell>
        </row>
        <row r="569">
          <cell r="U569" t="str">
            <v>L103848</v>
          </cell>
          <cell r="V569" t="str">
            <v>BPB 1Kg-UNIDAD</v>
          </cell>
          <cell r="W569" t="str">
            <v>Ajuste</v>
          </cell>
          <cell r="X569">
            <v>2</v>
          </cell>
          <cell r="Y569">
            <v>2</v>
          </cell>
        </row>
        <row r="570">
          <cell r="U570" t="str">
            <v>L104157</v>
          </cell>
          <cell r="V570" t="str">
            <v>BPB 1Kg-UNIDAD</v>
          </cell>
          <cell r="W570" t="str">
            <v>Ajuste</v>
          </cell>
          <cell r="X570">
            <v>34</v>
          </cell>
          <cell r="Y570">
            <v>34</v>
          </cell>
        </row>
        <row r="571">
          <cell r="U571" t="str">
            <v>L104502</v>
          </cell>
          <cell r="V571" t="str">
            <v>BPB 1Kg-UNIDAD</v>
          </cell>
          <cell r="W571" t="str">
            <v>Ajuste</v>
          </cell>
          <cell r="X571">
            <v>4</v>
          </cell>
          <cell r="Y571">
            <v>4</v>
          </cell>
        </row>
        <row r="572">
          <cell r="U572" t="str">
            <v>L104605</v>
          </cell>
          <cell r="V572" t="str">
            <v>BPB 1Kg-UNIDAD</v>
          </cell>
          <cell r="W572" t="str">
            <v>Ajuste</v>
          </cell>
          <cell r="X572">
            <v>28</v>
          </cell>
          <cell r="Y572">
            <v>28</v>
          </cell>
        </row>
        <row r="573">
          <cell r="U573" t="str">
            <v>L104651</v>
          </cell>
          <cell r="V573" t="str">
            <v>BPB 1Kg-UNIDAD</v>
          </cell>
          <cell r="W573" t="str">
            <v>Ajuste</v>
          </cell>
          <cell r="X573">
            <v>24</v>
          </cell>
          <cell r="Y573">
            <v>24</v>
          </cell>
        </row>
        <row r="574">
          <cell r="U574" t="str">
            <v>L104763</v>
          </cell>
          <cell r="V574" t="str">
            <v>BPB 1Kg-UNIDAD</v>
          </cell>
          <cell r="W574" t="str">
            <v>Ajuste</v>
          </cell>
          <cell r="X574">
            <v>14</v>
          </cell>
          <cell r="Y574">
            <v>14</v>
          </cell>
        </row>
        <row r="575">
          <cell r="U575" t="str">
            <v>L104503</v>
          </cell>
          <cell r="V575" t="str">
            <v>BPB 3Kg-UNIDAD</v>
          </cell>
          <cell r="W575" t="str">
            <v>Ajuste</v>
          </cell>
          <cell r="X575">
            <v>6</v>
          </cell>
          <cell r="Y575">
            <v>18</v>
          </cell>
        </row>
        <row r="576">
          <cell r="U576" t="str">
            <v>L103801</v>
          </cell>
          <cell r="V576" t="str">
            <v>BPV 5kg</v>
          </cell>
          <cell r="W576" t="str">
            <v>Ajuste</v>
          </cell>
          <cell r="X576">
            <v>26</v>
          </cell>
          <cell r="Y576">
            <v>130</v>
          </cell>
        </row>
        <row r="577">
          <cell r="U577" t="str">
            <v>L103867</v>
          </cell>
          <cell r="V577" t="str">
            <v>BPV 5kg</v>
          </cell>
          <cell r="W577" t="str">
            <v>Ajuste</v>
          </cell>
          <cell r="X577">
            <v>48</v>
          </cell>
          <cell r="Y577">
            <v>240</v>
          </cell>
        </row>
        <row r="578">
          <cell r="U578" t="str">
            <v>L104049</v>
          </cell>
          <cell r="V578" t="str">
            <v>BPV 5kg</v>
          </cell>
          <cell r="W578" t="str">
            <v>Ajuste</v>
          </cell>
          <cell r="X578">
            <v>6</v>
          </cell>
          <cell r="Y578">
            <v>30</v>
          </cell>
        </row>
        <row r="579">
          <cell r="U579" t="str">
            <v>L104050</v>
          </cell>
          <cell r="V579" t="str">
            <v>BPV 5kg</v>
          </cell>
          <cell r="W579" t="str">
            <v>Ajuste</v>
          </cell>
          <cell r="X579">
            <v>4</v>
          </cell>
          <cell r="Y579">
            <v>20</v>
          </cell>
        </row>
        <row r="580">
          <cell r="U580" t="str">
            <v>L104051</v>
          </cell>
          <cell r="V580" t="str">
            <v>BPV 5kg</v>
          </cell>
          <cell r="W580" t="str">
            <v>Ajuste</v>
          </cell>
          <cell r="X580">
            <v>4</v>
          </cell>
          <cell r="Y580">
            <v>20</v>
          </cell>
        </row>
        <row r="581">
          <cell r="U581" t="str">
            <v>L104052</v>
          </cell>
          <cell r="V581" t="str">
            <v>BPV 5kg</v>
          </cell>
          <cell r="W581" t="str">
            <v>Ajuste</v>
          </cell>
          <cell r="X581">
            <v>4</v>
          </cell>
          <cell r="Y581">
            <v>20</v>
          </cell>
        </row>
        <row r="582">
          <cell r="U582" t="str">
            <v>L104053</v>
          </cell>
          <cell r="V582" t="str">
            <v>BPV 5kg</v>
          </cell>
          <cell r="W582" t="str">
            <v>Ajuste</v>
          </cell>
          <cell r="X582">
            <v>2</v>
          </cell>
          <cell r="Y582">
            <v>10</v>
          </cell>
        </row>
        <row r="583">
          <cell r="U583" t="str">
            <v>L104054</v>
          </cell>
          <cell r="V583" t="str">
            <v>BPV 5kg</v>
          </cell>
          <cell r="W583" t="str">
            <v>Ajuste</v>
          </cell>
          <cell r="X583">
            <v>2</v>
          </cell>
          <cell r="Y583">
            <v>10</v>
          </cell>
        </row>
        <row r="584">
          <cell r="U584" t="str">
            <v>L104091</v>
          </cell>
          <cell r="V584" t="str">
            <v>BPV 5kg</v>
          </cell>
          <cell r="W584" t="str">
            <v>Ajuste</v>
          </cell>
          <cell r="X584">
            <v>18</v>
          </cell>
          <cell r="Y584">
            <v>90</v>
          </cell>
        </row>
        <row r="585">
          <cell r="U585" t="str">
            <v>L104252</v>
          </cell>
          <cell r="V585" t="str">
            <v>BPV 5kg</v>
          </cell>
          <cell r="W585" t="str">
            <v>Ajuste</v>
          </cell>
          <cell r="X585">
            <v>6</v>
          </cell>
          <cell r="Y585">
            <v>30</v>
          </cell>
        </row>
        <row r="586">
          <cell r="U586" t="str">
            <v>L104406</v>
          </cell>
          <cell r="V586" t="str">
            <v>BPV 5kg</v>
          </cell>
          <cell r="W586" t="str">
            <v>Ajuste</v>
          </cell>
          <cell r="X586">
            <v>8</v>
          </cell>
          <cell r="Y586">
            <v>40</v>
          </cell>
        </row>
        <row r="587">
          <cell r="U587" t="str">
            <v>L104608</v>
          </cell>
          <cell r="V587" t="str">
            <v>BPV 5kg</v>
          </cell>
          <cell r="W587" t="str">
            <v>Ajuste</v>
          </cell>
          <cell r="X587">
            <v>10</v>
          </cell>
          <cell r="Y587">
            <v>50</v>
          </cell>
        </row>
        <row r="588">
          <cell r="U588" t="str">
            <v>L104645</v>
          </cell>
          <cell r="V588" t="str">
            <v>BPV 5kg</v>
          </cell>
          <cell r="W588" t="str">
            <v>Ajuste</v>
          </cell>
          <cell r="X588">
            <v>2</v>
          </cell>
          <cell r="Y588">
            <v>10</v>
          </cell>
        </row>
        <row r="589">
          <cell r="U589" t="str">
            <v>L104646</v>
          </cell>
          <cell r="V589" t="str">
            <v>BPV 5kg</v>
          </cell>
          <cell r="W589" t="str">
            <v>Ajuste</v>
          </cell>
          <cell r="X589">
            <v>2</v>
          </cell>
          <cell r="Y589">
            <v>10</v>
          </cell>
        </row>
        <row r="590">
          <cell r="U590" t="str">
            <v>L104694</v>
          </cell>
          <cell r="V590" t="str">
            <v>BPV 5kg</v>
          </cell>
          <cell r="W590" t="str">
            <v>Ajuste</v>
          </cell>
          <cell r="X590">
            <v>2</v>
          </cell>
          <cell r="Y590">
            <v>10</v>
          </cell>
        </row>
        <row r="591">
          <cell r="U591" t="str">
            <v>L104735</v>
          </cell>
          <cell r="V591" t="str">
            <v>BPV 5kg</v>
          </cell>
          <cell r="W591" t="str">
            <v>Ajuste</v>
          </cell>
          <cell r="X591">
            <v>14</v>
          </cell>
          <cell r="Y591">
            <v>70</v>
          </cell>
        </row>
        <row r="592">
          <cell r="U592" t="str">
            <v>L104823</v>
          </cell>
          <cell r="V592" t="str">
            <v>BPV 5kg</v>
          </cell>
          <cell r="W592" t="str">
            <v>Ajuste</v>
          </cell>
          <cell r="X592">
            <v>16</v>
          </cell>
          <cell r="Y592">
            <v>80</v>
          </cell>
        </row>
        <row r="593">
          <cell r="U593" t="str">
            <v>L103917</v>
          </cell>
          <cell r="V593" t="str">
            <v>BPVAY 10kg</v>
          </cell>
          <cell r="W593" t="str">
            <v>Ajuste</v>
          </cell>
          <cell r="X593">
            <v>132</v>
          </cell>
          <cell r="Y593">
            <v>1320</v>
          </cell>
        </row>
        <row r="594">
          <cell r="U594" t="str">
            <v>L104481</v>
          </cell>
          <cell r="V594" t="str">
            <v>BRDP 2Kg</v>
          </cell>
          <cell r="W594" t="str">
            <v>Ajuste</v>
          </cell>
          <cell r="X594">
            <v>28</v>
          </cell>
          <cell r="Y594">
            <v>56</v>
          </cell>
        </row>
        <row r="595">
          <cell r="U595" t="str">
            <v>L104337</v>
          </cell>
          <cell r="V595" t="str">
            <v>CEDV 5kg</v>
          </cell>
          <cell r="W595" t="str">
            <v>Ajuste</v>
          </cell>
          <cell r="X595">
            <v>6</v>
          </cell>
          <cell r="Y595">
            <v>30</v>
          </cell>
        </row>
        <row r="596">
          <cell r="U596" t="str">
            <v>L103828</v>
          </cell>
          <cell r="V596" t="str">
            <v>CEDV 5kg</v>
          </cell>
          <cell r="W596" t="str">
            <v>Ajuste</v>
          </cell>
          <cell r="X596">
            <v>2</v>
          </cell>
          <cell r="Y596">
            <v>10</v>
          </cell>
        </row>
        <row r="597">
          <cell r="U597" t="str">
            <v>L104212</v>
          </cell>
          <cell r="V597" t="str">
            <v>CEDV 5kg</v>
          </cell>
          <cell r="W597" t="str">
            <v>Ajuste</v>
          </cell>
          <cell r="X597">
            <v>14</v>
          </cell>
          <cell r="Y597">
            <v>70</v>
          </cell>
        </row>
        <row r="598">
          <cell r="U598" t="str">
            <v>L103955</v>
          </cell>
          <cell r="V598" t="str">
            <v>chocolate kg</v>
          </cell>
          <cell r="W598" t="str">
            <v>Ajuste</v>
          </cell>
          <cell r="X598">
            <v>10.32</v>
          </cell>
          <cell r="Y598">
            <v>10.32</v>
          </cell>
        </row>
        <row r="599">
          <cell r="U599" t="str">
            <v>L104417</v>
          </cell>
          <cell r="V599" t="str">
            <v>CHP 7kg</v>
          </cell>
          <cell r="W599" t="str">
            <v>Ajuste</v>
          </cell>
          <cell r="X599">
            <v>14</v>
          </cell>
          <cell r="Y599">
            <v>98</v>
          </cell>
        </row>
        <row r="600">
          <cell r="U600" t="str">
            <v>L103767</v>
          </cell>
          <cell r="V600" t="str">
            <v>CHT 1kg - CAJA</v>
          </cell>
          <cell r="W600" t="str">
            <v>Ajuste</v>
          </cell>
          <cell r="X600">
            <v>306</v>
          </cell>
          <cell r="Y600">
            <v>306</v>
          </cell>
        </row>
        <row r="601">
          <cell r="U601" t="str">
            <v>L103821</v>
          </cell>
          <cell r="V601" t="str">
            <v>CHT 2KG</v>
          </cell>
          <cell r="W601" t="str">
            <v>Ajuste</v>
          </cell>
          <cell r="X601">
            <v>2</v>
          </cell>
          <cell r="Y601">
            <v>4</v>
          </cell>
        </row>
        <row r="602">
          <cell r="U602" t="str">
            <v>L103822</v>
          </cell>
          <cell r="V602" t="str">
            <v>CHT 2KG</v>
          </cell>
          <cell r="W602" t="str">
            <v>Ajuste</v>
          </cell>
          <cell r="X602">
            <v>2</v>
          </cell>
          <cell r="Y602">
            <v>4</v>
          </cell>
        </row>
        <row r="603">
          <cell r="U603" t="str">
            <v>L103838</v>
          </cell>
          <cell r="V603" t="str">
            <v>CLX 2kg</v>
          </cell>
          <cell r="W603" t="str">
            <v>Ajuste</v>
          </cell>
          <cell r="X603">
            <v>6</v>
          </cell>
          <cell r="Y603">
            <v>12</v>
          </cell>
        </row>
        <row r="604">
          <cell r="U604" t="str">
            <v>L104248</v>
          </cell>
          <cell r="V604" t="str">
            <v>CLX 2kg</v>
          </cell>
          <cell r="W604" t="str">
            <v>Ajuste</v>
          </cell>
          <cell r="X604">
            <v>60</v>
          </cell>
          <cell r="Y604">
            <v>120</v>
          </cell>
        </row>
        <row r="605">
          <cell r="U605" t="str">
            <v>L104249</v>
          </cell>
          <cell r="V605" t="str">
            <v>CLX 4kg</v>
          </cell>
          <cell r="W605" t="str">
            <v>Ajuste</v>
          </cell>
          <cell r="X605">
            <v>58</v>
          </cell>
          <cell r="Y605">
            <v>232</v>
          </cell>
        </row>
        <row r="606">
          <cell r="U606" t="str">
            <v>L103837</v>
          </cell>
          <cell r="V606" t="str">
            <v>CLX 4kg</v>
          </cell>
          <cell r="W606" t="str">
            <v>Ajuste</v>
          </cell>
          <cell r="X606">
            <v>26</v>
          </cell>
          <cell r="Y606">
            <v>104</v>
          </cell>
        </row>
        <row r="607">
          <cell r="U607" t="str">
            <v>L104886</v>
          </cell>
          <cell r="V607" t="str">
            <v>CM 2kg</v>
          </cell>
          <cell r="W607" t="str">
            <v>Ajuste</v>
          </cell>
          <cell r="X607">
            <v>2</v>
          </cell>
          <cell r="Y607">
            <v>4</v>
          </cell>
        </row>
        <row r="608">
          <cell r="U608" t="str">
            <v>L104885</v>
          </cell>
          <cell r="V608" t="str">
            <v>CM 5kg</v>
          </cell>
          <cell r="W608" t="str">
            <v>Ajuste</v>
          </cell>
          <cell r="X608">
            <v>302</v>
          </cell>
          <cell r="Y608">
            <v>1510</v>
          </cell>
        </row>
        <row r="609">
          <cell r="U609" t="str">
            <v>L104885</v>
          </cell>
          <cell r="V609" t="str">
            <v>PV CM 5kg</v>
          </cell>
          <cell r="W609" t="str">
            <v>Ajuste</v>
          </cell>
          <cell r="X609">
            <v>28</v>
          </cell>
          <cell r="Y609">
            <v>140</v>
          </cell>
        </row>
        <row r="610">
          <cell r="U610" t="str">
            <v>L104264</v>
          </cell>
          <cell r="V610" t="str">
            <v>CODV 2kg</v>
          </cell>
          <cell r="W610" t="str">
            <v>Ajuste</v>
          </cell>
          <cell r="X610">
            <v>368</v>
          </cell>
          <cell r="Y610">
            <v>736</v>
          </cell>
        </row>
        <row r="611">
          <cell r="U611" t="str">
            <v>L104780</v>
          </cell>
          <cell r="V611" t="str">
            <v>COSDC 3KG</v>
          </cell>
          <cell r="W611" t="str">
            <v>Ajuste</v>
          </cell>
          <cell r="X611">
            <v>6</v>
          </cell>
          <cell r="Y611">
            <v>18</v>
          </cell>
        </row>
        <row r="612">
          <cell r="U612" t="str">
            <v>L104368</v>
          </cell>
          <cell r="V612" t="str">
            <v>CPD 1Kg</v>
          </cell>
          <cell r="W612" t="str">
            <v>Ajuste</v>
          </cell>
          <cell r="X612">
            <v>14</v>
          </cell>
          <cell r="Y612">
            <v>14</v>
          </cell>
        </row>
        <row r="613">
          <cell r="U613" t="str">
            <v>L104734</v>
          </cell>
          <cell r="V613" t="str">
            <v>CRA 2kg</v>
          </cell>
          <cell r="W613" t="str">
            <v>Ajuste</v>
          </cell>
          <cell r="X613">
            <v>2</v>
          </cell>
          <cell r="Y613">
            <v>4</v>
          </cell>
        </row>
        <row r="614">
          <cell r="U614" t="str">
            <v>L104534</v>
          </cell>
          <cell r="V614" t="str">
            <v>CRV 1.5kg</v>
          </cell>
          <cell r="W614" t="str">
            <v>Ajuste</v>
          </cell>
          <cell r="X614">
            <v>38</v>
          </cell>
          <cell r="Y614">
            <v>57</v>
          </cell>
        </row>
        <row r="615">
          <cell r="U615" t="str">
            <v>L104535</v>
          </cell>
          <cell r="V615" t="str">
            <v>CRV 1.5kg</v>
          </cell>
          <cell r="W615" t="str">
            <v>Ajuste</v>
          </cell>
          <cell r="X615">
            <v>24</v>
          </cell>
          <cell r="Y615">
            <v>36</v>
          </cell>
        </row>
        <row r="616">
          <cell r="U616" t="str">
            <v>L104738</v>
          </cell>
          <cell r="V616" t="str">
            <v>CRV 1.5kg</v>
          </cell>
          <cell r="W616" t="str">
            <v>Ajuste</v>
          </cell>
          <cell r="X616">
            <v>4</v>
          </cell>
          <cell r="Y616">
            <v>6</v>
          </cell>
        </row>
        <row r="617">
          <cell r="U617" t="str">
            <v>L104765</v>
          </cell>
          <cell r="V617" t="str">
            <v>CRV 1.5kg</v>
          </cell>
          <cell r="W617" t="str">
            <v>Ajuste</v>
          </cell>
          <cell r="X617">
            <v>2</v>
          </cell>
          <cell r="Y617">
            <v>3</v>
          </cell>
        </row>
        <row r="618">
          <cell r="U618" t="str">
            <v>L104766</v>
          </cell>
          <cell r="V618" t="str">
            <v>CRV 1.5kg</v>
          </cell>
          <cell r="W618" t="str">
            <v>Ajuste</v>
          </cell>
          <cell r="X618">
            <v>4</v>
          </cell>
          <cell r="Y618">
            <v>6</v>
          </cell>
        </row>
        <row r="619">
          <cell r="U619" t="str">
            <v>L104766</v>
          </cell>
          <cell r="V619" t="str">
            <v>PASTV 2kg</v>
          </cell>
          <cell r="W619" t="str">
            <v>Ajuste</v>
          </cell>
          <cell r="X619">
            <v>26</v>
          </cell>
          <cell r="Y619">
            <v>52</v>
          </cell>
        </row>
        <row r="620">
          <cell r="U620" t="str">
            <v>L104527</v>
          </cell>
          <cell r="V620" t="str">
            <v>CRV 1kg</v>
          </cell>
          <cell r="W620" t="str">
            <v>Ajuste</v>
          </cell>
          <cell r="X620">
            <v>27</v>
          </cell>
          <cell r="Y620">
            <v>27</v>
          </cell>
        </row>
        <row r="621">
          <cell r="U621" t="str">
            <v>L104531</v>
          </cell>
          <cell r="V621" t="str">
            <v>CRV 1kg</v>
          </cell>
          <cell r="W621" t="str">
            <v>Ajuste</v>
          </cell>
          <cell r="X621">
            <v>24</v>
          </cell>
          <cell r="Y621">
            <v>24</v>
          </cell>
        </row>
        <row r="622">
          <cell r="U622" t="str">
            <v>L104530</v>
          </cell>
          <cell r="V622" t="str">
            <v>CRV 1kg</v>
          </cell>
          <cell r="W622" t="str">
            <v>Ajuste</v>
          </cell>
          <cell r="X622">
            <v>27</v>
          </cell>
          <cell r="Y622">
            <v>27</v>
          </cell>
        </row>
        <row r="623">
          <cell r="U623" t="str">
            <v>L104529</v>
          </cell>
          <cell r="V623" t="str">
            <v>CRV 1kg</v>
          </cell>
          <cell r="W623" t="str">
            <v>Ajuste</v>
          </cell>
          <cell r="X623">
            <v>54</v>
          </cell>
          <cell r="Y623">
            <v>54</v>
          </cell>
        </row>
        <row r="624">
          <cell r="U624" t="str">
            <v>L104532</v>
          </cell>
          <cell r="V624" t="str">
            <v>CRV 1kg</v>
          </cell>
          <cell r="W624" t="str">
            <v>Ajuste</v>
          </cell>
          <cell r="X624">
            <v>33</v>
          </cell>
          <cell r="Y624">
            <v>33</v>
          </cell>
        </row>
        <row r="625">
          <cell r="U625" t="str">
            <v>L104528</v>
          </cell>
          <cell r="V625" t="str">
            <v>CRV 1kg</v>
          </cell>
          <cell r="W625" t="str">
            <v>Ajuste</v>
          </cell>
          <cell r="X625">
            <v>24</v>
          </cell>
          <cell r="Y625">
            <v>24</v>
          </cell>
        </row>
        <row r="626">
          <cell r="U626" t="str">
            <v>L104510</v>
          </cell>
          <cell r="V626" t="str">
            <v>CRV 1kg</v>
          </cell>
          <cell r="W626" t="str">
            <v>Ajuste</v>
          </cell>
          <cell r="X626">
            <v>86</v>
          </cell>
          <cell r="Y626">
            <v>86</v>
          </cell>
        </row>
        <row r="627">
          <cell r="U627" t="str">
            <v>L104511</v>
          </cell>
          <cell r="V627" t="str">
            <v>CRV 1kg</v>
          </cell>
          <cell r="W627" t="str">
            <v>Ajuste</v>
          </cell>
          <cell r="X627">
            <v>48</v>
          </cell>
          <cell r="Y627">
            <v>48</v>
          </cell>
        </row>
        <row r="628">
          <cell r="U628" t="str">
            <v>L104513</v>
          </cell>
          <cell r="V628" t="str">
            <v>CRV 1kg</v>
          </cell>
          <cell r="W628" t="str">
            <v>Ajuste</v>
          </cell>
          <cell r="X628">
            <v>27</v>
          </cell>
          <cell r="Y628">
            <v>27</v>
          </cell>
        </row>
        <row r="629">
          <cell r="U629" t="str">
            <v>L104514</v>
          </cell>
          <cell r="V629" t="str">
            <v>CRV 1kg</v>
          </cell>
          <cell r="W629" t="str">
            <v>Ajuste</v>
          </cell>
          <cell r="X629">
            <v>36</v>
          </cell>
          <cell r="Y629">
            <v>36</v>
          </cell>
        </row>
        <row r="630">
          <cell r="U630" t="str">
            <v>L103802</v>
          </cell>
          <cell r="V630" t="str">
            <v>CRV 1kg</v>
          </cell>
          <cell r="W630" t="str">
            <v>Ajuste</v>
          </cell>
          <cell r="X630">
            <v>4</v>
          </cell>
          <cell r="Y630">
            <v>4</v>
          </cell>
        </row>
        <row r="631">
          <cell r="U631" t="str">
            <v>L103804</v>
          </cell>
          <cell r="V631" t="str">
            <v>CRV 1kg</v>
          </cell>
          <cell r="W631" t="str">
            <v>Ajuste</v>
          </cell>
          <cell r="X631">
            <v>8</v>
          </cell>
          <cell r="Y631">
            <v>8</v>
          </cell>
        </row>
        <row r="632">
          <cell r="U632" t="str">
            <v>L104478</v>
          </cell>
          <cell r="V632" t="str">
            <v>CRV 1kg</v>
          </cell>
          <cell r="W632" t="str">
            <v>Ajuste</v>
          </cell>
          <cell r="X632">
            <v>268</v>
          </cell>
          <cell r="Y632">
            <v>268</v>
          </cell>
        </row>
        <row r="633">
          <cell r="U633" t="str">
            <v>L104479</v>
          </cell>
          <cell r="V633" t="str">
            <v>CRV 1kg</v>
          </cell>
          <cell r="W633" t="str">
            <v>Ajuste</v>
          </cell>
          <cell r="X633">
            <v>4</v>
          </cell>
          <cell r="Y633">
            <v>4</v>
          </cell>
        </row>
        <row r="634">
          <cell r="U634" t="str">
            <v>L104489</v>
          </cell>
          <cell r="V634" t="str">
            <v>CRV 1kg</v>
          </cell>
          <cell r="W634" t="str">
            <v>Ajuste</v>
          </cell>
          <cell r="X634">
            <v>42</v>
          </cell>
          <cell r="Y634">
            <v>42</v>
          </cell>
        </row>
        <row r="635">
          <cell r="U635" t="str">
            <v>L104512</v>
          </cell>
          <cell r="V635" t="str">
            <v>CRV 1kg</v>
          </cell>
          <cell r="W635" t="str">
            <v>Ajuste</v>
          </cell>
          <cell r="X635">
            <v>10</v>
          </cell>
          <cell r="Y635">
            <v>10</v>
          </cell>
        </row>
        <row r="636">
          <cell r="U636" t="str">
            <v>L104526</v>
          </cell>
          <cell r="V636" t="str">
            <v>CRV 1kg</v>
          </cell>
          <cell r="W636" t="str">
            <v>Ajuste</v>
          </cell>
          <cell r="X636">
            <v>6</v>
          </cell>
          <cell r="Y636">
            <v>6</v>
          </cell>
        </row>
        <row r="637">
          <cell r="U637" t="str">
            <v>L104533</v>
          </cell>
          <cell r="V637" t="str">
            <v>CRV 1kg</v>
          </cell>
          <cell r="W637" t="str">
            <v>Ajuste</v>
          </cell>
          <cell r="X637">
            <v>10</v>
          </cell>
          <cell r="Y637">
            <v>10</v>
          </cell>
        </row>
        <row r="638">
          <cell r="U638" t="str">
            <v>L104545</v>
          </cell>
          <cell r="V638" t="str">
            <v>CRV 1kg</v>
          </cell>
          <cell r="W638" t="str">
            <v>Ajuste</v>
          </cell>
          <cell r="X638">
            <v>32</v>
          </cell>
          <cell r="Y638">
            <v>32</v>
          </cell>
        </row>
        <row r="639">
          <cell r="U639" t="str">
            <v>L104546</v>
          </cell>
          <cell r="V639" t="str">
            <v>CRV 1kg</v>
          </cell>
          <cell r="W639" t="str">
            <v>Ajuste</v>
          </cell>
          <cell r="X639">
            <v>24</v>
          </cell>
          <cell r="Y639">
            <v>24</v>
          </cell>
        </row>
        <row r="640">
          <cell r="U640" t="str">
            <v>L104547</v>
          </cell>
          <cell r="V640" t="str">
            <v>CRV 1kg</v>
          </cell>
          <cell r="W640" t="str">
            <v>Ajuste</v>
          </cell>
          <cell r="X640">
            <v>14</v>
          </cell>
          <cell r="Y640">
            <v>14</v>
          </cell>
        </row>
        <row r="641">
          <cell r="U641" t="str">
            <v>L104548</v>
          </cell>
          <cell r="V641" t="str">
            <v>CRV 1kg</v>
          </cell>
          <cell r="W641" t="str">
            <v>Ajuste</v>
          </cell>
          <cell r="X641">
            <v>16</v>
          </cell>
          <cell r="Y641">
            <v>16</v>
          </cell>
        </row>
        <row r="642">
          <cell r="U642" t="str">
            <v>L104549</v>
          </cell>
          <cell r="V642" t="str">
            <v>CRV 1kg</v>
          </cell>
          <cell r="W642" t="str">
            <v>Ajuste</v>
          </cell>
          <cell r="X642">
            <v>12</v>
          </cell>
          <cell r="Y642">
            <v>12</v>
          </cell>
        </row>
        <row r="643">
          <cell r="U643" t="str">
            <v>L104550</v>
          </cell>
          <cell r="V643" t="str">
            <v>CRV 1kg</v>
          </cell>
          <cell r="W643" t="str">
            <v>Ajuste</v>
          </cell>
          <cell r="X643">
            <v>8</v>
          </cell>
          <cell r="Y643">
            <v>8</v>
          </cell>
        </row>
        <row r="644">
          <cell r="U644" t="str">
            <v>L104551</v>
          </cell>
          <cell r="V644" t="str">
            <v>CRV 1kg</v>
          </cell>
          <cell r="W644" t="str">
            <v>Ajuste</v>
          </cell>
          <cell r="X644">
            <v>6</v>
          </cell>
          <cell r="Y644">
            <v>6</v>
          </cell>
        </row>
        <row r="645">
          <cell r="U645" t="str">
            <v>L104552</v>
          </cell>
          <cell r="V645" t="str">
            <v>CRV 1kg</v>
          </cell>
          <cell r="W645" t="str">
            <v>Ajuste</v>
          </cell>
          <cell r="X645">
            <v>4</v>
          </cell>
          <cell r="Y645">
            <v>4</v>
          </cell>
        </row>
        <row r="646">
          <cell r="U646" t="str">
            <v>L104553</v>
          </cell>
          <cell r="V646" t="str">
            <v>CRV 1kg</v>
          </cell>
          <cell r="W646" t="str">
            <v>Ajuste</v>
          </cell>
          <cell r="X646">
            <v>18</v>
          </cell>
          <cell r="Y646">
            <v>18</v>
          </cell>
        </row>
        <row r="647">
          <cell r="U647" t="str">
            <v>L104554</v>
          </cell>
          <cell r="V647" t="str">
            <v>CRV 1kg</v>
          </cell>
          <cell r="W647" t="str">
            <v>Ajuste</v>
          </cell>
          <cell r="X647">
            <v>6</v>
          </cell>
          <cell r="Y647">
            <v>6</v>
          </cell>
        </row>
        <row r="648">
          <cell r="U648" t="str">
            <v>L104555</v>
          </cell>
          <cell r="V648" t="str">
            <v>CRV 1kg</v>
          </cell>
          <cell r="W648" t="str">
            <v>Ajuste</v>
          </cell>
          <cell r="X648">
            <v>8</v>
          </cell>
          <cell r="Y648">
            <v>8</v>
          </cell>
        </row>
        <row r="649">
          <cell r="U649" t="str">
            <v>L104556</v>
          </cell>
          <cell r="V649" t="str">
            <v>CRV 1kg</v>
          </cell>
          <cell r="W649" t="str">
            <v>Ajuste</v>
          </cell>
          <cell r="X649">
            <v>12</v>
          </cell>
          <cell r="Y649">
            <v>12</v>
          </cell>
        </row>
        <row r="650">
          <cell r="U650" t="str">
            <v>L104557</v>
          </cell>
          <cell r="V650" t="str">
            <v>CRV 1kg</v>
          </cell>
          <cell r="W650" t="str">
            <v>Ajuste</v>
          </cell>
          <cell r="X650">
            <v>4</v>
          </cell>
          <cell r="Y650">
            <v>4</v>
          </cell>
        </row>
        <row r="651">
          <cell r="U651" t="str">
            <v>L104558</v>
          </cell>
          <cell r="V651" t="str">
            <v>CRV 1kg</v>
          </cell>
          <cell r="W651" t="str">
            <v>Ajuste</v>
          </cell>
          <cell r="X651">
            <v>70</v>
          </cell>
          <cell r="Y651">
            <v>70</v>
          </cell>
        </row>
        <row r="652">
          <cell r="U652" t="str">
            <v>L104600</v>
          </cell>
          <cell r="V652" t="str">
            <v>CRV 1kg</v>
          </cell>
          <cell r="W652" t="str">
            <v>Ajuste</v>
          </cell>
          <cell r="X652">
            <v>8</v>
          </cell>
          <cell r="Y652">
            <v>8</v>
          </cell>
        </row>
        <row r="653">
          <cell r="U653" t="str">
            <v>L104601</v>
          </cell>
          <cell r="V653" t="str">
            <v>CRV 1kg</v>
          </cell>
          <cell r="W653" t="str">
            <v>Ajuste</v>
          </cell>
          <cell r="X653">
            <v>8</v>
          </cell>
          <cell r="Y653">
            <v>8</v>
          </cell>
        </row>
        <row r="654">
          <cell r="U654" t="str">
            <v>L104603</v>
          </cell>
          <cell r="V654" t="str">
            <v>CRV 1kg</v>
          </cell>
          <cell r="W654" t="str">
            <v>Ajuste</v>
          </cell>
          <cell r="X654">
            <v>4</v>
          </cell>
          <cell r="Y654">
            <v>4</v>
          </cell>
        </row>
        <row r="655">
          <cell r="U655" t="str">
            <v>L104609</v>
          </cell>
          <cell r="V655" t="str">
            <v>CRV 1kg</v>
          </cell>
          <cell r="W655" t="str">
            <v>Ajuste</v>
          </cell>
          <cell r="X655">
            <v>24</v>
          </cell>
          <cell r="Y655">
            <v>24</v>
          </cell>
        </row>
        <row r="656">
          <cell r="U656" t="str">
            <v>L104630</v>
          </cell>
          <cell r="V656" t="str">
            <v>CRV 1kg</v>
          </cell>
          <cell r="W656" t="str">
            <v>Ajuste</v>
          </cell>
          <cell r="X656">
            <v>4</v>
          </cell>
          <cell r="Y656">
            <v>4</v>
          </cell>
        </row>
        <row r="657">
          <cell r="U657" t="str">
            <v>L104631</v>
          </cell>
          <cell r="V657" t="str">
            <v>CRV 1kg</v>
          </cell>
          <cell r="W657" t="str">
            <v>Ajuste</v>
          </cell>
          <cell r="X657">
            <v>4</v>
          </cell>
          <cell r="Y657">
            <v>4</v>
          </cell>
        </row>
        <row r="658">
          <cell r="U658" t="str">
            <v>L104632</v>
          </cell>
          <cell r="V658" t="str">
            <v>CRV 1kg</v>
          </cell>
          <cell r="W658" t="str">
            <v>Ajuste</v>
          </cell>
          <cell r="X658">
            <v>2</v>
          </cell>
          <cell r="Y658">
            <v>2</v>
          </cell>
        </row>
        <row r="659">
          <cell r="U659" t="str">
            <v>L104633</v>
          </cell>
          <cell r="V659" t="str">
            <v>CRV 1kg</v>
          </cell>
          <cell r="W659" t="str">
            <v>Ajuste</v>
          </cell>
          <cell r="X659">
            <v>2</v>
          </cell>
          <cell r="Y659">
            <v>2</v>
          </cell>
        </row>
        <row r="660">
          <cell r="U660" t="str">
            <v>L104821</v>
          </cell>
          <cell r="V660" t="str">
            <v>CRV 1kg</v>
          </cell>
          <cell r="W660" t="str">
            <v>Ajuste</v>
          </cell>
          <cell r="X660">
            <v>4</v>
          </cell>
          <cell r="Y660">
            <v>4</v>
          </cell>
        </row>
        <row r="661">
          <cell r="U661" t="str">
            <v>L103803</v>
          </cell>
          <cell r="V661" t="str">
            <v>CRV 2kg-CAJA</v>
          </cell>
          <cell r="W661" t="str">
            <v>Ajuste</v>
          </cell>
          <cell r="X661">
            <v>2</v>
          </cell>
          <cell r="Y661">
            <v>4</v>
          </cell>
        </row>
        <row r="662">
          <cell r="U662" t="str">
            <v>L103792</v>
          </cell>
          <cell r="V662" t="str">
            <v>CTF 3Kg-CAJA</v>
          </cell>
          <cell r="W662" t="str">
            <v>Ajuste</v>
          </cell>
          <cell r="X662">
            <v>12</v>
          </cell>
          <cell r="Y662">
            <v>36</v>
          </cell>
        </row>
        <row r="663">
          <cell r="U663" t="str">
            <v>L104642</v>
          </cell>
          <cell r="V663" t="str">
            <v>CTF 3Kg-CAJA</v>
          </cell>
          <cell r="W663" t="str">
            <v>Ajuste</v>
          </cell>
          <cell r="X663">
            <v>2</v>
          </cell>
          <cell r="Y663">
            <v>6</v>
          </cell>
        </row>
        <row r="664">
          <cell r="U664" t="str">
            <v>L104915</v>
          </cell>
          <cell r="V664" t="str">
            <v>CTF 3Kg-CAJA</v>
          </cell>
          <cell r="W664" t="str">
            <v>Ajuste</v>
          </cell>
          <cell r="X664">
            <v>14</v>
          </cell>
          <cell r="Y664">
            <v>42</v>
          </cell>
        </row>
        <row r="665">
          <cell r="U665" t="str">
            <v>L104588</v>
          </cell>
          <cell r="V665" t="str">
            <v>CTF 5Kg-CAJA</v>
          </cell>
          <cell r="W665" t="str">
            <v>Ajuste</v>
          </cell>
          <cell r="X665">
            <v>14</v>
          </cell>
          <cell r="Y665">
            <v>70</v>
          </cell>
        </row>
        <row r="666">
          <cell r="U666" t="str">
            <v>L104040</v>
          </cell>
          <cell r="V666" t="str">
            <v>CTF 5Kg-CAJA</v>
          </cell>
          <cell r="W666" t="str">
            <v>Ajuste</v>
          </cell>
          <cell r="X666">
            <v>6</v>
          </cell>
          <cell r="Y666">
            <v>30</v>
          </cell>
        </row>
        <row r="667">
          <cell r="U667" t="str">
            <v>L104576</v>
          </cell>
          <cell r="V667" t="str">
            <v>CTF 5Kg-CAJA</v>
          </cell>
          <cell r="W667" t="str">
            <v>Ajuste</v>
          </cell>
          <cell r="X667">
            <v>4</v>
          </cell>
          <cell r="Y667">
            <v>20</v>
          </cell>
        </row>
        <row r="668">
          <cell r="U668" t="str">
            <v>L104814</v>
          </cell>
          <cell r="V668" t="str">
            <v>CTF 5Kg-CAJA</v>
          </cell>
          <cell r="W668" t="str">
            <v>Ajuste</v>
          </cell>
          <cell r="X668">
            <v>10</v>
          </cell>
          <cell r="Y668">
            <v>50</v>
          </cell>
        </row>
        <row r="669">
          <cell r="U669" t="str">
            <v>L104817</v>
          </cell>
          <cell r="V669" t="str">
            <v>CTF 5Kg-CAJA</v>
          </cell>
          <cell r="W669" t="str">
            <v>Ajuste</v>
          </cell>
          <cell r="X669">
            <v>2</v>
          </cell>
          <cell r="Y669">
            <v>10</v>
          </cell>
        </row>
        <row r="670">
          <cell r="U670" t="str">
            <v>L104283</v>
          </cell>
          <cell r="V670" t="str">
            <v>DIV AGA 1.5 lt x 12</v>
          </cell>
          <cell r="W670" t="str">
            <v>Ajuste</v>
          </cell>
          <cell r="X670">
            <v>78</v>
          </cell>
          <cell r="Y670">
            <v>1404</v>
          </cell>
        </row>
        <row r="671">
          <cell r="U671" t="str">
            <v>L104284</v>
          </cell>
          <cell r="V671" t="str">
            <v>DIV AGA 2 lt x 6</v>
          </cell>
          <cell r="W671" t="str">
            <v>Ajuste</v>
          </cell>
          <cell r="X671">
            <v>70</v>
          </cell>
          <cell r="Y671">
            <v>840</v>
          </cell>
        </row>
        <row r="672">
          <cell r="U672" t="str">
            <v>L104282</v>
          </cell>
          <cell r="V672" t="str">
            <v>DIV AGU 1 GLN</v>
          </cell>
          <cell r="W672" t="str">
            <v>Ajuste</v>
          </cell>
          <cell r="X672">
            <v>110</v>
          </cell>
          <cell r="Y672">
            <v>415.8</v>
          </cell>
        </row>
        <row r="673">
          <cell r="U673" t="str">
            <v>L103775</v>
          </cell>
          <cell r="V673" t="str">
            <v>DIV ALP 7kg</v>
          </cell>
          <cell r="W673" t="str">
            <v>Ajuste</v>
          </cell>
          <cell r="X673">
            <v>4</v>
          </cell>
          <cell r="Y673">
            <v>28</v>
          </cell>
        </row>
        <row r="674">
          <cell r="U674" t="str">
            <v>L104896</v>
          </cell>
          <cell r="V674" t="str">
            <v>DIV AMCO 2kg</v>
          </cell>
          <cell r="W674" t="str">
            <v>Ajuste</v>
          </cell>
          <cell r="X674">
            <v>12</v>
          </cell>
          <cell r="Y674">
            <v>24</v>
          </cell>
        </row>
        <row r="675">
          <cell r="U675" t="str">
            <v>L104276</v>
          </cell>
          <cell r="V675" t="str">
            <v>DIV BASP 2kg</v>
          </cell>
          <cell r="W675" t="str">
            <v>Ajuste</v>
          </cell>
          <cell r="X675">
            <v>10</v>
          </cell>
          <cell r="Y675">
            <v>20</v>
          </cell>
        </row>
        <row r="676">
          <cell r="U676" t="str">
            <v>L103966</v>
          </cell>
          <cell r="V676" t="str">
            <v>DIV BEV 7kg</v>
          </cell>
          <cell r="W676" t="str">
            <v>Ajuste</v>
          </cell>
          <cell r="X676">
            <v>18</v>
          </cell>
          <cell r="Y676">
            <v>126</v>
          </cell>
        </row>
        <row r="677">
          <cell r="U677" t="str">
            <v>L104305</v>
          </cell>
          <cell r="V677" t="str">
            <v>DIV BEV 7kg</v>
          </cell>
          <cell r="W677" t="str">
            <v>Ajuste</v>
          </cell>
          <cell r="X677">
            <v>2</v>
          </cell>
          <cell r="Y677">
            <v>14</v>
          </cell>
        </row>
        <row r="678">
          <cell r="U678" t="str">
            <v>L104520</v>
          </cell>
          <cell r="V678" t="str">
            <v>DIV BEV 7kg</v>
          </cell>
          <cell r="W678" t="str">
            <v>Ajuste</v>
          </cell>
          <cell r="X678">
            <v>2</v>
          </cell>
          <cell r="Y678">
            <v>14</v>
          </cell>
        </row>
        <row r="679">
          <cell r="U679" t="str">
            <v>L104911</v>
          </cell>
          <cell r="V679" t="str">
            <v>DIV BPV 2kg</v>
          </cell>
          <cell r="W679" t="str">
            <v>Ajuste</v>
          </cell>
          <cell r="X679">
            <v>2</v>
          </cell>
          <cell r="Y679">
            <v>4</v>
          </cell>
        </row>
        <row r="680">
          <cell r="U680" t="str">
            <v>L104771</v>
          </cell>
          <cell r="V680" t="str">
            <v>DIV BPV 5kg</v>
          </cell>
          <cell r="W680" t="str">
            <v>Ajuste</v>
          </cell>
          <cell r="X680">
            <v>12</v>
          </cell>
          <cell r="Y680">
            <v>60</v>
          </cell>
        </row>
        <row r="681">
          <cell r="U681" t="str">
            <v>L104903</v>
          </cell>
          <cell r="V681" t="str">
            <v>DIV BPV 5kg</v>
          </cell>
          <cell r="W681" t="str">
            <v>Ajuste</v>
          </cell>
          <cell r="X681">
            <v>10</v>
          </cell>
          <cell r="Y681">
            <v>50</v>
          </cell>
        </row>
        <row r="682">
          <cell r="U682" t="str">
            <v>L104754</v>
          </cell>
          <cell r="V682" t="str">
            <v>DIV CDCRN 1kg</v>
          </cell>
          <cell r="W682" t="str">
            <v>Ajuste</v>
          </cell>
          <cell r="X682">
            <v>80</v>
          </cell>
          <cell r="Y682">
            <v>80</v>
          </cell>
        </row>
        <row r="683">
          <cell r="U683" t="str">
            <v>L104522</v>
          </cell>
          <cell r="V683" t="str">
            <v>DIV CDP 1kg</v>
          </cell>
          <cell r="W683" t="str">
            <v>Ajuste</v>
          </cell>
          <cell r="X683">
            <v>24</v>
          </cell>
          <cell r="Y683">
            <v>24</v>
          </cell>
        </row>
        <row r="684">
          <cell r="U684" t="str">
            <v>L104038</v>
          </cell>
          <cell r="V684" t="str">
            <v>DIV CDPES 1kg</v>
          </cell>
          <cell r="W684" t="str">
            <v>Ajuste</v>
          </cell>
          <cell r="X684">
            <v>96</v>
          </cell>
          <cell r="Y684">
            <v>96</v>
          </cell>
        </row>
        <row r="685">
          <cell r="U685" t="str">
            <v>L104523</v>
          </cell>
          <cell r="V685" t="str">
            <v>DIV CDV 1kg</v>
          </cell>
          <cell r="W685" t="str">
            <v>Ajuste</v>
          </cell>
          <cell r="X685">
            <v>130</v>
          </cell>
          <cell r="Y685">
            <v>130</v>
          </cell>
        </row>
        <row r="686">
          <cell r="U686" t="str">
            <v>L104304</v>
          </cell>
          <cell r="V686" t="str">
            <v>DIV CHT 2kg</v>
          </cell>
          <cell r="W686" t="str">
            <v>Ajuste</v>
          </cell>
          <cell r="X686">
            <v>28</v>
          </cell>
          <cell r="Y686">
            <v>56</v>
          </cell>
        </row>
        <row r="687">
          <cell r="U687" t="str">
            <v>L104768</v>
          </cell>
          <cell r="V687" t="str">
            <v>DIV CHWM 2kg</v>
          </cell>
          <cell r="W687" t="str">
            <v>Ajuste</v>
          </cell>
          <cell r="X687">
            <v>16</v>
          </cell>
          <cell r="Y687">
            <v>32</v>
          </cell>
        </row>
        <row r="688">
          <cell r="U688" t="str">
            <v>L104475</v>
          </cell>
          <cell r="V688" t="str">
            <v>DIV COSDC 14KG</v>
          </cell>
          <cell r="W688" t="str">
            <v>Ajuste</v>
          </cell>
          <cell r="X688">
            <v>50</v>
          </cell>
          <cell r="Y688">
            <v>700</v>
          </cell>
        </row>
        <row r="689">
          <cell r="U689" t="str">
            <v>L104648</v>
          </cell>
          <cell r="V689" t="str">
            <v>DIV COSDC 14KG</v>
          </cell>
          <cell r="W689" t="str">
            <v>Ajuste</v>
          </cell>
          <cell r="X689">
            <v>50</v>
          </cell>
          <cell r="Y689">
            <v>700</v>
          </cell>
        </row>
        <row r="690">
          <cell r="U690" t="str">
            <v>L103981</v>
          </cell>
          <cell r="V690" t="str">
            <v>DIV CPVF 5kg</v>
          </cell>
          <cell r="W690" t="str">
            <v>Ajuste</v>
          </cell>
          <cell r="X690">
            <v>2</v>
          </cell>
          <cell r="Y690">
            <v>10</v>
          </cell>
        </row>
        <row r="691">
          <cell r="U691" t="str">
            <v>L104618</v>
          </cell>
          <cell r="V691" t="str">
            <v>DIV CRBTDA 1Kg</v>
          </cell>
          <cell r="W691" t="str">
            <v>Ajuste</v>
          </cell>
          <cell r="X691">
            <v>2</v>
          </cell>
          <cell r="Y691">
            <v>2</v>
          </cell>
        </row>
        <row r="692">
          <cell r="U692" t="str">
            <v>L104628</v>
          </cell>
          <cell r="V692" t="str">
            <v>DIV CRM 10kg</v>
          </cell>
          <cell r="W692" t="str">
            <v>Ajuste</v>
          </cell>
          <cell r="X692">
            <v>30</v>
          </cell>
          <cell r="Y692">
            <v>300</v>
          </cell>
        </row>
        <row r="693">
          <cell r="U693" t="str">
            <v>L103762</v>
          </cell>
          <cell r="V693" t="str">
            <v>DIV CRM 2kg</v>
          </cell>
          <cell r="W693" t="str">
            <v>Ajuste</v>
          </cell>
          <cell r="X693">
            <v>16</v>
          </cell>
          <cell r="Y693">
            <v>32</v>
          </cell>
        </row>
        <row r="694">
          <cell r="U694" t="str">
            <v>L104036</v>
          </cell>
          <cell r="V694" t="str">
            <v>DIV CRM 2kg</v>
          </cell>
          <cell r="W694" t="str">
            <v>Ajuste</v>
          </cell>
          <cell r="X694">
            <v>274</v>
          </cell>
          <cell r="Y694">
            <v>548</v>
          </cell>
        </row>
        <row r="695">
          <cell r="U695" t="str">
            <v>L104519</v>
          </cell>
          <cell r="V695" t="str">
            <v>DIV CRM 2kg</v>
          </cell>
          <cell r="W695" t="str">
            <v>Ajuste</v>
          </cell>
          <cell r="X695">
            <v>100</v>
          </cell>
          <cell r="Y695">
            <v>200</v>
          </cell>
        </row>
        <row r="696">
          <cell r="U696" t="str">
            <v>L104770</v>
          </cell>
          <cell r="V696" t="str">
            <v>DIV CRM 2kg</v>
          </cell>
          <cell r="W696" t="str">
            <v>Ajuste</v>
          </cell>
          <cell r="X696">
            <v>6</v>
          </cell>
          <cell r="Y696">
            <v>12</v>
          </cell>
        </row>
        <row r="697">
          <cell r="U697" t="str">
            <v>L103978</v>
          </cell>
          <cell r="V697" t="str">
            <v>DIV DDP 2kg</v>
          </cell>
          <cell r="W697" t="str">
            <v>Ajuste</v>
          </cell>
          <cell r="X697">
            <v>2</v>
          </cell>
          <cell r="Y697">
            <v>4</v>
          </cell>
        </row>
        <row r="698">
          <cell r="U698" t="str">
            <v>L104274</v>
          </cell>
          <cell r="V698" t="str">
            <v>DIV DSDH 1kg</v>
          </cell>
          <cell r="W698" t="str">
            <v>Ajuste</v>
          </cell>
          <cell r="X698">
            <v>8</v>
          </cell>
          <cell r="Y698">
            <v>8</v>
          </cell>
        </row>
        <row r="699">
          <cell r="U699" t="str">
            <v>L104273</v>
          </cell>
          <cell r="V699" t="str">
            <v>DIV DSDM 1kg</v>
          </cell>
          <cell r="W699" t="str">
            <v>Ajuste</v>
          </cell>
          <cell r="X699">
            <v>4</v>
          </cell>
          <cell r="Y699">
            <v>4</v>
          </cell>
        </row>
        <row r="700">
          <cell r="U700" t="str">
            <v>L104268</v>
          </cell>
          <cell r="V700" t="str">
            <v>DIV DSF 2Kg</v>
          </cell>
          <cell r="W700" t="str">
            <v>Ajuste</v>
          </cell>
          <cell r="X700">
            <v>592</v>
          </cell>
          <cell r="Y700">
            <v>1184</v>
          </cell>
        </row>
        <row r="701">
          <cell r="U701" t="str">
            <v>L104156</v>
          </cell>
          <cell r="V701" t="str">
            <v>DIV DSF 2Kg</v>
          </cell>
          <cell r="W701" t="str">
            <v>Ajuste</v>
          </cell>
          <cell r="X701">
            <v>12</v>
          </cell>
          <cell r="Y701">
            <v>24</v>
          </cell>
        </row>
        <row r="702">
          <cell r="U702" t="str">
            <v>L104271</v>
          </cell>
          <cell r="V702" t="str">
            <v>DIV DSF 4kg</v>
          </cell>
          <cell r="W702" t="str">
            <v>Ajuste</v>
          </cell>
          <cell r="X702">
            <v>16</v>
          </cell>
          <cell r="Y702">
            <v>64</v>
          </cell>
        </row>
        <row r="703">
          <cell r="U703" t="str">
            <v>L104473</v>
          </cell>
          <cell r="V703" t="str">
            <v>DIV DTG Vr 3.5kg</v>
          </cell>
          <cell r="W703" t="str">
            <v>Ajuste</v>
          </cell>
          <cell r="X703">
            <v>80</v>
          </cell>
          <cell r="Y703">
            <v>280</v>
          </cell>
        </row>
        <row r="704">
          <cell r="U704" t="str">
            <v>L104626</v>
          </cell>
          <cell r="V704" t="str">
            <v>DIV DTG Vr 3.5kg</v>
          </cell>
          <cell r="W704" t="str">
            <v>Ajuste</v>
          </cell>
          <cell r="X704">
            <v>528</v>
          </cell>
          <cell r="Y704">
            <v>1848</v>
          </cell>
        </row>
        <row r="705">
          <cell r="U705" t="str">
            <v>L104544</v>
          </cell>
          <cell r="V705" t="str">
            <v>DIV DTG Vr 3.5kg</v>
          </cell>
          <cell r="W705" t="str">
            <v>Ajuste</v>
          </cell>
          <cell r="X705">
            <v>1</v>
          </cell>
          <cell r="Y705">
            <v>3.5</v>
          </cell>
        </row>
        <row r="706">
          <cell r="U706" t="str">
            <v>L103774</v>
          </cell>
          <cell r="V706" t="str">
            <v>DIV ECDP 7kg</v>
          </cell>
          <cell r="W706" t="str">
            <v>Ajuste</v>
          </cell>
          <cell r="X706">
            <v>62</v>
          </cell>
          <cell r="Y706">
            <v>434</v>
          </cell>
        </row>
        <row r="707">
          <cell r="U707" t="str">
            <v>L104287</v>
          </cell>
          <cell r="V707" t="str">
            <v>DIV ECDP 7kg</v>
          </cell>
          <cell r="W707" t="str">
            <v>Ajuste</v>
          </cell>
          <cell r="X707">
            <v>2</v>
          </cell>
          <cell r="Y707">
            <v>14</v>
          </cell>
        </row>
        <row r="708">
          <cell r="U708" t="str">
            <v>L103872</v>
          </cell>
          <cell r="V708" t="str">
            <v>DIV EMBV 2kg</v>
          </cell>
          <cell r="W708" t="str">
            <v>Ajuste</v>
          </cell>
          <cell r="X708">
            <v>6</v>
          </cell>
          <cell r="Y708">
            <v>12</v>
          </cell>
        </row>
        <row r="709">
          <cell r="U709" t="str">
            <v>L104166</v>
          </cell>
          <cell r="V709" t="str">
            <v>DIV EMBV 2kg</v>
          </cell>
          <cell r="W709" t="str">
            <v>Ajuste</v>
          </cell>
          <cell r="X709">
            <v>42</v>
          </cell>
          <cell r="Y709">
            <v>84</v>
          </cell>
        </row>
        <row r="710">
          <cell r="U710" t="str">
            <v>L104288</v>
          </cell>
          <cell r="V710" t="str">
            <v>DIV EMBV 2kg</v>
          </cell>
          <cell r="W710" t="str">
            <v>Ajuste</v>
          </cell>
          <cell r="X710">
            <v>12</v>
          </cell>
          <cell r="Y710">
            <v>24</v>
          </cell>
        </row>
        <row r="711">
          <cell r="U711" t="str">
            <v>L104247</v>
          </cell>
          <cell r="V711" t="str">
            <v>DIV EMBV 3kg</v>
          </cell>
          <cell r="W711" t="str">
            <v>Ajuste</v>
          </cell>
          <cell r="X711">
            <v>8</v>
          </cell>
          <cell r="Y711">
            <v>24</v>
          </cell>
        </row>
        <row r="712">
          <cell r="U712" t="str">
            <v>L104281</v>
          </cell>
          <cell r="V712" t="str">
            <v>ESQPCD 8kg</v>
          </cell>
          <cell r="W712" t="str">
            <v>Ajuste</v>
          </cell>
          <cell r="X712">
            <v>120</v>
          </cell>
          <cell r="Y712">
            <v>960</v>
          </cell>
        </row>
        <row r="713">
          <cell r="U713" t="str">
            <v>L104281</v>
          </cell>
          <cell r="V713" t="str">
            <v>DIV ESQPCD 8kg</v>
          </cell>
          <cell r="W713" t="str">
            <v>Ajuste</v>
          </cell>
          <cell r="X713">
            <v>313</v>
          </cell>
          <cell r="Y713">
            <v>2504</v>
          </cell>
        </row>
        <row r="714">
          <cell r="U714" t="str">
            <v>L104281</v>
          </cell>
          <cell r="V714" t="str">
            <v>DIV ESQPCD 8kg</v>
          </cell>
          <cell r="W714" t="str">
            <v>Dañado</v>
          </cell>
          <cell r="X714">
            <v>7</v>
          </cell>
          <cell r="Y714">
            <v>56</v>
          </cell>
        </row>
        <row r="715">
          <cell r="U715" t="str">
            <v>L104769</v>
          </cell>
          <cell r="V715" t="str">
            <v>DIV ESV 2kg</v>
          </cell>
          <cell r="W715" t="str">
            <v>Ajuste</v>
          </cell>
          <cell r="X715">
            <v>8</v>
          </cell>
          <cell r="Y715">
            <v>16</v>
          </cell>
        </row>
        <row r="716">
          <cell r="U716" t="str">
            <v>L103977</v>
          </cell>
          <cell r="V716" t="str">
            <v>DIV FRCONG 2kg</v>
          </cell>
          <cell r="W716" t="str">
            <v>Ajuste</v>
          </cell>
          <cell r="X716">
            <v>2</v>
          </cell>
          <cell r="Y716">
            <v>4</v>
          </cell>
        </row>
        <row r="717">
          <cell r="U717" t="str">
            <v>L104253</v>
          </cell>
          <cell r="V717" t="str">
            <v>DIV FRUVER 10kg</v>
          </cell>
          <cell r="W717" t="str">
            <v>Ajuste</v>
          </cell>
          <cell r="X717">
            <v>30</v>
          </cell>
          <cell r="Y717">
            <v>300</v>
          </cell>
        </row>
        <row r="718">
          <cell r="U718" t="str">
            <v>L103874</v>
          </cell>
          <cell r="V718" t="str">
            <v>DIV FRUVER 10kg</v>
          </cell>
          <cell r="W718" t="str">
            <v>Ajuste</v>
          </cell>
          <cell r="X718">
            <v>22</v>
          </cell>
          <cell r="Y718">
            <v>220</v>
          </cell>
        </row>
        <row r="719">
          <cell r="U719" t="str">
            <v>L103876</v>
          </cell>
          <cell r="V719" t="str">
            <v>DIV FRUVER 10kg</v>
          </cell>
          <cell r="W719" t="str">
            <v>Ajuste</v>
          </cell>
          <cell r="X719">
            <v>38</v>
          </cell>
          <cell r="Y719">
            <v>380</v>
          </cell>
        </row>
        <row r="720">
          <cell r="U720" t="str">
            <v>L103878</v>
          </cell>
          <cell r="V720" t="str">
            <v>DIV FRUVER 10kg</v>
          </cell>
          <cell r="W720" t="str">
            <v>Ajuste</v>
          </cell>
          <cell r="X720">
            <v>14</v>
          </cell>
          <cell r="Y720">
            <v>140</v>
          </cell>
        </row>
        <row r="721">
          <cell r="U721" t="str">
            <v>L103948</v>
          </cell>
          <cell r="V721" t="str">
            <v>DIV FRUVER 10kg</v>
          </cell>
          <cell r="W721" t="str">
            <v>Ajuste</v>
          </cell>
          <cell r="X721">
            <v>4</v>
          </cell>
          <cell r="Y721">
            <v>40</v>
          </cell>
        </row>
        <row r="722">
          <cell r="U722" t="str">
            <v>L103967</v>
          </cell>
          <cell r="V722" t="str">
            <v>DIV FRUVER 10kg</v>
          </cell>
          <cell r="W722" t="str">
            <v>Ajuste</v>
          </cell>
          <cell r="X722">
            <v>8</v>
          </cell>
          <cell r="Y722">
            <v>80</v>
          </cell>
        </row>
        <row r="723">
          <cell r="U723" t="str">
            <v>L103969</v>
          </cell>
          <cell r="V723" t="str">
            <v>DIV FRUVER 10kg</v>
          </cell>
          <cell r="W723" t="str">
            <v>Ajuste</v>
          </cell>
          <cell r="X723">
            <v>6</v>
          </cell>
          <cell r="Y723">
            <v>60</v>
          </cell>
        </row>
        <row r="724">
          <cell r="U724" t="str">
            <v>L103972</v>
          </cell>
          <cell r="V724" t="str">
            <v>DIV FRUVER 10kg</v>
          </cell>
          <cell r="W724" t="str">
            <v>Ajuste</v>
          </cell>
          <cell r="X724">
            <v>8</v>
          </cell>
          <cell r="Y724">
            <v>80</v>
          </cell>
        </row>
        <row r="725">
          <cell r="U725" t="str">
            <v>L103979</v>
          </cell>
          <cell r="V725" t="str">
            <v>DIV FRUVER 10kg</v>
          </cell>
          <cell r="W725" t="str">
            <v>Ajuste</v>
          </cell>
          <cell r="X725">
            <v>18</v>
          </cell>
          <cell r="Y725">
            <v>180</v>
          </cell>
        </row>
        <row r="726">
          <cell r="U726" t="str">
            <v>L104138</v>
          </cell>
          <cell r="V726" t="str">
            <v>DIV FRUVER 10kg</v>
          </cell>
          <cell r="W726" t="str">
            <v>Ajuste</v>
          </cell>
          <cell r="X726">
            <v>2</v>
          </cell>
          <cell r="Y726">
            <v>20</v>
          </cell>
        </row>
        <row r="727">
          <cell r="U727" t="str">
            <v>L104138</v>
          </cell>
          <cell r="V727" t="str">
            <v>DIV FRUVER 10kg</v>
          </cell>
          <cell r="W727" t="str">
            <v>Dañado</v>
          </cell>
          <cell r="X727">
            <v>2</v>
          </cell>
          <cell r="Y727">
            <v>20</v>
          </cell>
        </row>
        <row r="728">
          <cell r="U728" t="str">
            <v>L104140</v>
          </cell>
          <cell r="V728" t="str">
            <v>DIV FRUVER 10kg</v>
          </cell>
          <cell r="W728" t="str">
            <v>Ajuste</v>
          </cell>
          <cell r="X728">
            <v>6</v>
          </cell>
          <cell r="Y728">
            <v>60</v>
          </cell>
        </row>
        <row r="729">
          <cell r="U729" t="str">
            <v>L104140</v>
          </cell>
          <cell r="V729" t="str">
            <v>DIV FRUVER 10kg</v>
          </cell>
          <cell r="W729" t="str">
            <v>Dañado</v>
          </cell>
          <cell r="X729">
            <v>6</v>
          </cell>
          <cell r="Y729">
            <v>60</v>
          </cell>
        </row>
        <row r="730">
          <cell r="U730" t="str">
            <v>L104142</v>
          </cell>
          <cell r="V730" t="str">
            <v>DIV FRUVER 10kg</v>
          </cell>
          <cell r="W730" t="str">
            <v>Ajuste</v>
          </cell>
          <cell r="X730">
            <v>13</v>
          </cell>
          <cell r="Y730">
            <v>130</v>
          </cell>
        </row>
        <row r="731">
          <cell r="U731" t="str">
            <v>L104142</v>
          </cell>
          <cell r="V731" t="str">
            <v>DIV FRUVER 10kg</v>
          </cell>
          <cell r="W731" t="str">
            <v>Dañado</v>
          </cell>
          <cell r="X731">
            <v>1</v>
          </cell>
          <cell r="Y731">
            <v>10</v>
          </cell>
        </row>
        <row r="732">
          <cell r="U732" t="str">
            <v>L104144</v>
          </cell>
          <cell r="V732" t="str">
            <v>DIV FRUVER 10kg</v>
          </cell>
          <cell r="W732" t="str">
            <v>Ajuste</v>
          </cell>
          <cell r="X732">
            <v>22</v>
          </cell>
          <cell r="Y732">
            <v>220</v>
          </cell>
        </row>
        <row r="733">
          <cell r="U733" t="str">
            <v>L104146</v>
          </cell>
          <cell r="V733" t="str">
            <v>DIV FRUVER 10kg</v>
          </cell>
          <cell r="W733" t="str">
            <v>Ajuste</v>
          </cell>
          <cell r="X733">
            <v>24</v>
          </cell>
          <cell r="Y733">
            <v>240</v>
          </cell>
        </row>
        <row r="734">
          <cell r="U734" t="str">
            <v>L104149</v>
          </cell>
          <cell r="V734" t="str">
            <v>DIV FRUVER 10kg</v>
          </cell>
          <cell r="W734" t="str">
            <v>Ajuste</v>
          </cell>
          <cell r="X734">
            <v>18</v>
          </cell>
          <cell r="Y734">
            <v>180</v>
          </cell>
        </row>
        <row r="735">
          <cell r="U735" t="str">
            <v>L104277</v>
          </cell>
          <cell r="V735" t="str">
            <v>DIV FRUVER 10kg</v>
          </cell>
          <cell r="W735" t="str">
            <v>Ajuste</v>
          </cell>
          <cell r="X735">
            <v>6</v>
          </cell>
          <cell r="Y735">
            <v>60</v>
          </cell>
        </row>
        <row r="736">
          <cell r="U736" t="str">
            <v>L104279</v>
          </cell>
          <cell r="V736" t="str">
            <v>DIV FRUVER 10kg</v>
          </cell>
          <cell r="W736" t="str">
            <v>Ajuste</v>
          </cell>
          <cell r="X736">
            <v>10</v>
          </cell>
          <cell r="Y736">
            <v>100</v>
          </cell>
        </row>
        <row r="737">
          <cell r="U737" t="str">
            <v>L104294</v>
          </cell>
          <cell r="V737" t="str">
            <v>DIV FRUVER 10kg</v>
          </cell>
          <cell r="W737" t="str">
            <v>Ajuste</v>
          </cell>
          <cell r="X737">
            <v>2</v>
          </cell>
          <cell r="Y737">
            <v>20</v>
          </cell>
        </row>
        <row r="738">
          <cell r="U738" t="str">
            <v>L104372</v>
          </cell>
          <cell r="V738" t="str">
            <v>DIV FRUVER 10kg</v>
          </cell>
          <cell r="W738" t="str">
            <v>Ajuste</v>
          </cell>
          <cell r="X738">
            <v>24</v>
          </cell>
          <cell r="Y738">
            <v>240</v>
          </cell>
        </row>
        <row r="739">
          <cell r="U739" t="str">
            <v>L104378</v>
          </cell>
          <cell r="V739" t="str">
            <v>DIV FRUVER 10kg</v>
          </cell>
          <cell r="W739" t="str">
            <v>Ajuste</v>
          </cell>
          <cell r="X739">
            <v>6</v>
          </cell>
          <cell r="Y739">
            <v>60</v>
          </cell>
        </row>
        <row r="740">
          <cell r="U740" t="str">
            <v>L104380</v>
          </cell>
          <cell r="V740" t="str">
            <v>DIV FRUVER 10kg</v>
          </cell>
          <cell r="W740" t="str">
            <v>Ajuste</v>
          </cell>
          <cell r="X740">
            <v>8</v>
          </cell>
          <cell r="Y740">
            <v>80</v>
          </cell>
        </row>
        <row r="741">
          <cell r="U741" t="str">
            <v>L104388</v>
          </cell>
          <cell r="V741" t="str">
            <v>DIV FRUVER 10kg</v>
          </cell>
          <cell r="W741" t="str">
            <v>Ajuste</v>
          </cell>
          <cell r="X741">
            <v>10</v>
          </cell>
          <cell r="Y741">
            <v>100</v>
          </cell>
        </row>
        <row r="742">
          <cell r="U742" t="str">
            <v>L104428</v>
          </cell>
          <cell r="V742" t="str">
            <v>DIV FRUVER 10kg</v>
          </cell>
          <cell r="W742" t="str">
            <v>Ajuste</v>
          </cell>
          <cell r="X742">
            <v>14</v>
          </cell>
          <cell r="Y742">
            <v>140</v>
          </cell>
        </row>
        <row r="743">
          <cell r="U743" t="str">
            <v>L104430</v>
          </cell>
          <cell r="V743" t="str">
            <v>DIV FRUVER 10kg</v>
          </cell>
          <cell r="W743" t="str">
            <v>Ajuste</v>
          </cell>
          <cell r="X743">
            <v>14</v>
          </cell>
          <cell r="Y743">
            <v>140</v>
          </cell>
        </row>
        <row r="744">
          <cell r="U744" t="str">
            <v>L104461</v>
          </cell>
          <cell r="V744" t="str">
            <v>DIV FRUVER 10kg</v>
          </cell>
          <cell r="W744" t="str">
            <v>Ajuste</v>
          </cell>
          <cell r="X744">
            <v>12</v>
          </cell>
          <cell r="Y744">
            <v>120</v>
          </cell>
        </row>
        <row r="745">
          <cell r="U745" t="str">
            <v>L104524</v>
          </cell>
          <cell r="V745" t="str">
            <v>DIV FRUVER 10kg</v>
          </cell>
          <cell r="W745" t="str">
            <v>Ajuste</v>
          </cell>
          <cell r="X745">
            <v>4</v>
          </cell>
          <cell r="Y745">
            <v>40</v>
          </cell>
        </row>
        <row r="746">
          <cell r="U746" t="str">
            <v>L104538</v>
          </cell>
          <cell r="V746" t="str">
            <v>DIV FRUVER 10kg</v>
          </cell>
          <cell r="W746" t="str">
            <v>Ajuste</v>
          </cell>
          <cell r="X746">
            <v>16</v>
          </cell>
          <cell r="Y746">
            <v>160</v>
          </cell>
        </row>
        <row r="747">
          <cell r="U747" t="str">
            <v>L104540</v>
          </cell>
          <cell r="V747" t="str">
            <v>DIV FRUVER 10kg</v>
          </cell>
          <cell r="W747" t="str">
            <v>Ajuste</v>
          </cell>
          <cell r="X747">
            <v>4</v>
          </cell>
          <cell r="Y747">
            <v>40</v>
          </cell>
        </row>
        <row r="748">
          <cell r="U748" t="str">
            <v>L104590</v>
          </cell>
          <cell r="V748" t="str">
            <v>DIV FRUVER 10kg</v>
          </cell>
          <cell r="W748" t="str">
            <v>Ajuste</v>
          </cell>
          <cell r="X748">
            <v>4</v>
          </cell>
          <cell r="Y748">
            <v>40</v>
          </cell>
        </row>
        <row r="749">
          <cell r="U749" t="str">
            <v>L104612</v>
          </cell>
          <cell r="V749" t="str">
            <v>DIV FRUVER 10kg</v>
          </cell>
          <cell r="W749" t="str">
            <v>Ajuste</v>
          </cell>
          <cell r="X749">
            <v>2</v>
          </cell>
          <cell r="Y749">
            <v>20</v>
          </cell>
        </row>
        <row r="750">
          <cell r="U750" t="str">
            <v>L104746</v>
          </cell>
          <cell r="V750" t="str">
            <v>DIV FRUVER 10kg</v>
          </cell>
          <cell r="W750" t="str">
            <v>Ajuste</v>
          </cell>
          <cell r="X750">
            <v>8</v>
          </cell>
          <cell r="Y750">
            <v>80</v>
          </cell>
        </row>
        <row r="751">
          <cell r="U751" t="str">
            <v>L104748</v>
          </cell>
          <cell r="V751" t="str">
            <v>DIV FRUVER 10kg</v>
          </cell>
          <cell r="W751" t="str">
            <v>Ajuste</v>
          </cell>
          <cell r="X751">
            <v>52</v>
          </cell>
          <cell r="Y751">
            <v>520</v>
          </cell>
        </row>
        <row r="752">
          <cell r="U752" t="str">
            <v>L104751</v>
          </cell>
          <cell r="V752" t="str">
            <v>DIV FRUVER 10kg</v>
          </cell>
          <cell r="W752" t="str">
            <v>Ajuste</v>
          </cell>
          <cell r="X752">
            <v>8</v>
          </cell>
          <cell r="Y752">
            <v>80</v>
          </cell>
        </row>
        <row r="753">
          <cell r="U753" t="str">
            <v>L104752</v>
          </cell>
          <cell r="V753" t="str">
            <v>DIV FRUVER 10kg</v>
          </cell>
          <cell r="W753" t="str">
            <v>Ajuste</v>
          </cell>
          <cell r="X753">
            <v>12</v>
          </cell>
          <cell r="Y753">
            <v>120</v>
          </cell>
        </row>
        <row r="754">
          <cell r="U754" t="str">
            <v>L104802</v>
          </cell>
          <cell r="V754" t="str">
            <v>DIV FRUVER 10kg</v>
          </cell>
          <cell r="W754" t="str">
            <v>Ajuste</v>
          </cell>
          <cell r="X754">
            <v>12</v>
          </cell>
          <cell r="Y754">
            <v>120</v>
          </cell>
        </row>
        <row r="755">
          <cell r="U755" t="str">
            <v>L104805</v>
          </cell>
          <cell r="V755" t="str">
            <v>DIV FRUVER 10kg</v>
          </cell>
          <cell r="W755" t="str">
            <v>Ajuste</v>
          </cell>
          <cell r="X755">
            <v>40</v>
          </cell>
          <cell r="Y755">
            <v>400</v>
          </cell>
        </row>
        <row r="756">
          <cell r="U756" t="str">
            <v>L104853</v>
          </cell>
          <cell r="V756" t="str">
            <v>DIV FRUVER 10kg</v>
          </cell>
          <cell r="W756" t="str">
            <v>Ajuste</v>
          </cell>
          <cell r="X756">
            <v>12</v>
          </cell>
          <cell r="Y756">
            <v>120</v>
          </cell>
        </row>
        <row r="757">
          <cell r="U757" t="str">
            <v>L104854</v>
          </cell>
          <cell r="V757" t="str">
            <v>DIV FRUVER 10kg</v>
          </cell>
          <cell r="W757" t="str">
            <v>Ajuste</v>
          </cell>
          <cell r="X757">
            <v>16</v>
          </cell>
          <cell r="Y757">
            <v>160</v>
          </cell>
        </row>
        <row r="758">
          <cell r="U758" t="str">
            <v>L104856</v>
          </cell>
          <cell r="V758" t="str">
            <v>DIV FRUVER 10kg</v>
          </cell>
          <cell r="W758" t="str">
            <v>Ajuste</v>
          </cell>
          <cell r="X758">
            <v>24</v>
          </cell>
          <cell r="Y758">
            <v>240</v>
          </cell>
        </row>
        <row r="759">
          <cell r="U759" t="str">
            <v>L104888</v>
          </cell>
          <cell r="V759" t="str">
            <v>DIV FRUVER 10kg</v>
          </cell>
          <cell r="W759" t="str">
            <v>Ajuste</v>
          </cell>
          <cell r="X759">
            <v>14</v>
          </cell>
          <cell r="Y759">
            <v>140</v>
          </cell>
        </row>
        <row r="760">
          <cell r="U760" t="str">
            <v>L104890</v>
          </cell>
          <cell r="V760" t="str">
            <v>DIV FRUVER 10kg</v>
          </cell>
          <cell r="W760" t="str">
            <v>Ajuste</v>
          </cell>
          <cell r="X760">
            <v>14</v>
          </cell>
          <cell r="Y760">
            <v>140</v>
          </cell>
        </row>
        <row r="761">
          <cell r="U761" t="str">
            <v>L103949</v>
          </cell>
          <cell r="V761" t="str">
            <v>DIV FRUVER 5kg</v>
          </cell>
          <cell r="W761" t="str">
            <v>Ajuste</v>
          </cell>
          <cell r="X761">
            <v>2</v>
          </cell>
          <cell r="Y761">
            <v>10</v>
          </cell>
        </row>
        <row r="762">
          <cell r="U762" t="str">
            <v>L103970</v>
          </cell>
          <cell r="V762" t="str">
            <v>DIV FRUVER 5kg</v>
          </cell>
          <cell r="W762" t="str">
            <v>Ajuste</v>
          </cell>
          <cell r="X762">
            <v>2</v>
          </cell>
          <cell r="Y762">
            <v>10</v>
          </cell>
        </row>
        <row r="763">
          <cell r="U763" t="str">
            <v>L104147</v>
          </cell>
          <cell r="V763" t="str">
            <v>DIV FRUVER 5kg</v>
          </cell>
          <cell r="W763" t="str">
            <v>Ajuste</v>
          </cell>
          <cell r="X763">
            <v>12</v>
          </cell>
          <cell r="Y763">
            <v>60</v>
          </cell>
        </row>
        <row r="764">
          <cell r="U764" t="str">
            <v>L104295</v>
          </cell>
          <cell r="V764" t="str">
            <v>DIV FRUVER 5kg</v>
          </cell>
          <cell r="W764" t="str">
            <v>Ajuste</v>
          </cell>
          <cell r="X764">
            <v>2</v>
          </cell>
          <cell r="Y764">
            <v>10</v>
          </cell>
        </row>
        <row r="765">
          <cell r="U765" t="str">
            <v>L104803</v>
          </cell>
          <cell r="V765" t="str">
            <v>DIV FRUVER 5kg</v>
          </cell>
          <cell r="W765" t="str">
            <v>Ajuste</v>
          </cell>
          <cell r="X765">
            <v>10</v>
          </cell>
          <cell r="Y765">
            <v>50</v>
          </cell>
        </row>
        <row r="766">
          <cell r="U766" t="str">
            <v>L104466</v>
          </cell>
          <cell r="V766" t="str">
            <v>DIV GABCNESPJ</v>
          </cell>
          <cell r="W766" t="str">
            <v>Ajuste</v>
          </cell>
          <cell r="X766">
            <v>10</v>
          </cell>
          <cell r="Y766">
            <v>330</v>
          </cell>
        </row>
        <row r="767">
          <cell r="U767" t="str">
            <v>L104773</v>
          </cell>
          <cell r="V767" t="str">
            <v>DIV GLDV 5kg</v>
          </cell>
          <cell r="W767" t="str">
            <v>Ajuste</v>
          </cell>
          <cell r="X767">
            <v>4</v>
          </cell>
          <cell r="Y767">
            <v>20</v>
          </cell>
        </row>
        <row r="768">
          <cell r="U768" t="str">
            <v>L104037</v>
          </cell>
          <cell r="V768" t="str">
            <v>DIV GLT 2kg</v>
          </cell>
          <cell r="W768" t="str">
            <v>Ajuste</v>
          </cell>
          <cell r="X768">
            <v>30</v>
          </cell>
          <cell r="Y768">
            <v>60</v>
          </cell>
        </row>
        <row r="769">
          <cell r="U769" t="str">
            <v>L104302</v>
          </cell>
          <cell r="V769" t="str">
            <v>DIV GLV 2kg</v>
          </cell>
          <cell r="W769" t="str">
            <v>Ajuste</v>
          </cell>
          <cell r="X769">
            <v>39</v>
          </cell>
          <cell r="Y769">
            <v>78</v>
          </cell>
        </row>
        <row r="770">
          <cell r="U770" t="str">
            <v>L103834</v>
          </cell>
          <cell r="V770" t="str">
            <v>DIV GTA 2.5kg</v>
          </cell>
          <cell r="W770" t="str">
            <v>Ajuste</v>
          </cell>
          <cell r="X770">
            <v>74</v>
          </cell>
          <cell r="Y770">
            <v>185</v>
          </cell>
        </row>
        <row r="771">
          <cell r="U771" t="str">
            <v>L103835</v>
          </cell>
          <cell r="V771" t="str">
            <v>DIV GTA 2kg</v>
          </cell>
          <cell r="W771" t="str">
            <v>Ajuste</v>
          </cell>
          <cell r="X771">
            <v>44</v>
          </cell>
          <cell r="Y771">
            <v>88</v>
          </cell>
        </row>
        <row r="772">
          <cell r="U772" t="str">
            <v>L103836</v>
          </cell>
          <cell r="V772" t="str">
            <v>DIV GTA 2kg</v>
          </cell>
          <cell r="W772" t="str">
            <v>Ajuste</v>
          </cell>
          <cell r="X772">
            <v>4</v>
          </cell>
          <cell r="Y772">
            <v>8</v>
          </cell>
        </row>
        <row r="773">
          <cell r="U773" t="str">
            <v>L104908</v>
          </cell>
          <cell r="V773" t="str">
            <v>DIV GTA 2kg</v>
          </cell>
          <cell r="W773" t="str">
            <v>Ajuste</v>
          </cell>
          <cell r="X773">
            <v>10</v>
          </cell>
          <cell r="Y773">
            <v>20</v>
          </cell>
        </row>
        <row r="774">
          <cell r="U774" t="str">
            <v>L104909</v>
          </cell>
          <cell r="V774" t="str">
            <v>DIV GTA 2kg</v>
          </cell>
          <cell r="W774" t="str">
            <v>Ajuste</v>
          </cell>
          <cell r="X774">
            <v>10</v>
          </cell>
          <cell r="Y774">
            <v>20</v>
          </cell>
        </row>
        <row r="775">
          <cell r="U775" t="str">
            <v>L104910</v>
          </cell>
          <cell r="V775" t="str">
            <v>DIV GTA 2kg</v>
          </cell>
          <cell r="W775" t="str">
            <v>Ajuste</v>
          </cell>
          <cell r="X775">
            <v>76</v>
          </cell>
          <cell r="Y775">
            <v>152</v>
          </cell>
        </row>
        <row r="776">
          <cell r="U776" t="str">
            <v>L104895</v>
          </cell>
          <cell r="V776" t="str">
            <v>DIV GUD 2kg</v>
          </cell>
          <cell r="W776" t="str">
            <v>Ajuste</v>
          </cell>
          <cell r="X776">
            <v>44</v>
          </cell>
          <cell r="Y776">
            <v>88</v>
          </cell>
        </row>
        <row r="777">
          <cell r="U777" t="str">
            <v>L104034</v>
          </cell>
          <cell r="V777" t="str">
            <v>DIV HAV 5kg</v>
          </cell>
          <cell r="W777" t="str">
            <v>Ajuste</v>
          </cell>
          <cell r="X777">
            <v>4</v>
          </cell>
          <cell r="Y777">
            <v>20</v>
          </cell>
        </row>
        <row r="778">
          <cell r="U778" t="str">
            <v>L103777</v>
          </cell>
          <cell r="V778" t="str">
            <v>DIV HDG 30UNI</v>
          </cell>
          <cell r="W778" t="str">
            <v>Ajuste</v>
          </cell>
          <cell r="X778">
            <v>204</v>
          </cell>
          <cell r="Y778">
            <v>408</v>
          </cell>
        </row>
        <row r="779">
          <cell r="U779" t="str">
            <v>L103951</v>
          </cell>
          <cell r="V779" t="str">
            <v>DIV HDG 30UNI</v>
          </cell>
          <cell r="W779" t="str">
            <v>Ajuste</v>
          </cell>
          <cell r="X779">
            <v>14</v>
          </cell>
          <cell r="Y779">
            <v>28</v>
          </cell>
        </row>
        <row r="780">
          <cell r="U780" t="str">
            <v>L104134</v>
          </cell>
          <cell r="V780" t="str">
            <v>DIV HDG 30UNI</v>
          </cell>
          <cell r="W780" t="str">
            <v>Ajuste</v>
          </cell>
          <cell r="X780">
            <v>14</v>
          </cell>
          <cell r="Y780">
            <v>28</v>
          </cell>
        </row>
        <row r="781">
          <cell r="U781" t="str">
            <v>L104217</v>
          </cell>
          <cell r="V781" t="str">
            <v>DIV HDG 30UNI</v>
          </cell>
          <cell r="W781" t="str">
            <v>Ajuste</v>
          </cell>
          <cell r="X781">
            <v>14</v>
          </cell>
          <cell r="Y781">
            <v>28</v>
          </cell>
        </row>
        <row r="782">
          <cell r="U782" t="str">
            <v>L104236</v>
          </cell>
          <cell r="V782" t="str">
            <v>DIV HDG 30UNI</v>
          </cell>
          <cell r="W782" t="str">
            <v>Ajuste</v>
          </cell>
          <cell r="X782">
            <v>360</v>
          </cell>
          <cell r="Y782">
            <v>720</v>
          </cell>
        </row>
        <row r="783">
          <cell r="U783" t="str">
            <v>L104237</v>
          </cell>
          <cell r="V783" t="str">
            <v>DIV HDG 30UNI</v>
          </cell>
          <cell r="W783" t="str">
            <v>Ajuste</v>
          </cell>
          <cell r="X783">
            <v>120</v>
          </cell>
          <cell r="Y783">
            <v>240</v>
          </cell>
        </row>
        <row r="784">
          <cell r="U784" t="str">
            <v>L104365</v>
          </cell>
          <cell r="V784" t="str">
            <v>DIV HDG 30UNI</v>
          </cell>
          <cell r="W784" t="str">
            <v>Ajuste</v>
          </cell>
          <cell r="X784">
            <v>10</v>
          </cell>
          <cell r="Y784">
            <v>20</v>
          </cell>
        </row>
        <row r="785">
          <cell r="U785" t="str">
            <v>L104518</v>
          </cell>
          <cell r="V785" t="str">
            <v>DIV HDG 30UNI</v>
          </cell>
          <cell r="W785" t="str">
            <v>Ajuste</v>
          </cell>
          <cell r="X785">
            <v>6</v>
          </cell>
          <cell r="Y785">
            <v>12</v>
          </cell>
        </row>
        <row r="786">
          <cell r="U786" t="str">
            <v>L104620</v>
          </cell>
          <cell r="V786" t="str">
            <v>DIV HDG 30UNI</v>
          </cell>
          <cell r="W786" t="str">
            <v>Ajuste</v>
          </cell>
          <cell r="X786">
            <v>384</v>
          </cell>
          <cell r="Y786">
            <v>768</v>
          </cell>
        </row>
        <row r="787">
          <cell r="U787" t="str">
            <v>L104755</v>
          </cell>
          <cell r="V787" t="str">
            <v>DIV HDG 30UNI</v>
          </cell>
          <cell r="W787" t="str">
            <v>Ajuste</v>
          </cell>
          <cell r="X787">
            <v>8</v>
          </cell>
          <cell r="Y787">
            <v>16</v>
          </cell>
        </row>
        <row r="788">
          <cell r="U788" t="str">
            <v>L103776</v>
          </cell>
          <cell r="V788" t="str">
            <v>DIV HIDP 7KG</v>
          </cell>
          <cell r="W788" t="str">
            <v>Ajuste</v>
          </cell>
          <cell r="X788">
            <v>2</v>
          </cell>
          <cell r="Y788">
            <v>14</v>
          </cell>
        </row>
        <row r="789">
          <cell r="U789" t="str">
            <v>L104358</v>
          </cell>
          <cell r="V789" t="str">
            <v>DIV HRN 2kg</v>
          </cell>
          <cell r="W789" t="str">
            <v>Ajuste</v>
          </cell>
          <cell r="X789">
            <v>8</v>
          </cell>
          <cell r="Y789">
            <v>16</v>
          </cell>
        </row>
        <row r="790">
          <cell r="U790" t="str">
            <v>L103778</v>
          </cell>
          <cell r="V790" t="str">
            <v>DIV HVG 25kg</v>
          </cell>
          <cell r="W790" t="str">
            <v>Ajuste</v>
          </cell>
          <cell r="X790">
            <v>8</v>
          </cell>
          <cell r="Y790">
            <v>200</v>
          </cell>
        </row>
        <row r="791">
          <cell r="U791" t="str">
            <v>L103779</v>
          </cell>
          <cell r="V791" t="str">
            <v>DIV HVG 25kg</v>
          </cell>
          <cell r="W791" t="str">
            <v>Ajuste</v>
          </cell>
          <cell r="X791">
            <v>6</v>
          </cell>
          <cell r="Y791">
            <v>150</v>
          </cell>
        </row>
        <row r="792">
          <cell r="U792" t="str">
            <v>L104859</v>
          </cell>
          <cell r="V792" t="str">
            <v>DIV HVG 25kg</v>
          </cell>
          <cell r="W792" t="str">
            <v>Ajuste</v>
          </cell>
          <cell r="X792">
            <v>4</v>
          </cell>
          <cell r="Y792">
            <v>100</v>
          </cell>
        </row>
        <row r="793">
          <cell r="U793" t="str">
            <v>L104355</v>
          </cell>
          <cell r="V793" t="str">
            <v>DIV JB 2kg</v>
          </cell>
          <cell r="W793" t="str">
            <v>Ajuste</v>
          </cell>
          <cell r="X793">
            <v>8</v>
          </cell>
          <cell r="Y793">
            <v>16</v>
          </cell>
        </row>
        <row r="794">
          <cell r="U794" t="str">
            <v>L104902</v>
          </cell>
          <cell r="V794" t="str">
            <v>DIV JGO 24x200mL</v>
          </cell>
          <cell r="W794" t="str">
            <v>Ajuste</v>
          </cell>
          <cell r="X794">
            <v>26</v>
          </cell>
          <cell r="Y794">
            <v>62.4</v>
          </cell>
        </row>
        <row r="795">
          <cell r="U795" t="str">
            <v>L104270</v>
          </cell>
          <cell r="V795" t="str">
            <v>DIV JLP 2kg</v>
          </cell>
          <cell r="W795" t="str">
            <v>Ajuste</v>
          </cell>
          <cell r="X795">
            <v>134</v>
          </cell>
          <cell r="Y795">
            <v>268</v>
          </cell>
        </row>
        <row r="796">
          <cell r="U796" t="str">
            <v>L104158</v>
          </cell>
          <cell r="V796" t="str">
            <v>DIV JLP 2kg</v>
          </cell>
          <cell r="W796" t="str">
            <v>Ajuste</v>
          </cell>
          <cell r="X796">
            <v>12</v>
          </cell>
          <cell r="Y796">
            <v>24</v>
          </cell>
        </row>
        <row r="797">
          <cell r="U797" t="str">
            <v>L104269</v>
          </cell>
          <cell r="V797" t="str">
            <v>DIV JLPL 2kg</v>
          </cell>
          <cell r="W797" t="str">
            <v>Ajuste</v>
          </cell>
          <cell r="X797">
            <v>90</v>
          </cell>
          <cell r="Y797">
            <v>180</v>
          </cell>
        </row>
        <row r="798">
          <cell r="U798" t="str">
            <v>L104543</v>
          </cell>
          <cell r="V798" t="str">
            <v>DIV JMAH 2kg</v>
          </cell>
          <cell r="W798" t="str">
            <v>Ajuste</v>
          </cell>
          <cell r="X798">
            <v>8</v>
          </cell>
          <cell r="Y798">
            <v>16</v>
          </cell>
        </row>
        <row r="799">
          <cell r="U799" t="str">
            <v>L104542</v>
          </cell>
          <cell r="V799" t="str">
            <v>DIV JMANV 2kg</v>
          </cell>
          <cell r="W799" t="str">
            <v>Ajuste</v>
          </cell>
          <cell r="X799">
            <v>104</v>
          </cell>
          <cell r="Y799">
            <v>208</v>
          </cell>
        </row>
        <row r="800">
          <cell r="U800" t="str">
            <v>L104798</v>
          </cell>
          <cell r="V800" t="str">
            <v>DIV KTPBBQ 24x397g</v>
          </cell>
          <cell r="W800" t="str">
            <v>Ajuste</v>
          </cell>
          <cell r="X800">
            <v>18</v>
          </cell>
          <cell r="Y800">
            <v>180</v>
          </cell>
        </row>
        <row r="801">
          <cell r="U801" t="str">
            <v>L103759</v>
          </cell>
          <cell r="V801" t="str">
            <v>DIV LCH 48X314g</v>
          </cell>
          <cell r="W801" t="str">
            <v>Ajuste</v>
          </cell>
          <cell r="X801">
            <v>1298</v>
          </cell>
          <cell r="Y801">
            <v>23364</v>
          </cell>
        </row>
        <row r="802">
          <cell r="U802" t="str">
            <v>L104627</v>
          </cell>
          <cell r="V802" t="str">
            <v>DIV LCH 96X167g</v>
          </cell>
          <cell r="W802" t="str">
            <v>Ajuste</v>
          </cell>
          <cell r="X802">
            <v>1334</v>
          </cell>
          <cell r="Y802">
            <v>25346</v>
          </cell>
        </row>
        <row r="803">
          <cell r="U803" t="str">
            <v>L104801</v>
          </cell>
          <cell r="V803" t="str">
            <v>DIV LCH 96X167g</v>
          </cell>
          <cell r="W803" t="str">
            <v>Ajuste</v>
          </cell>
          <cell r="X803">
            <v>96</v>
          </cell>
          <cell r="Y803">
            <v>1824</v>
          </cell>
        </row>
        <row r="804">
          <cell r="U804" t="str">
            <v>L103833</v>
          </cell>
          <cell r="V804" t="str">
            <v>DIV LCH EV 2kg</v>
          </cell>
          <cell r="W804" t="str">
            <v>Ajuste</v>
          </cell>
          <cell r="X804">
            <v>284</v>
          </cell>
          <cell r="Y804">
            <v>568</v>
          </cell>
        </row>
        <row r="805">
          <cell r="U805" t="str">
            <v>L104474</v>
          </cell>
          <cell r="V805" t="str">
            <v>DIV MDP 5kg</v>
          </cell>
          <cell r="W805" t="str">
            <v>Ajuste</v>
          </cell>
          <cell r="X805">
            <v>400</v>
          </cell>
          <cell r="Y805">
            <v>2000</v>
          </cell>
        </row>
        <row r="806">
          <cell r="U806" t="str">
            <v>L103841</v>
          </cell>
          <cell r="V806" t="str">
            <v>DIV Menestra kg</v>
          </cell>
          <cell r="W806" t="str">
            <v>Ajuste</v>
          </cell>
          <cell r="X806">
            <v>2770</v>
          </cell>
          <cell r="Y806">
            <v>2770</v>
          </cell>
        </row>
        <row r="807">
          <cell r="U807" t="str">
            <v>L103875</v>
          </cell>
          <cell r="V807" t="str">
            <v>DIV MERMA DE FRUVER 1kg</v>
          </cell>
          <cell r="W807" t="str">
            <v>Ajuste</v>
          </cell>
          <cell r="X807">
            <v>40</v>
          </cell>
          <cell r="Y807">
            <v>40</v>
          </cell>
        </row>
        <row r="808">
          <cell r="U808" t="str">
            <v>L103877</v>
          </cell>
          <cell r="V808" t="str">
            <v>DIV MERMA DE FRUVER 1kg</v>
          </cell>
          <cell r="W808" t="str">
            <v>Ajuste</v>
          </cell>
          <cell r="X808">
            <v>20</v>
          </cell>
          <cell r="Y808">
            <v>20</v>
          </cell>
        </row>
        <row r="809">
          <cell r="U809" t="str">
            <v>L103879</v>
          </cell>
          <cell r="V809" t="str">
            <v>DIV MERMA DE FRUVER 1kg</v>
          </cell>
          <cell r="W809" t="str">
            <v>Ajuste</v>
          </cell>
          <cell r="X809">
            <v>24</v>
          </cell>
          <cell r="Y809">
            <v>24</v>
          </cell>
        </row>
        <row r="810">
          <cell r="U810" t="str">
            <v>L103950</v>
          </cell>
          <cell r="V810" t="str">
            <v>DIV MERMA DE FRUVER 1kg</v>
          </cell>
          <cell r="W810" t="str">
            <v>Ajuste</v>
          </cell>
          <cell r="X810">
            <v>16</v>
          </cell>
          <cell r="Y810">
            <v>16</v>
          </cell>
        </row>
        <row r="811">
          <cell r="U811" t="str">
            <v>L103968</v>
          </cell>
          <cell r="V811" t="str">
            <v>DIV MERMA DE FRUVER 1kg</v>
          </cell>
          <cell r="W811" t="str">
            <v>Ajuste</v>
          </cell>
          <cell r="X811">
            <v>12</v>
          </cell>
          <cell r="Y811">
            <v>12</v>
          </cell>
        </row>
        <row r="812">
          <cell r="U812" t="str">
            <v>L103971</v>
          </cell>
          <cell r="V812" t="str">
            <v>DIV MERMA DE FRUVER 1kg</v>
          </cell>
          <cell r="W812" t="str">
            <v>Ajuste</v>
          </cell>
          <cell r="X812">
            <v>14</v>
          </cell>
          <cell r="Y812">
            <v>14</v>
          </cell>
        </row>
        <row r="813">
          <cell r="U813" t="str">
            <v>L103973</v>
          </cell>
          <cell r="V813" t="str">
            <v>DIV MERMA DE FRUVER 1kg</v>
          </cell>
          <cell r="W813" t="str">
            <v>Ajuste</v>
          </cell>
          <cell r="X813">
            <v>18</v>
          </cell>
          <cell r="Y813">
            <v>18</v>
          </cell>
        </row>
        <row r="814">
          <cell r="U814" t="str">
            <v>L104139</v>
          </cell>
          <cell r="V814" t="str">
            <v>DIV MERMA DE FRUVER 1kg</v>
          </cell>
          <cell r="W814" t="str">
            <v>Ajuste</v>
          </cell>
          <cell r="X814">
            <v>12</v>
          </cell>
          <cell r="Y814">
            <v>12</v>
          </cell>
        </row>
        <row r="815">
          <cell r="U815" t="str">
            <v>L104141</v>
          </cell>
          <cell r="V815" t="str">
            <v>DIV MERMA DE FRUVER 1kg</v>
          </cell>
          <cell r="W815" t="str">
            <v>Ajuste</v>
          </cell>
          <cell r="X815">
            <v>46</v>
          </cell>
          <cell r="Y815">
            <v>46</v>
          </cell>
        </row>
        <row r="816">
          <cell r="U816" t="str">
            <v>L104143</v>
          </cell>
          <cell r="V816" t="str">
            <v>DIV MERMA DE FRUVER 1kg</v>
          </cell>
          <cell r="W816" t="str">
            <v>Ajuste</v>
          </cell>
          <cell r="X816">
            <v>30</v>
          </cell>
          <cell r="Y816">
            <v>30</v>
          </cell>
        </row>
        <row r="817">
          <cell r="U817" t="str">
            <v>L104145</v>
          </cell>
          <cell r="V817" t="str">
            <v>DIV MERMA DE FRUVER 1kg</v>
          </cell>
          <cell r="W817" t="str">
            <v>Ajuste</v>
          </cell>
          <cell r="X817">
            <v>80</v>
          </cell>
          <cell r="Y817">
            <v>80</v>
          </cell>
        </row>
        <row r="818">
          <cell r="U818" t="str">
            <v>L104148</v>
          </cell>
          <cell r="V818" t="str">
            <v>DIV MERMA DE FRUVER 1kg</v>
          </cell>
          <cell r="W818" t="str">
            <v>Ajuste</v>
          </cell>
          <cell r="X818">
            <v>70</v>
          </cell>
          <cell r="Y818">
            <v>70</v>
          </cell>
        </row>
        <row r="819">
          <cell r="U819" t="str">
            <v>L104150</v>
          </cell>
          <cell r="V819" t="str">
            <v>DIV MERMA DE FRUVER 1kg</v>
          </cell>
          <cell r="W819" t="str">
            <v>Ajuste</v>
          </cell>
          <cell r="X819">
            <v>36</v>
          </cell>
          <cell r="Y819">
            <v>36</v>
          </cell>
        </row>
        <row r="820">
          <cell r="U820" t="str">
            <v>L104254</v>
          </cell>
          <cell r="V820" t="str">
            <v>DIV MERMA DE FRUVER 1kg</v>
          </cell>
          <cell r="W820" t="str">
            <v>Ajuste</v>
          </cell>
          <cell r="X820">
            <v>36</v>
          </cell>
          <cell r="Y820">
            <v>36</v>
          </cell>
        </row>
        <row r="821">
          <cell r="U821" t="str">
            <v>L104278</v>
          </cell>
          <cell r="V821" t="str">
            <v>DIV MERMA DE FRUVER 1kg</v>
          </cell>
          <cell r="W821" t="str">
            <v>Ajuste</v>
          </cell>
          <cell r="X821">
            <v>20</v>
          </cell>
          <cell r="Y821">
            <v>20</v>
          </cell>
        </row>
        <row r="822">
          <cell r="U822" t="str">
            <v>L104373</v>
          </cell>
          <cell r="V822" t="str">
            <v>DIV MERMA DE FRUVER 1kg</v>
          </cell>
          <cell r="W822" t="str">
            <v>Ajuste</v>
          </cell>
          <cell r="X822">
            <v>80</v>
          </cell>
          <cell r="Y822">
            <v>80</v>
          </cell>
        </row>
        <row r="823">
          <cell r="U823" t="str">
            <v>L104379</v>
          </cell>
          <cell r="V823" t="str">
            <v>DIV MERMA DE FRUVER 1kg</v>
          </cell>
          <cell r="W823" t="str">
            <v>Ajuste</v>
          </cell>
          <cell r="X823">
            <v>16</v>
          </cell>
          <cell r="Y823">
            <v>16</v>
          </cell>
        </row>
        <row r="824">
          <cell r="U824" t="str">
            <v>L104381</v>
          </cell>
          <cell r="V824" t="str">
            <v>DIV MERMA DE FRUVER 1kg</v>
          </cell>
          <cell r="W824" t="str">
            <v>Ajuste</v>
          </cell>
          <cell r="X824">
            <v>16</v>
          </cell>
          <cell r="Y824">
            <v>16</v>
          </cell>
        </row>
        <row r="825">
          <cell r="U825" t="str">
            <v>L104390</v>
          </cell>
          <cell r="V825" t="str">
            <v>DIV MERMA DE FRUVER 1kg</v>
          </cell>
          <cell r="W825" t="str">
            <v>Ajuste</v>
          </cell>
          <cell r="X825">
            <v>14</v>
          </cell>
          <cell r="Y825">
            <v>14</v>
          </cell>
        </row>
        <row r="826">
          <cell r="U826" t="str">
            <v>L104429</v>
          </cell>
          <cell r="V826" t="str">
            <v>DIV MERMA DE FRUVER 1kg</v>
          </cell>
          <cell r="W826" t="str">
            <v>Ajuste</v>
          </cell>
          <cell r="X826">
            <v>16</v>
          </cell>
          <cell r="Y826">
            <v>16</v>
          </cell>
        </row>
        <row r="827">
          <cell r="U827" t="str">
            <v>L104431</v>
          </cell>
          <cell r="V827" t="str">
            <v>DIV MERMA DE FRUVER 1kg</v>
          </cell>
          <cell r="W827" t="str">
            <v>Ajuste</v>
          </cell>
          <cell r="X827">
            <v>24</v>
          </cell>
          <cell r="Y827">
            <v>24</v>
          </cell>
        </row>
        <row r="828">
          <cell r="U828" t="str">
            <v>L104525</v>
          </cell>
          <cell r="V828" t="str">
            <v>DIV MERMA DE FRUVER 1kg</v>
          </cell>
          <cell r="W828" t="str">
            <v>Ajuste</v>
          </cell>
          <cell r="X828">
            <v>12</v>
          </cell>
          <cell r="Y828">
            <v>12</v>
          </cell>
        </row>
        <row r="829">
          <cell r="U829" t="str">
            <v>L104539</v>
          </cell>
          <cell r="V829" t="str">
            <v>DIV MERMA DE FRUVER 1kg</v>
          </cell>
          <cell r="W829" t="str">
            <v>Ajuste</v>
          </cell>
          <cell r="X829">
            <v>70</v>
          </cell>
          <cell r="Y829">
            <v>70</v>
          </cell>
        </row>
        <row r="830">
          <cell r="U830" t="str">
            <v>L104541</v>
          </cell>
          <cell r="V830" t="str">
            <v>DIV MERMA DE FRUVER 1kg</v>
          </cell>
          <cell r="W830" t="str">
            <v>Ajuste</v>
          </cell>
          <cell r="X830">
            <v>26</v>
          </cell>
          <cell r="Y830">
            <v>26</v>
          </cell>
        </row>
        <row r="831">
          <cell r="U831" t="str">
            <v>L104591</v>
          </cell>
          <cell r="V831" t="str">
            <v>DIV MERMA DE FRUVER 1kg</v>
          </cell>
          <cell r="W831" t="str">
            <v>Ajuste</v>
          </cell>
          <cell r="X831">
            <v>8</v>
          </cell>
          <cell r="Y831">
            <v>8</v>
          </cell>
        </row>
        <row r="832">
          <cell r="U832" t="str">
            <v>L104747</v>
          </cell>
          <cell r="V832" t="str">
            <v>DIV MERMA DE FRUVER 1kg</v>
          </cell>
          <cell r="W832" t="str">
            <v>Ajuste</v>
          </cell>
          <cell r="X832">
            <v>36</v>
          </cell>
          <cell r="Y832">
            <v>36</v>
          </cell>
        </row>
        <row r="833">
          <cell r="U833" t="str">
            <v>L104749</v>
          </cell>
          <cell r="V833" t="str">
            <v>DIV MERMA DE FRUVER 1kg</v>
          </cell>
          <cell r="W833" t="str">
            <v>Ajuste</v>
          </cell>
          <cell r="X833">
            <v>102</v>
          </cell>
          <cell r="Y833">
            <v>102</v>
          </cell>
        </row>
        <row r="834">
          <cell r="U834" t="str">
            <v>L104750</v>
          </cell>
          <cell r="V834" t="str">
            <v>DIV MERMA DE FRUVER 1kg</v>
          </cell>
          <cell r="W834" t="str">
            <v>Ajuste</v>
          </cell>
          <cell r="X834">
            <v>74</v>
          </cell>
          <cell r="Y834">
            <v>74</v>
          </cell>
        </row>
        <row r="835">
          <cell r="U835" t="str">
            <v>L104753</v>
          </cell>
          <cell r="V835" t="str">
            <v>DIV MERMA DE FRUVER 1kg</v>
          </cell>
          <cell r="W835" t="str">
            <v>Ajuste</v>
          </cell>
          <cell r="X835">
            <v>36</v>
          </cell>
          <cell r="Y835">
            <v>36</v>
          </cell>
        </row>
        <row r="836">
          <cell r="U836" t="str">
            <v>L104804</v>
          </cell>
          <cell r="V836" t="str">
            <v>DIV MERMA DE FRUVER 1kg</v>
          </cell>
          <cell r="W836" t="str">
            <v>Ajuste</v>
          </cell>
          <cell r="X836">
            <v>30</v>
          </cell>
          <cell r="Y836">
            <v>30</v>
          </cell>
        </row>
        <row r="837">
          <cell r="U837" t="str">
            <v>L104806</v>
          </cell>
          <cell r="V837" t="str">
            <v>DIV MERMA DE FRUVER 1kg</v>
          </cell>
          <cell r="W837" t="str">
            <v>Ajuste</v>
          </cell>
          <cell r="X837">
            <v>240</v>
          </cell>
          <cell r="Y837">
            <v>240</v>
          </cell>
        </row>
        <row r="838">
          <cell r="U838" t="str">
            <v>L104855</v>
          </cell>
          <cell r="V838" t="str">
            <v>DIV MERMA DE FRUVER 1kg</v>
          </cell>
          <cell r="W838" t="str">
            <v>Ajuste</v>
          </cell>
          <cell r="X838">
            <v>40</v>
          </cell>
          <cell r="Y838">
            <v>40</v>
          </cell>
        </row>
        <row r="839">
          <cell r="U839" t="str">
            <v>L104857</v>
          </cell>
          <cell r="V839" t="str">
            <v>DIV MERMA DE FRUVER 1kg</v>
          </cell>
          <cell r="W839" t="str">
            <v>Ajuste</v>
          </cell>
          <cell r="X839">
            <v>56</v>
          </cell>
          <cell r="Y839">
            <v>56</v>
          </cell>
        </row>
        <row r="840">
          <cell r="U840" t="str">
            <v>L104889</v>
          </cell>
          <cell r="V840" t="str">
            <v>DIV MERMA DE FRUVER 1kg</v>
          </cell>
          <cell r="W840" t="str">
            <v>Ajuste</v>
          </cell>
          <cell r="X840">
            <v>30</v>
          </cell>
          <cell r="Y840">
            <v>30</v>
          </cell>
        </row>
        <row r="841">
          <cell r="U841" t="str">
            <v>L104891</v>
          </cell>
          <cell r="V841" t="str">
            <v>DIV MERMA DE FRUVER 1kg</v>
          </cell>
          <cell r="W841" t="str">
            <v>Ajuste</v>
          </cell>
          <cell r="X841">
            <v>24</v>
          </cell>
          <cell r="Y841">
            <v>24</v>
          </cell>
        </row>
        <row r="842">
          <cell r="U842" t="str">
            <v>L104907</v>
          </cell>
          <cell r="V842" t="str">
            <v>DIV MNS 2kg</v>
          </cell>
          <cell r="W842" t="str">
            <v>Ajuste</v>
          </cell>
          <cell r="X842">
            <v>4</v>
          </cell>
          <cell r="Y842">
            <v>8</v>
          </cell>
        </row>
        <row r="843">
          <cell r="U843" t="str">
            <v>L104898</v>
          </cell>
          <cell r="V843" t="str">
            <v>DIV MRL 1kg</v>
          </cell>
          <cell r="W843" t="str">
            <v>Ajuste</v>
          </cell>
          <cell r="X843">
            <v>6</v>
          </cell>
          <cell r="Y843">
            <v>6</v>
          </cell>
        </row>
        <row r="844">
          <cell r="U844" t="str">
            <v>L104521</v>
          </cell>
          <cell r="V844" t="str">
            <v>DIV MTQ 2kg</v>
          </cell>
          <cell r="W844" t="str">
            <v>Ajuste</v>
          </cell>
          <cell r="X844">
            <v>10</v>
          </cell>
          <cell r="Y844">
            <v>20</v>
          </cell>
        </row>
        <row r="845">
          <cell r="U845" t="str">
            <v>L103772</v>
          </cell>
          <cell r="V845" t="str">
            <v>DIV MXTCD 5kg</v>
          </cell>
          <cell r="W845" t="str">
            <v>Ajuste</v>
          </cell>
          <cell r="X845">
            <v>56</v>
          </cell>
          <cell r="Y845">
            <v>280</v>
          </cell>
        </row>
        <row r="846">
          <cell r="U846" t="str">
            <v>L104700</v>
          </cell>
          <cell r="V846" t="str">
            <v>DIV MXTCD 5kg</v>
          </cell>
          <cell r="W846" t="str">
            <v>Ajuste</v>
          </cell>
          <cell r="X846">
            <v>24</v>
          </cell>
          <cell r="Y846">
            <v>120</v>
          </cell>
        </row>
        <row r="847">
          <cell r="U847" t="str">
            <v>L104772</v>
          </cell>
          <cell r="V847" t="str">
            <v>DIV MYN 2kg</v>
          </cell>
          <cell r="W847" t="str">
            <v>Ajuste</v>
          </cell>
          <cell r="X847">
            <v>4</v>
          </cell>
          <cell r="Y847">
            <v>8</v>
          </cell>
        </row>
        <row r="848">
          <cell r="U848" t="str">
            <v>L104301</v>
          </cell>
          <cell r="V848" t="str">
            <v>DIV MZL 2kg</v>
          </cell>
          <cell r="W848" t="str">
            <v>Ajuste</v>
          </cell>
          <cell r="X848">
            <v>2</v>
          </cell>
          <cell r="Y848">
            <v>4</v>
          </cell>
        </row>
        <row r="849">
          <cell r="U849" t="str">
            <v>L103980</v>
          </cell>
          <cell r="V849" t="str">
            <v>DIV PASTV 2kg</v>
          </cell>
          <cell r="W849" t="str">
            <v>Ajuste</v>
          </cell>
          <cell r="X849">
            <v>6</v>
          </cell>
          <cell r="Y849">
            <v>12</v>
          </cell>
        </row>
        <row r="850">
          <cell r="U850" t="str">
            <v>L104298</v>
          </cell>
          <cell r="V850" t="str">
            <v>DIV PASTV 2kg</v>
          </cell>
          <cell r="W850" t="str">
            <v>Ajuste</v>
          </cell>
          <cell r="X850">
            <v>26</v>
          </cell>
          <cell r="Y850">
            <v>52</v>
          </cell>
        </row>
        <row r="851">
          <cell r="U851" t="str">
            <v>L104611</v>
          </cell>
          <cell r="V851" t="str">
            <v>DIV PASTV 2kg</v>
          </cell>
          <cell r="W851" t="str">
            <v>Ajuste</v>
          </cell>
          <cell r="X851">
            <v>12</v>
          </cell>
          <cell r="Y851">
            <v>24</v>
          </cell>
        </row>
        <row r="852">
          <cell r="U852" t="str">
            <v>L104299</v>
          </cell>
          <cell r="V852" t="str">
            <v>DIV PASTV 6kg</v>
          </cell>
          <cell r="W852" t="str">
            <v>Ajuste</v>
          </cell>
          <cell r="X852">
            <v>4</v>
          </cell>
          <cell r="Y852">
            <v>24</v>
          </cell>
        </row>
        <row r="853">
          <cell r="U853" t="str">
            <v>L104610</v>
          </cell>
          <cell r="V853" t="str">
            <v>DIV PASTV 6kg</v>
          </cell>
          <cell r="W853" t="str">
            <v>Ajuste</v>
          </cell>
          <cell r="X853">
            <v>4</v>
          </cell>
          <cell r="Y853">
            <v>24</v>
          </cell>
        </row>
        <row r="854">
          <cell r="U854" t="str">
            <v>L104851</v>
          </cell>
          <cell r="V854" t="str">
            <v>DIV PASTV 6kg</v>
          </cell>
          <cell r="W854" t="str">
            <v>Ajuste</v>
          </cell>
          <cell r="X854">
            <v>4</v>
          </cell>
          <cell r="Y854">
            <v>24</v>
          </cell>
        </row>
        <row r="855">
          <cell r="U855" t="str">
            <v>L104033</v>
          </cell>
          <cell r="V855" t="str">
            <v>DIV PCK 3kg</v>
          </cell>
          <cell r="W855" t="str">
            <v>Ajuste</v>
          </cell>
          <cell r="X855">
            <v>12</v>
          </cell>
          <cell r="Y855">
            <v>36</v>
          </cell>
        </row>
        <row r="856">
          <cell r="U856" t="str">
            <v>L104035</v>
          </cell>
          <cell r="V856" t="str">
            <v>DIV PDH 6X8g</v>
          </cell>
          <cell r="W856" t="str">
            <v>Ajuste</v>
          </cell>
          <cell r="X856">
            <v>538</v>
          </cell>
          <cell r="Y856">
            <v>26.900000000000002</v>
          </cell>
        </row>
        <row r="857">
          <cell r="U857" t="str">
            <v>L103763</v>
          </cell>
          <cell r="V857" t="str">
            <v>DIV PEC 8KG</v>
          </cell>
          <cell r="W857" t="str">
            <v>Ajuste</v>
          </cell>
          <cell r="X857">
            <v>90</v>
          </cell>
          <cell r="Y857">
            <v>720</v>
          </cell>
        </row>
        <row r="858">
          <cell r="U858" t="str">
            <v>L103768</v>
          </cell>
          <cell r="V858" t="str">
            <v>DIV PEC 8KG</v>
          </cell>
          <cell r="W858" t="str">
            <v>Ajuste</v>
          </cell>
          <cell r="X858">
            <v>118</v>
          </cell>
          <cell r="Y858">
            <v>944</v>
          </cell>
        </row>
        <row r="859">
          <cell r="U859" t="str">
            <v>L104285</v>
          </cell>
          <cell r="V859" t="str">
            <v>DIV PEC 8KG</v>
          </cell>
          <cell r="W859" t="str">
            <v>Ajuste</v>
          </cell>
          <cell r="X859">
            <v>12</v>
          </cell>
          <cell r="Y859">
            <v>96</v>
          </cell>
        </row>
        <row r="860">
          <cell r="U860" t="str">
            <v>L104432</v>
          </cell>
          <cell r="V860" t="str">
            <v>DIV PEC 8KG</v>
          </cell>
          <cell r="W860" t="str">
            <v>Ajuste</v>
          </cell>
          <cell r="X860">
            <v>66</v>
          </cell>
          <cell r="Y860">
            <v>528</v>
          </cell>
        </row>
        <row r="861">
          <cell r="U861" t="str">
            <v>L104701</v>
          </cell>
          <cell r="V861" t="str">
            <v>DIV PEC 8KG</v>
          </cell>
          <cell r="W861" t="str">
            <v>Ajuste</v>
          </cell>
          <cell r="X861">
            <v>50</v>
          </cell>
          <cell r="Y861">
            <v>400</v>
          </cell>
        </row>
        <row r="862">
          <cell r="U862" t="str">
            <v>L103976</v>
          </cell>
          <cell r="V862" t="str">
            <v>DIV PIZVRD 2kg</v>
          </cell>
          <cell r="W862" t="str">
            <v>Ajuste</v>
          </cell>
          <cell r="X862">
            <v>2</v>
          </cell>
          <cell r="Y862">
            <v>4</v>
          </cell>
        </row>
        <row r="863">
          <cell r="U863" t="str">
            <v>L103770</v>
          </cell>
          <cell r="V863" t="str">
            <v>DIV PLLMC 13kg</v>
          </cell>
          <cell r="W863" t="str">
            <v>Ajuste</v>
          </cell>
          <cell r="X863">
            <v>4</v>
          </cell>
          <cell r="Y863">
            <v>52</v>
          </cell>
        </row>
        <row r="864">
          <cell r="U864" t="str">
            <v>L104289</v>
          </cell>
          <cell r="V864" t="str">
            <v>DIV PLLMC 13kg</v>
          </cell>
          <cell r="W864" t="str">
            <v>Ajuste</v>
          </cell>
          <cell r="X864">
            <v>12</v>
          </cell>
          <cell r="Y864">
            <v>156</v>
          </cell>
        </row>
        <row r="865">
          <cell r="U865" t="str">
            <v>L104621</v>
          </cell>
          <cell r="V865" t="str">
            <v>DIV PLLMC 13kg</v>
          </cell>
          <cell r="W865" t="str">
            <v>Ajuste</v>
          </cell>
          <cell r="X865">
            <v>4</v>
          </cell>
          <cell r="Y865">
            <v>52</v>
          </cell>
        </row>
        <row r="866">
          <cell r="U866" t="str">
            <v>L103769</v>
          </cell>
          <cell r="V866" t="str">
            <v>DIV PLLMC 8kg</v>
          </cell>
          <cell r="W866" t="str">
            <v>Ajuste</v>
          </cell>
          <cell r="X866">
            <v>12</v>
          </cell>
          <cell r="Y866">
            <v>96</v>
          </cell>
        </row>
        <row r="867">
          <cell r="U867" t="str">
            <v>L104619</v>
          </cell>
          <cell r="V867" t="str">
            <v>DIV PLLPM 5kg</v>
          </cell>
          <cell r="W867" t="str">
            <v>Ajuste</v>
          </cell>
          <cell r="X867">
            <v>44</v>
          </cell>
          <cell r="Y867">
            <v>220</v>
          </cell>
        </row>
        <row r="868">
          <cell r="U868" t="str">
            <v>L104897</v>
          </cell>
          <cell r="V868" t="str">
            <v>DIV PNALT 1kg</v>
          </cell>
          <cell r="W868" t="str">
            <v>Ajuste</v>
          </cell>
          <cell r="X868">
            <v>14</v>
          </cell>
          <cell r="Y868">
            <v>14</v>
          </cell>
        </row>
        <row r="869">
          <cell r="U869" t="str">
            <v>L103880</v>
          </cell>
          <cell r="V869" t="str">
            <v>DIV PNCH HUV 946ml</v>
          </cell>
          <cell r="W869" t="str">
            <v>Ajuste</v>
          </cell>
          <cell r="X869">
            <v>2444</v>
          </cell>
          <cell r="Y869">
            <v>2321.7999999999997</v>
          </cell>
        </row>
        <row r="870">
          <cell r="U870" t="str">
            <v>L103880</v>
          </cell>
          <cell r="V870" t="str">
            <v>DIV PNCH HUV 946ml</v>
          </cell>
          <cell r="W870" t="str">
            <v>Dañado</v>
          </cell>
          <cell r="X870">
            <v>16</v>
          </cell>
          <cell r="Y870">
            <v>15.2</v>
          </cell>
        </row>
        <row r="871">
          <cell r="U871" t="str">
            <v>L104086</v>
          </cell>
          <cell r="V871" t="str">
            <v>DIV PNCH HUV 946ml</v>
          </cell>
          <cell r="W871" t="str">
            <v>Ajuste</v>
          </cell>
          <cell r="X871">
            <v>1760</v>
          </cell>
          <cell r="Y871">
            <v>1672</v>
          </cell>
        </row>
        <row r="872">
          <cell r="U872" t="str">
            <v>L103771</v>
          </cell>
          <cell r="V872" t="str">
            <v>DIV PP 5kg</v>
          </cell>
          <cell r="W872" t="str">
            <v>Ajuste</v>
          </cell>
          <cell r="X872">
            <v>36</v>
          </cell>
          <cell r="Y872">
            <v>180</v>
          </cell>
        </row>
        <row r="873">
          <cell r="U873" t="str">
            <v>L103873</v>
          </cell>
          <cell r="V873" t="str">
            <v>DIV PP 5kg</v>
          </cell>
          <cell r="W873" t="str">
            <v>Ajuste</v>
          </cell>
          <cell r="X873">
            <v>24</v>
          </cell>
          <cell r="Y873">
            <v>120</v>
          </cell>
        </row>
        <row r="874">
          <cell r="U874" t="str">
            <v>L104135</v>
          </cell>
          <cell r="V874" t="str">
            <v>DIV PP 5kg</v>
          </cell>
          <cell r="W874" t="str">
            <v>Ajuste</v>
          </cell>
          <cell r="X874">
            <v>16</v>
          </cell>
          <cell r="Y874">
            <v>80</v>
          </cell>
        </row>
        <row r="875">
          <cell r="U875" t="str">
            <v>L104286</v>
          </cell>
          <cell r="V875" t="str">
            <v>DIV PP 5kg</v>
          </cell>
          <cell r="W875" t="str">
            <v>Ajuste</v>
          </cell>
          <cell r="X875">
            <v>14</v>
          </cell>
          <cell r="Y875">
            <v>70</v>
          </cell>
        </row>
        <row r="876">
          <cell r="U876" t="str">
            <v>L104290</v>
          </cell>
          <cell r="V876" t="str">
            <v>DIV PP 5kg</v>
          </cell>
          <cell r="W876" t="str">
            <v>Ajuste</v>
          </cell>
          <cell r="X876">
            <v>10</v>
          </cell>
          <cell r="Y876">
            <v>50</v>
          </cell>
        </row>
        <row r="877">
          <cell r="U877" t="str">
            <v>L104366</v>
          </cell>
          <cell r="V877" t="str">
            <v>DIV PP 5kg</v>
          </cell>
          <cell r="W877" t="str">
            <v>Ajuste</v>
          </cell>
          <cell r="X877">
            <v>14</v>
          </cell>
          <cell r="Y877">
            <v>70</v>
          </cell>
        </row>
        <row r="878">
          <cell r="U878" t="str">
            <v>L104702</v>
          </cell>
          <cell r="V878" t="str">
            <v>DIV PP 5kg</v>
          </cell>
          <cell r="W878" t="str">
            <v>Ajuste</v>
          </cell>
          <cell r="X878">
            <v>12</v>
          </cell>
          <cell r="Y878">
            <v>60</v>
          </cell>
        </row>
        <row r="879">
          <cell r="U879" t="str">
            <v>L104756</v>
          </cell>
          <cell r="V879" t="str">
            <v>DIV PP 5kg</v>
          </cell>
          <cell r="W879" t="str">
            <v>Ajuste</v>
          </cell>
          <cell r="X879">
            <v>10</v>
          </cell>
          <cell r="Y879">
            <v>50</v>
          </cell>
        </row>
        <row r="880">
          <cell r="U880" t="str">
            <v>L104858</v>
          </cell>
          <cell r="V880" t="str">
            <v>DIV PP 5kg</v>
          </cell>
          <cell r="W880" t="str">
            <v>Ajuste</v>
          </cell>
          <cell r="X880">
            <v>48</v>
          </cell>
          <cell r="Y880">
            <v>240</v>
          </cell>
        </row>
        <row r="881">
          <cell r="U881" t="str">
            <v>L103947</v>
          </cell>
          <cell r="V881" t="str">
            <v>DIV PP 8kg</v>
          </cell>
          <cell r="W881" t="str">
            <v>Ajuste</v>
          </cell>
          <cell r="X881">
            <v>4</v>
          </cell>
          <cell r="Y881">
            <v>32</v>
          </cell>
        </row>
        <row r="882">
          <cell r="U882" t="str">
            <v>L104218</v>
          </cell>
          <cell r="V882" t="str">
            <v>DIV PP 8kg</v>
          </cell>
          <cell r="W882" t="str">
            <v>Ajuste</v>
          </cell>
          <cell r="X882">
            <v>10</v>
          </cell>
          <cell r="Y882">
            <v>80</v>
          </cell>
        </row>
        <row r="883">
          <cell r="U883" t="str">
            <v>L104300</v>
          </cell>
          <cell r="V883" t="str">
            <v>DIV PPF 2kg</v>
          </cell>
          <cell r="W883" t="str">
            <v>Ajuste</v>
          </cell>
          <cell r="X883">
            <v>6</v>
          </cell>
          <cell r="Y883">
            <v>12</v>
          </cell>
        </row>
        <row r="884">
          <cell r="U884" t="str">
            <v>L104267</v>
          </cell>
          <cell r="V884" t="str">
            <v>DIV PPF 2kg</v>
          </cell>
          <cell r="W884" t="str">
            <v>Ajuste</v>
          </cell>
          <cell r="X884">
            <v>1</v>
          </cell>
          <cell r="Y884">
            <v>2</v>
          </cell>
        </row>
        <row r="885">
          <cell r="U885" t="str">
            <v>L103943</v>
          </cell>
          <cell r="V885" t="str">
            <v>DIV PPF 3kg</v>
          </cell>
          <cell r="W885" t="str">
            <v>Ajuste</v>
          </cell>
          <cell r="X885">
            <v>6</v>
          </cell>
          <cell r="Y885">
            <v>18</v>
          </cell>
        </row>
        <row r="886">
          <cell r="U886" t="str">
            <v>L103982</v>
          </cell>
          <cell r="V886" t="str">
            <v>DIV PRTZ UND</v>
          </cell>
          <cell r="W886" t="str">
            <v>Ajuste</v>
          </cell>
          <cell r="X886">
            <v>20</v>
          </cell>
          <cell r="Y886">
            <v>20</v>
          </cell>
        </row>
        <row r="887">
          <cell r="U887" t="str">
            <v>L104280</v>
          </cell>
          <cell r="V887" t="str">
            <v>DIV PRTZ UND</v>
          </cell>
          <cell r="W887" t="str">
            <v>Ajuste</v>
          </cell>
          <cell r="X887">
            <v>10</v>
          </cell>
          <cell r="Y887">
            <v>10</v>
          </cell>
        </row>
        <row r="888">
          <cell r="U888" t="str">
            <v>L104296</v>
          </cell>
          <cell r="V888" t="str">
            <v>DIV PRTZ UND</v>
          </cell>
          <cell r="W888" t="str">
            <v>Ajuste</v>
          </cell>
          <cell r="X888">
            <v>22</v>
          </cell>
          <cell r="Y888">
            <v>22</v>
          </cell>
        </row>
        <row r="889">
          <cell r="U889" t="str">
            <v>L104462</v>
          </cell>
          <cell r="V889" t="str">
            <v>DIV PRTZ UND</v>
          </cell>
          <cell r="W889" t="str">
            <v>Ajuste</v>
          </cell>
          <cell r="X889">
            <v>20</v>
          </cell>
          <cell r="Y889">
            <v>20</v>
          </cell>
        </row>
        <row r="890">
          <cell r="U890" t="str">
            <v>L104613</v>
          </cell>
          <cell r="V890" t="str">
            <v>DIV PRTZ UND</v>
          </cell>
          <cell r="W890" t="str">
            <v>Ajuste</v>
          </cell>
          <cell r="X890">
            <v>20</v>
          </cell>
          <cell r="Y890">
            <v>20</v>
          </cell>
        </row>
        <row r="891">
          <cell r="U891" t="str">
            <v>L104852</v>
          </cell>
          <cell r="V891" t="str">
            <v>DIV PRTZ UND</v>
          </cell>
          <cell r="W891" t="str">
            <v>Ajuste</v>
          </cell>
          <cell r="X891">
            <v>20</v>
          </cell>
          <cell r="Y891">
            <v>20</v>
          </cell>
        </row>
        <row r="892">
          <cell r="U892" t="str">
            <v>L104272</v>
          </cell>
          <cell r="V892" t="str">
            <v>DIV PTD 2 kg</v>
          </cell>
          <cell r="W892" t="str">
            <v>Ajuste</v>
          </cell>
          <cell r="X892">
            <v>107</v>
          </cell>
          <cell r="Y892">
            <v>214</v>
          </cell>
        </row>
        <row r="893">
          <cell r="U893" t="str">
            <v>L104275</v>
          </cell>
          <cell r="V893" t="str">
            <v>DIV PTD 2 kg</v>
          </cell>
          <cell r="W893" t="str">
            <v>Ajuste</v>
          </cell>
          <cell r="X893">
            <v>44</v>
          </cell>
          <cell r="Y893">
            <v>88</v>
          </cell>
        </row>
        <row r="894">
          <cell r="U894" t="str">
            <v>L104359</v>
          </cell>
          <cell r="V894" t="str">
            <v>QSV 5kg</v>
          </cell>
          <cell r="W894" t="str">
            <v>Ajuste</v>
          </cell>
          <cell r="X894">
            <v>32</v>
          </cell>
          <cell r="Y894">
            <v>160</v>
          </cell>
        </row>
        <row r="895">
          <cell r="U895" t="str">
            <v>L104359</v>
          </cell>
          <cell r="V895" t="str">
            <v>DIV QSO 5kg</v>
          </cell>
          <cell r="W895" t="str">
            <v>Ajuste</v>
          </cell>
          <cell r="X895">
            <v>54</v>
          </cell>
          <cell r="Y895">
            <v>270</v>
          </cell>
        </row>
        <row r="896">
          <cell r="U896" t="str">
            <v>L104359</v>
          </cell>
          <cell r="V896" t="str">
            <v>PV QSO 5kg</v>
          </cell>
          <cell r="W896" t="str">
            <v>Ajuste</v>
          </cell>
          <cell r="X896">
            <v>18</v>
          </cell>
          <cell r="Y896">
            <v>90</v>
          </cell>
        </row>
        <row r="897">
          <cell r="U897" t="str">
            <v>L103891</v>
          </cell>
          <cell r="V897" t="str">
            <v>DIV QSO 5kg</v>
          </cell>
          <cell r="W897" t="str">
            <v>Ajuste</v>
          </cell>
          <cell r="X897">
            <v>36</v>
          </cell>
          <cell r="Y897">
            <v>180</v>
          </cell>
        </row>
        <row r="898">
          <cell r="U898" t="str">
            <v>L103983</v>
          </cell>
          <cell r="V898" t="str">
            <v>DIV QSO 5kg</v>
          </cell>
          <cell r="W898" t="str">
            <v>Ajuste</v>
          </cell>
          <cell r="X898">
            <v>26</v>
          </cell>
          <cell r="Y898">
            <v>130</v>
          </cell>
        </row>
        <row r="899">
          <cell r="U899" t="str">
            <v>L103983</v>
          </cell>
          <cell r="V899" t="str">
            <v>QSO 5kg</v>
          </cell>
          <cell r="W899" t="str">
            <v>Ajuste</v>
          </cell>
          <cell r="X899">
            <v>28</v>
          </cell>
          <cell r="Y899">
            <v>140</v>
          </cell>
        </row>
        <row r="900">
          <cell r="U900" t="str">
            <v>L104136</v>
          </cell>
          <cell r="V900" t="str">
            <v>DIV QSO 5kg</v>
          </cell>
          <cell r="W900" t="str">
            <v>Ajuste</v>
          </cell>
          <cell r="X900">
            <v>2</v>
          </cell>
          <cell r="Y900">
            <v>10</v>
          </cell>
        </row>
        <row r="901">
          <cell r="U901" t="str">
            <v>L104602</v>
          </cell>
          <cell r="V901" t="str">
            <v>DIV QSO 5kg</v>
          </cell>
          <cell r="W901" t="str">
            <v>Ajuste</v>
          </cell>
          <cell r="X901">
            <v>14</v>
          </cell>
          <cell r="Y901">
            <v>70</v>
          </cell>
        </row>
        <row r="902">
          <cell r="U902" t="str">
            <v>L104894</v>
          </cell>
          <cell r="V902" t="str">
            <v>DIV QSO 5kg</v>
          </cell>
          <cell r="W902" t="str">
            <v>Ajuste</v>
          </cell>
          <cell r="X902">
            <v>16</v>
          </cell>
          <cell r="Y902">
            <v>80</v>
          </cell>
        </row>
        <row r="903">
          <cell r="U903" t="str">
            <v>L103975</v>
          </cell>
          <cell r="V903" t="str">
            <v>DIV QSV 1kg</v>
          </cell>
          <cell r="W903" t="str">
            <v>Ajuste</v>
          </cell>
          <cell r="X903">
            <v>4</v>
          </cell>
          <cell r="Y903">
            <v>4</v>
          </cell>
        </row>
        <row r="904">
          <cell r="U904" t="str">
            <v>L104604</v>
          </cell>
          <cell r="V904" t="str">
            <v>DIV QSV 3kg</v>
          </cell>
          <cell r="W904" t="str">
            <v>Ajuste</v>
          </cell>
          <cell r="X904">
            <v>2</v>
          </cell>
          <cell r="Y904">
            <v>6</v>
          </cell>
        </row>
        <row r="905">
          <cell r="U905" t="str">
            <v>L104137</v>
          </cell>
          <cell r="V905" t="str">
            <v>DIV QSV 4kg</v>
          </cell>
          <cell r="W905" t="str">
            <v>Ajuste</v>
          </cell>
          <cell r="X905">
            <v>6</v>
          </cell>
          <cell r="Y905">
            <v>24</v>
          </cell>
        </row>
        <row r="906">
          <cell r="U906" t="str">
            <v>L104472</v>
          </cell>
          <cell r="V906" t="str">
            <v>DIV SAL 3kg</v>
          </cell>
          <cell r="W906" t="str">
            <v>Ajuste</v>
          </cell>
          <cell r="X906">
            <v>18</v>
          </cell>
          <cell r="Y906">
            <v>54</v>
          </cell>
        </row>
        <row r="907">
          <cell r="U907" t="str">
            <v>L104800</v>
          </cell>
          <cell r="V907" t="str">
            <v>DIV SDO 2kg</v>
          </cell>
          <cell r="W907" t="str">
            <v>Ajuste</v>
          </cell>
          <cell r="X907">
            <v>10</v>
          </cell>
          <cell r="Y907">
            <v>20</v>
          </cell>
        </row>
        <row r="908">
          <cell r="U908" t="str">
            <v>L104614</v>
          </cell>
          <cell r="V908" t="str">
            <v>DIV SNK 1kg</v>
          </cell>
          <cell r="W908" t="str">
            <v>Ajuste</v>
          </cell>
          <cell r="X908">
            <v>2</v>
          </cell>
          <cell r="Y908">
            <v>2</v>
          </cell>
        </row>
        <row r="909">
          <cell r="U909" t="str">
            <v>L104703</v>
          </cell>
          <cell r="V909" t="str">
            <v>DIV SNK 1kg</v>
          </cell>
          <cell r="W909" t="str">
            <v>Ajuste</v>
          </cell>
          <cell r="X909">
            <v>320</v>
          </cell>
          <cell r="Y909">
            <v>320</v>
          </cell>
        </row>
        <row r="910">
          <cell r="U910" t="str">
            <v>L104704</v>
          </cell>
          <cell r="V910" t="str">
            <v>DIV SNK 1kg</v>
          </cell>
          <cell r="W910" t="str">
            <v>Ajuste</v>
          </cell>
          <cell r="X910">
            <v>92</v>
          </cell>
          <cell r="Y910">
            <v>92</v>
          </cell>
        </row>
        <row r="911">
          <cell r="U911" t="str">
            <v>L104467</v>
          </cell>
          <cell r="V911" t="str">
            <v>DIV SNK 2kg</v>
          </cell>
          <cell r="W911" t="str">
            <v>Ajuste</v>
          </cell>
          <cell r="X911">
            <v>72</v>
          </cell>
          <cell r="Y911">
            <v>144</v>
          </cell>
        </row>
        <row r="912">
          <cell r="U912" t="str">
            <v>L104303</v>
          </cell>
          <cell r="V912" t="str">
            <v>DIV SNK 2kg</v>
          </cell>
          <cell r="W912" t="str">
            <v>Ajuste</v>
          </cell>
          <cell r="X912">
            <v>16</v>
          </cell>
          <cell r="Y912">
            <v>32</v>
          </cell>
        </row>
        <row r="913">
          <cell r="U913" t="str">
            <v>L104451</v>
          </cell>
          <cell r="V913" t="str">
            <v>DIV SNK 2kg</v>
          </cell>
          <cell r="W913" t="str">
            <v>Ajuste</v>
          </cell>
          <cell r="X913">
            <v>24</v>
          </cell>
          <cell r="Y913">
            <v>48</v>
          </cell>
        </row>
        <row r="914">
          <cell r="U914" t="str">
            <v>L103766</v>
          </cell>
          <cell r="V914" t="str">
            <v>SNK 3.5kg-CAJA</v>
          </cell>
          <cell r="W914" t="str">
            <v>Ajuste</v>
          </cell>
          <cell r="X914">
            <v>404</v>
          </cell>
          <cell r="Y914">
            <v>1414</v>
          </cell>
        </row>
        <row r="915">
          <cell r="U915" t="str">
            <v>L103766</v>
          </cell>
          <cell r="V915" t="str">
            <v>DIV SNK 3.5kg</v>
          </cell>
          <cell r="W915" t="str">
            <v>Ajuste</v>
          </cell>
          <cell r="X915">
            <v>100</v>
          </cell>
          <cell r="Y915">
            <v>350</v>
          </cell>
        </row>
        <row r="916">
          <cell r="U916" t="str">
            <v>L103766</v>
          </cell>
          <cell r="V916" t="str">
            <v>PV SNK 3.5kg</v>
          </cell>
          <cell r="W916" t="str">
            <v>Ajuste</v>
          </cell>
          <cell r="X916">
            <v>26</v>
          </cell>
          <cell r="Y916">
            <v>91</v>
          </cell>
        </row>
        <row r="917">
          <cell r="U917" t="str">
            <v>L104469</v>
          </cell>
          <cell r="V917" t="str">
            <v>DIV SNK 3kg</v>
          </cell>
          <cell r="W917" t="str">
            <v>Ajuste</v>
          </cell>
          <cell r="X917">
            <v>51</v>
          </cell>
          <cell r="Y917">
            <v>153</v>
          </cell>
        </row>
        <row r="918">
          <cell r="U918" t="str">
            <v>L104468</v>
          </cell>
          <cell r="V918" t="str">
            <v>DIV SNK 6kg</v>
          </cell>
          <cell r="W918" t="str">
            <v>Ajuste</v>
          </cell>
          <cell r="X918">
            <v>28</v>
          </cell>
          <cell r="Y918">
            <v>168</v>
          </cell>
        </row>
        <row r="919">
          <cell r="U919" t="str">
            <v>L104906</v>
          </cell>
          <cell r="V919" t="str">
            <v>DIV SPAV 2kg</v>
          </cell>
          <cell r="W919" t="str">
            <v>Ajuste</v>
          </cell>
          <cell r="X919">
            <v>6</v>
          </cell>
          <cell r="Y919">
            <v>12</v>
          </cell>
        </row>
        <row r="920">
          <cell r="U920" t="str">
            <v>L104788</v>
          </cell>
          <cell r="V920" t="str">
            <v>DIV SZD 2.5kg</v>
          </cell>
          <cell r="W920" t="str">
            <v>Ajuste</v>
          </cell>
          <cell r="X920">
            <v>38</v>
          </cell>
          <cell r="Y920">
            <v>95</v>
          </cell>
        </row>
        <row r="921">
          <cell r="U921" t="str">
            <v>L104904</v>
          </cell>
          <cell r="V921" t="str">
            <v>DIV SZD 2.5kg</v>
          </cell>
          <cell r="W921" t="str">
            <v>Ajuste</v>
          </cell>
          <cell r="X921">
            <v>18</v>
          </cell>
          <cell r="Y921">
            <v>45</v>
          </cell>
        </row>
        <row r="922">
          <cell r="U922" t="str">
            <v>L104789</v>
          </cell>
          <cell r="V922" t="str">
            <v>DIV SZD 4kg</v>
          </cell>
          <cell r="W922" t="str">
            <v>Ajuste</v>
          </cell>
          <cell r="X922">
            <v>325</v>
          </cell>
          <cell r="Y922">
            <v>1300</v>
          </cell>
        </row>
        <row r="923">
          <cell r="U923" t="str">
            <v>L104905</v>
          </cell>
          <cell r="V923" t="str">
            <v>DIV SZD 4kg</v>
          </cell>
          <cell r="W923" t="str">
            <v>Ajuste</v>
          </cell>
          <cell r="X923">
            <v>16</v>
          </cell>
          <cell r="Y923">
            <v>64</v>
          </cell>
        </row>
        <row r="924">
          <cell r="U924" t="str">
            <v>L104790</v>
          </cell>
          <cell r="V924" t="str">
            <v>DIV SZD 5kg</v>
          </cell>
          <cell r="W924" t="str">
            <v>Ajuste</v>
          </cell>
          <cell r="X924">
            <v>274</v>
          </cell>
          <cell r="Y924">
            <v>1370</v>
          </cell>
        </row>
        <row r="925">
          <cell r="U925" t="str">
            <v>L104617</v>
          </cell>
          <cell r="V925" t="str">
            <v>DIV TFP 2kg</v>
          </cell>
          <cell r="W925" t="str">
            <v>Ajuste</v>
          </cell>
          <cell r="X925">
            <v>2</v>
          </cell>
          <cell r="Y925">
            <v>4</v>
          </cell>
        </row>
        <row r="926">
          <cell r="U926" t="str">
            <v>L103773</v>
          </cell>
          <cell r="V926" t="str">
            <v>DIV TRZPCDP 5kg</v>
          </cell>
          <cell r="W926" t="str">
            <v>Ajuste</v>
          </cell>
          <cell r="X926">
            <v>8</v>
          </cell>
          <cell r="Y926">
            <v>40</v>
          </cell>
        </row>
        <row r="927">
          <cell r="U927" t="str">
            <v>L104899</v>
          </cell>
          <cell r="V927" t="str">
            <v>DIV VM 1kg</v>
          </cell>
          <cell r="W927" t="str">
            <v>Ajuste</v>
          </cell>
          <cell r="X927">
            <v>6</v>
          </cell>
          <cell r="Y927">
            <v>6</v>
          </cell>
        </row>
        <row r="928">
          <cell r="U928" t="str">
            <v>L104477</v>
          </cell>
          <cell r="V928" t="str">
            <v>DIV YGT GR 6x1.13kg</v>
          </cell>
          <cell r="W928" t="str">
            <v>Ajuste</v>
          </cell>
          <cell r="X928">
            <v>278</v>
          </cell>
          <cell r="Y928">
            <v>2168.3999999999996</v>
          </cell>
        </row>
        <row r="929">
          <cell r="U929" t="str">
            <v>L104572</v>
          </cell>
          <cell r="V929" t="str">
            <v>DRNO 5kg</v>
          </cell>
          <cell r="W929" t="str">
            <v>Ajuste</v>
          </cell>
          <cell r="X929">
            <v>8</v>
          </cell>
          <cell r="Y929">
            <v>40</v>
          </cell>
        </row>
        <row r="930">
          <cell r="U930" t="str">
            <v>L104589</v>
          </cell>
          <cell r="V930" t="str">
            <v>DRNO 5kg</v>
          </cell>
          <cell r="W930" t="str">
            <v>Ajuste</v>
          </cell>
          <cell r="X930">
            <v>2</v>
          </cell>
          <cell r="Y930">
            <v>10</v>
          </cell>
        </row>
        <row r="931">
          <cell r="U931" t="str">
            <v>L104639</v>
          </cell>
          <cell r="V931" t="str">
            <v>DRNO 5kg</v>
          </cell>
          <cell r="W931" t="str">
            <v>Ajuste</v>
          </cell>
          <cell r="X931">
            <v>2</v>
          </cell>
          <cell r="Y931">
            <v>10</v>
          </cell>
        </row>
        <row r="932">
          <cell r="U932" t="str">
            <v>L104816</v>
          </cell>
          <cell r="V932" t="str">
            <v>DRNO 5kg</v>
          </cell>
          <cell r="W932" t="str">
            <v>Ajuste</v>
          </cell>
          <cell r="X932">
            <v>2</v>
          </cell>
          <cell r="Y932">
            <v>10</v>
          </cell>
        </row>
        <row r="933">
          <cell r="U933" t="str">
            <v>L103904</v>
          </cell>
          <cell r="V933" t="str">
            <v>DSF 2Kg</v>
          </cell>
          <cell r="W933" t="str">
            <v>Ajuste</v>
          </cell>
          <cell r="X933">
            <v>16</v>
          </cell>
          <cell r="Y933">
            <v>32</v>
          </cell>
        </row>
        <row r="934">
          <cell r="U934" t="str">
            <v>L103905</v>
          </cell>
          <cell r="V934" t="str">
            <v>DSF 2Kg</v>
          </cell>
          <cell r="W934" t="str">
            <v>Ajuste</v>
          </cell>
          <cell r="X934">
            <v>32</v>
          </cell>
          <cell r="Y934">
            <v>64</v>
          </cell>
        </row>
        <row r="935">
          <cell r="U935" t="str">
            <v>L103906</v>
          </cell>
          <cell r="V935" t="str">
            <v>DSF 2Kg</v>
          </cell>
          <cell r="W935" t="str">
            <v>Ajuste</v>
          </cell>
          <cell r="X935">
            <v>80</v>
          </cell>
          <cell r="Y935">
            <v>160</v>
          </cell>
        </row>
        <row r="936">
          <cell r="U936" t="str">
            <v>L103907</v>
          </cell>
          <cell r="V936" t="str">
            <v>DSF 2Kg</v>
          </cell>
          <cell r="W936" t="str">
            <v>Ajuste</v>
          </cell>
          <cell r="X936">
            <v>32</v>
          </cell>
          <cell r="Y936">
            <v>64</v>
          </cell>
        </row>
        <row r="937">
          <cell r="U937" t="str">
            <v>L103908</v>
          </cell>
          <cell r="V937" t="str">
            <v>DSF 2Kg</v>
          </cell>
          <cell r="W937" t="str">
            <v>Ajuste</v>
          </cell>
          <cell r="X937">
            <v>64</v>
          </cell>
          <cell r="Y937">
            <v>128</v>
          </cell>
        </row>
        <row r="938">
          <cell r="U938" t="str">
            <v>L104082</v>
          </cell>
          <cell r="V938" t="str">
            <v>DSF 2Kg</v>
          </cell>
          <cell r="W938" t="str">
            <v>Ajuste</v>
          </cell>
          <cell r="X938">
            <v>21</v>
          </cell>
          <cell r="Y938">
            <v>42</v>
          </cell>
        </row>
        <row r="939">
          <cell r="U939" t="str">
            <v>L104083</v>
          </cell>
          <cell r="V939" t="str">
            <v>DSF 2Kg</v>
          </cell>
          <cell r="W939" t="str">
            <v>Ajuste</v>
          </cell>
          <cell r="X939">
            <v>14</v>
          </cell>
          <cell r="Y939">
            <v>28</v>
          </cell>
        </row>
        <row r="940">
          <cell r="U940" t="str">
            <v>L104084</v>
          </cell>
          <cell r="V940" t="str">
            <v>DSF 2Kg</v>
          </cell>
          <cell r="W940" t="str">
            <v>Ajuste</v>
          </cell>
          <cell r="X940">
            <v>2</v>
          </cell>
          <cell r="Y940">
            <v>4</v>
          </cell>
        </row>
        <row r="941">
          <cell r="U941" t="str">
            <v>L104505</v>
          </cell>
          <cell r="V941" t="str">
            <v>DSF 2Kg</v>
          </cell>
          <cell r="W941" t="str">
            <v>Ajuste</v>
          </cell>
          <cell r="X941">
            <v>6</v>
          </cell>
          <cell r="Y941">
            <v>12</v>
          </cell>
        </row>
        <row r="942">
          <cell r="U942" t="str">
            <v>L104078</v>
          </cell>
          <cell r="V942" t="str">
            <v>DSF 3kg-CAJA</v>
          </cell>
          <cell r="W942" t="str">
            <v>Ajuste</v>
          </cell>
          <cell r="X942">
            <v>124</v>
          </cell>
          <cell r="Y942">
            <v>372</v>
          </cell>
        </row>
        <row r="943">
          <cell r="U943" t="str">
            <v>L104079</v>
          </cell>
          <cell r="V943" t="str">
            <v>DSF 3kg-CAJA</v>
          </cell>
          <cell r="W943" t="str">
            <v>Ajuste</v>
          </cell>
          <cell r="X943">
            <v>40</v>
          </cell>
          <cell r="Y943">
            <v>120</v>
          </cell>
        </row>
        <row r="944">
          <cell r="U944" t="str">
            <v>L104080</v>
          </cell>
          <cell r="V944" t="str">
            <v>DSF 3kg-CAJA</v>
          </cell>
          <cell r="W944" t="str">
            <v>Ajuste</v>
          </cell>
          <cell r="X944">
            <v>10</v>
          </cell>
          <cell r="Y944">
            <v>30</v>
          </cell>
        </row>
        <row r="945">
          <cell r="U945" t="str">
            <v>L104081</v>
          </cell>
          <cell r="V945" t="str">
            <v>DSF 3kg-CAJA</v>
          </cell>
          <cell r="W945" t="str">
            <v>Ajuste</v>
          </cell>
          <cell r="X945">
            <v>10</v>
          </cell>
          <cell r="Y945">
            <v>30</v>
          </cell>
        </row>
        <row r="946">
          <cell r="U946" t="str">
            <v>L104163</v>
          </cell>
          <cell r="V946" t="str">
            <v>DSF 3kg-CAJA</v>
          </cell>
          <cell r="W946" t="str">
            <v>Ajuste</v>
          </cell>
          <cell r="X946">
            <v>14</v>
          </cell>
          <cell r="Y946">
            <v>42</v>
          </cell>
        </row>
        <row r="947">
          <cell r="U947" t="str">
            <v>L104506</v>
          </cell>
          <cell r="V947" t="str">
            <v>DSF 3kg-CAJA</v>
          </cell>
          <cell r="W947" t="str">
            <v>Ajuste</v>
          </cell>
          <cell r="X947">
            <v>2</v>
          </cell>
          <cell r="Y947">
            <v>6</v>
          </cell>
        </row>
        <row r="948">
          <cell r="U948" t="str">
            <v>L103840</v>
          </cell>
          <cell r="V948" t="str">
            <v>DSF 4kg-CAJA</v>
          </cell>
          <cell r="W948" t="str">
            <v>Ajuste</v>
          </cell>
          <cell r="X948">
            <v>2</v>
          </cell>
          <cell r="Y948">
            <v>8</v>
          </cell>
        </row>
        <row r="949">
          <cell r="U949" t="str">
            <v>L104075</v>
          </cell>
          <cell r="V949" t="str">
            <v>DSF 4kg-CAJA</v>
          </cell>
          <cell r="W949" t="str">
            <v>Ajuste</v>
          </cell>
          <cell r="X949">
            <v>20</v>
          </cell>
          <cell r="Y949">
            <v>80</v>
          </cell>
        </row>
        <row r="950">
          <cell r="U950" t="str">
            <v>L104076</v>
          </cell>
          <cell r="V950" t="str">
            <v>DSF 4kg-CAJA</v>
          </cell>
          <cell r="W950" t="str">
            <v>Ajuste</v>
          </cell>
          <cell r="X950">
            <v>12</v>
          </cell>
          <cell r="Y950">
            <v>48</v>
          </cell>
        </row>
        <row r="951">
          <cell r="U951" t="str">
            <v>L104077</v>
          </cell>
          <cell r="V951" t="str">
            <v>DSF 4kg-CAJA</v>
          </cell>
          <cell r="W951" t="str">
            <v>Ajuste</v>
          </cell>
          <cell r="X951">
            <v>6</v>
          </cell>
          <cell r="Y951">
            <v>24</v>
          </cell>
        </row>
        <row r="952">
          <cell r="U952" t="str">
            <v>L104246</v>
          </cell>
          <cell r="V952" t="str">
            <v>DSF 4kg-CAJA</v>
          </cell>
          <cell r="W952" t="str">
            <v>Ajuste</v>
          </cell>
          <cell r="X952">
            <v>8</v>
          </cell>
          <cell r="Y952">
            <v>32</v>
          </cell>
        </row>
        <row r="953">
          <cell r="U953" t="str">
            <v>L103839</v>
          </cell>
          <cell r="V953" t="str">
            <v>DSF 5kg-CAJA</v>
          </cell>
          <cell r="W953" t="str">
            <v>Ajuste</v>
          </cell>
          <cell r="X953">
            <v>2</v>
          </cell>
          <cell r="Y953">
            <v>10</v>
          </cell>
        </row>
        <row r="954">
          <cell r="U954" t="str">
            <v>L104164</v>
          </cell>
          <cell r="V954" t="str">
            <v>DSF 5kg-CAJA</v>
          </cell>
          <cell r="W954" t="str">
            <v>Ajuste</v>
          </cell>
          <cell r="X954">
            <v>2</v>
          </cell>
          <cell r="Y954">
            <v>10</v>
          </cell>
        </row>
        <row r="955">
          <cell r="U955" t="str">
            <v>L103852</v>
          </cell>
          <cell r="V955" t="str">
            <v>DTG Vr2kg-CAJA</v>
          </cell>
          <cell r="W955" t="str">
            <v>Ajuste</v>
          </cell>
          <cell r="X955">
            <v>118</v>
          </cell>
          <cell r="Y955">
            <v>236</v>
          </cell>
        </row>
        <row r="956">
          <cell r="U956" t="str">
            <v>L104488</v>
          </cell>
          <cell r="V956" t="str">
            <v>DTG Vr2kg-CAJA</v>
          </cell>
          <cell r="W956" t="str">
            <v>Ajuste</v>
          </cell>
          <cell r="X956">
            <v>2</v>
          </cell>
          <cell r="Y956">
            <v>4</v>
          </cell>
        </row>
        <row r="957">
          <cell r="U957" t="str">
            <v>L103993</v>
          </cell>
          <cell r="V957" t="str">
            <v>DTG Vr3kg-CAJA</v>
          </cell>
          <cell r="W957" t="str">
            <v>Ajuste</v>
          </cell>
          <cell r="X957">
            <v>118</v>
          </cell>
          <cell r="Y957">
            <v>354</v>
          </cell>
        </row>
        <row r="958">
          <cell r="U958" t="str">
            <v>L104214</v>
          </cell>
          <cell r="V958" t="str">
            <v>DTG Vr3kg-CAJA</v>
          </cell>
          <cell r="W958" t="str">
            <v>Ajuste</v>
          </cell>
          <cell r="X958">
            <v>308</v>
          </cell>
          <cell r="Y958">
            <v>924</v>
          </cell>
        </row>
        <row r="959">
          <cell r="U959" t="str">
            <v>L104487</v>
          </cell>
          <cell r="V959" t="str">
            <v>DTG Vr3kg-CAJA</v>
          </cell>
          <cell r="W959" t="str">
            <v>Ajuste</v>
          </cell>
          <cell r="X959">
            <v>118</v>
          </cell>
          <cell r="Y959">
            <v>354</v>
          </cell>
        </row>
        <row r="960">
          <cell r="U960" t="str">
            <v>L104869</v>
          </cell>
          <cell r="V960" t="str">
            <v>DTG Vr3kg-CAJA</v>
          </cell>
          <cell r="W960" t="str">
            <v>Ajuste</v>
          </cell>
          <cell r="X960">
            <v>160</v>
          </cell>
          <cell r="Y960">
            <v>480</v>
          </cell>
        </row>
        <row r="961">
          <cell r="U961" t="str">
            <v>L103851</v>
          </cell>
          <cell r="V961" t="str">
            <v>DTGAY Vr2kg-CAJA</v>
          </cell>
          <cell r="W961" t="str">
            <v>Ajuste</v>
          </cell>
          <cell r="X961">
            <v>260</v>
          </cell>
          <cell r="Y961">
            <v>520</v>
          </cell>
        </row>
        <row r="962">
          <cell r="U962" t="str">
            <v>L104822</v>
          </cell>
          <cell r="V962" t="str">
            <v>DTGAY Vr2kg-CAJA</v>
          </cell>
          <cell r="W962" t="str">
            <v>Ajuste</v>
          </cell>
          <cell r="X962">
            <v>196</v>
          </cell>
          <cell r="Y962">
            <v>392</v>
          </cell>
        </row>
        <row r="963">
          <cell r="U963" t="str">
            <v>L104870</v>
          </cell>
          <cell r="V963" t="str">
            <v>DTGAY Vr2kg-CAJA</v>
          </cell>
          <cell r="W963" t="str">
            <v>Ajuste</v>
          </cell>
          <cell r="X963">
            <v>128</v>
          </cell>
          <cell r="Y963">
            <v>256</v>
          </cell>
        </row>
        <row r="964">
          <cell r="U964" t="str">
            <v>L104375</v>
          </cell>
          <cell r="V964" t="str">
            <v>EE 10Q - UNIDAD</v>
          </cell>
          <cell r="W964" t="str">
            <v>Ajuste</v>
          </cell>
          <cell r="X964">
            <v>2</v>
          </cell>
          <cell r="Y964">
            <v>240</v>
          </cell>
        </row>
        <row r="965">
          <cell r="U965" t="str">
            <v>L103933</v>
          </cell>
          <cell r="V965" t="str">
            <v>EGB 2KG Caja</v>
          </cell>
          <cell r="W965" t="str">
            <v>Ajuste</v>
          </cell>
          <cell r="X965">
            <v>12</v>
          </cell>
          <cell r="Y965">
            <v>24</v>
          </cell>
        </row>
        <row r="966">
          <cell r="U966" t="str">
            <v>L103934</v>
          </cell>
          <cell r="V966" t="str">
            <v>EGB 2KG Caja</v>
          </cell>
          <cell r="W966" t="str">
            <v>Ajuste</v>
          </cell>
          <cell r="X966">
            <v>17</v>
          </cell>
          <cell r="Y966">
            <v>34</v>
          </cell>
        </row>
        <row r="967">
          <cell r="U967" t="str">
            <v>L103935</v>
          </cell>
          <cell r="V967" t="str">
            <v>EGB 2KG Caja</v>
          </cell>
          <cell r="W967" t="str">
            <v>Ajuste</v>
          </cell>
          <cell r="X967">
            <v>12</v>
          </cell>
          <cell r="Y967">
            <v>24</v>
          </cell>
        </row>
        <row r="968">
          <cell r="U968" t="str">
            <v>L103944</v>
          </cell>
          <cell r="V968" t="str">
            <v>EGB 2KG Caja</v>
          </cell>
          <cell r="W968" t="str">
            <v>Ajuste</v>
          </cell>
          <cell r="X968">
            <v>8</v>
          </cell>
          <cell r="Y968">
            <v>16</v>
          </cell>
        </row>
        <row r="969">
          <cell r="U969" t="str">
            <v>L103932</v>
          </cell>
          <cell r="V969" t="str">
            <v>EGB 2KG Caja</v>
          </cell>
          <cell r="W969" t="str">
            <v>Ajuste</v>
          </cell>
          <cell r="X969">
            <v>125</v>
          </cell>
          <cell r="Y969">
            <v>250</v>
          </cell>
        </row>
        <row r="970">
          <cell r="U970" t="str">
            <v>L104363</v>
          </cell>
          <cell r="V970" t="str">
            <v>EGB MD 250ML- UNIDAD</v>
          </cell>
          <cell r="W970" t="str">
            <v>Ajuste</v>
          </cell>
          <cell r="X970">
            <v>144</v>
          </cell>
          <cell r="Y970">
            <v>36</v>
          </cell>
        </row>
        <row r="971">
          <cell r="U971" t="str">
            <v>L104364</v>
          </cell>
          <cell r="V971" t="str">
            <v>EGB MD 250ML- UNIDAD</v>
          </cell>
          <cell r="W971" t="str">
            <v>Ajuste</v>
          </cell>
          <cell r="X971">
            <v>48</v>
          </cell>
          <cell r="Y971">
            <v>12</v>
          </cell>
        </row>
        <row r="972">
          <cell r="U972" t="str">
            <v>L104705</v>
          </cell>
          <cell r="V972" t="str">
            <v>Embutido kg</v>
          </cell>
          <cell r="W972" t="str">
            <v>Ajuste</v>
          </cell>
          <cell r="X972">
            <v>33.4</v>
          </cell>
          <cell r="Y972">
            <v>33.4</v>
          </cell>
        </row>
        <row r="973">
          <cell r="U973" t="str">
            <v>L104730</v>
          </cell>
          <cell r="V973" t="str">
            <v>EMBV 12kg-CAJA</v>
          </cell>
          <cell r="W973" t="str">
            <v>Ajuste</v>
          </cell>
          <cell r="X973">
            <v>38</v>
          </cell>
          <cell r="Y973">
            <v>456</v>
          </cell>
        </row>
        <row r="974">
          <cell r="U974" t="str">
            <v>L104729</v>
          </cell>
          <cell r="V974" t="str">
            <v>EMBV 16kg-CAJA</v>
          </cell>
          <cell r="W974" t="str">
            <v>Ajuste</v>
          </cell>
          <cell r="X974">
            <v>206</v>
          </cell>
          <cell r="Y974">
            <v>3296</v>
          </cell>
        </row>
        <row r="975">
          <cell r="U975" t="str">
            <v>L104331</v>
          </cell>
          <cell r="V975" t="str">
            <v>EMBV 2kg-CAJA</v>
          </cell>
          <cell r="W975" t="str">
            <v>Ajuste</v>
          </cell>
          <cell r="X975">
            <v>7</v>
          </cell>
          <cell r="Y975">
            <v>14</v>
          </cell>
        </row>
        <row r="976">
          <cell r="U976" t="str">
            <v>L104334</v>
          </cell>
          <cell r="V976" t="str">
            <v>EMBV 2kg-CAJA</v>
          </cell>
          <cell r="W976" t="str">
            <v>Ajuste</v>
          </cell>
          <cell r="X976">
            <v>27</v>
          </cell>
          <cell r="Y976">
            <v>54</v>
          </cell>
        </row>
        <row r="977">
          <cell r="U977" t="str">
            <v>L104332</v>
          </cell>
          <cell r="V977" t="str">
            <v>EMBV 2kg-CAJA</v>
          </cell>
          <cell r="W977" t="str">
            <v>Ajuste</v>
          </cell>
          <cell r="X977">
            <v>15</v>
          </cell>
          <cell r="Y977">
            <v>30</v>
          </cell>
        </row>
        <row r="978">
          <cell r="U978" t="str">
            <v>L104333</v>
          </cell>
          <cell r="V978" t="str">
            <v>EMBV 2kg-CAJA</v>
          </cell>
          <cell r="W978" t="str">
            <v>Ajuste</v>
          </cell>
          <cell r="X978">
            <v>12</v>
          </cell>
          <cell r="Y978">
            <v>24</v>
          </cell>
        </row>
        <row r="979">
          <cell r="U979" t="str">
            <v>L104335</v>
          </cell>
          <cell r="V979" t="str">
            <v>EMBV 2kg-CAJA</v>
          </cell>
          <cell r="W979" t="str">
            <v>Ajuste</v>
          </cell>
          <cell r="X979">
            <v>12</v>
          </cell>
          <cell r="Y979">
            <v>24</v>
          </cell>
        </row>
        <row r="980">
          <cell r="U980" t="str">
            <v>L103924</v>
          </cell>
          <cell r="V980" t="str">
            <v>EMBV 2kg-CAJA</v>
          </cell>
          <cell r="W980" t="str">
            <v>Ajuste</v>
          </cell>
          <cell r="X980">
            <v>54</v>
          </cell>
          <cell r="Y980">
            <v>108</v>
          </cell>
        </row>
        <row r="981">
          <cell r="U981" t="str">
            <v>L104107</v>
          </cell>
          <cell r="V981" t="str">
            <v>EMBV 2kg-CAJA</v>
          </cell>
          <cell r="W981" t="str">
            <v>Ajuste</v>
          </cell>
          <cell r="X981">
            <v>40</v>
          </cell>
          <cell r="Y981">
            <v>80</v>
          </cell>
        </row>
        <row r="982">
          <cell r="U982" t="str">
            <v>L104186</v>
          </cell>
          <cell r="V982" t="str">
            <v>EMBV 2kg-CAJA</v>
          </cell>
          <cell r="W982" t="str">
            <v>Ajuste</v>
          </cell>
          <cell r="X982">
            <v>30</v>
          </cell>
          <cell r="Y982">
            <v>60</v>
          </cell>
        </row>
        <row r="983">
          <cell r="U983" t="str">
            <v>L104192</v>
          </cell>
          <cell r="V983" t="str">
            <v>EMBV 2kg-CAJA</v>
          </cell>
          <cell r="W983" t="str">
            <v>Ajuste</v>
          </cell>
          <cell r="X983">
            <v>6</v>
          </cell>
          <cell r="Y983">
            <v>12</v>
          </cell>
        </row>
        <row r="984">
          <cell r="U984" t="str">
            <v>L104458</v>
          </cell>
          <cell r="V984" t="str">
            <v>EMBV 2kg-CAJA</v>
          </cell>
          <cell r="W984" t="str">
            <v>Ajuste</v>
          </cell>
          <cell r="X984">
            <v>52</v>
          </cell>
          <cell r="Y984">
            <v>104</v>
          </cell>
        </row>
        <row r="985">
          <cell r="U985" t="str">
            <v>L104669</v>
          </cell>
          <cell r="V985" t="str">
            <v>EMBV 2kg-CAJA</v>
          </cell>
          <cell r="W985" t="str">
            <v>Ajuste</v>
          </cell>
          <cell r="X985">
            <v>10</v>
          </cell>
          <cell r="Y985">
            <v>20</v>
          </cell>
        </row>
        <row r="986">
          <cell r="U986" t="str">
            <v>L104670</v>
          </cell>
          <cell r="V986" t="str">
            <v>EMBV 2kg-CAJA</v>
          </cell>
          <cell r="W986" t="str">
            <v>Ajuste</v>
          </cell>
          <cell r="X986">
            <v>12</v>
          </cell>
          <cell r="Y986">
            <v>24</v>
          </cell>
        </row>
        <row r="987">
          <cell r="U987" t="str">
            <v>L104671</v>
          </cell>
          <cell r="V987" t="str">
            <v>EMBV 2kg-CAJA</v>
          </cell>
          <cell r="W987" t="str">
            <v>Ajuste</v>
          </cell>
          <cell r="X987">
            <v>16</v>
          </cell>
          <cell r="Y987">
            <v>32</v>
          </cell>
        </row>
        <row r="988">
          <cell r="U988" t="str">
            <v>L104725</v>
          </cell>
          <cell r="V988" t="str">
            <v>EMBV 2kg-CAJA</v>
          </cell>
          <cell r="W988" t="str">
            <v>Ajuste</v>
          </cell>
          <cell r="X988">
            <v>96</v>
          </cell>
          <cell r="Y988">
            <v>192</v>
          </cell>
        </row>
        <row r="989">
          <cell r="U989" t="str">
            <v>L104459</v>
          </cell>
          <cell r="V989" t="str">
            <v>EMBV 3kg</v>
          </cell>
          <cell r="W989" t="str">
            <v>Ajuste</v>
          </cell>
          <cell r="X989">
            <v>4</v>
          </cell>
          <cell r="Y989">
            <v>12</v>
          </cell>
        </row>
        <row r="990">
          <cell r="U990" t="str">
            <v>L104728</v>
          </cell>
          <cell r="V990" t="str">
            <v>EMBV 3kg</v>
          </cell>
          <cell r="W990" t="str">
            <v>Ajuste</v>
          </cell>
          <cell r="X990">
            <v>348</v>
          </cell>
          <cell r="Y990">
            <v>1044</v>
          </cell>
        </row>
        <row r="991">
          <cell r="U991" t="str">
            <v>L104728</v>
          </cell>
          <cell r="V991" t="str">
            <v>PV EMBV 3kg</v>
          </cell>
          <cell r="W991" t="str">
            <v>Ajuste</v>
          </cell>
          <cell r="X991">
            <v>20</v>
          </cell>
          <cell r="Y991">
            <v>60</v>
          </cell>
        </row>
        <row r="992">
          <cell r="U992" t="str">
            <v>L104460</v>
          </cell>
          <cell r="V992" t="str">
            <v>EMBV 4kg-CAJA</v>
          </cell>
          <cell r="W992" t="str">
            <v>Ajuste</v>
          </cell>
          <cell r="X992">
            <v>8</v>
          </cell>
          <cell r="Y992">
            <v>32</v>
          </cell>
        </row>
        <row r="993">
          <cell r="U993" t="str">
            <v>L103825</v>
          </cell>
          <cell r="V993" t="str">
            <v>EMBV 5kg</v>
          </cell>
          <cell r="W993" t="str">
            <v>Ajuste</v>
          </cell>
          <cell r="X993">
            <v>18</v>
          </cell>
          <cell r="Y993">
            <v>90</v>
          </cell>
        </row>
        <row r="994">
          <cell r="U994" t="str">
            <v>L103826</v>
          </cell>
          <cell r="V994" t="str">
            <v>EMBV 5kg</v>
          </cell>
          <cell r="W994" t="str">
            <v>Ajuste</v>
          </cell>
          <cell r="X994">
            <v>3</v>
          </cell>
          <cell r="Y994">
            <v>15</v>
          </cell>
        </row>
        <row r="995">
          <cell r="U995" t="str">
            <v>L103827</v>
          </cell>
          <cell r="V995" t="str">
            <v>EMBV 5kg</v>
          </cell>
          <cell r="W995" t="str">
            <v>Ajuste</v>
          </cell>
          <cell r="X995">
            <v>3</v>
          </cell>
          <cell r="Y995">
            <v>15</v>
          </cell>
        </row>
        <row r="996">
          <cell r="U996" t="str">
            <v>L103807</v>
          </cell>
          <cell r="V996" t="str">
            <v>EMBV 5kg</v>
          </cell>
          <cell r="W996" t="str">
            <v>Ajuste</v>
          </cell>
          <cell r="X996">
            <v>6</v>
          </cell>
          <cell r="Y996">
            <v>30</v>
          </cell>
        </row>
        <row r="997">
          <cell r="U997" t="str">
            <v>L103810</v>
          </cell>
          <cell r="V997" t="str">
            <v>EMBV 5kg</v>
          </cell>
          <cell r="W997" t="str">
            <v>Ajuste</v>
          </cell>
          <cell r="X997">
            <v>10</v>
          </cell>
          <cell r="Y997">
            <v>50</v>
          </cell>
        </row>
        <row r="998">
          <cell r="U998" t="str">
            <v>L104189</v>
          </cell>
          <cell r="V998" t="str">
            <v>EMBV 5kg</v>
          </cell>
          <cell r="W998" t="str">
            <v>Ajuste</v>
          </cell>
          <cell r="X998">
            <v>8</v>
          </cell>
          <cell r="Y998">
            <v>40</v>
          </cell>
        </row>
        <row r="999">
          <cell r="U999" t="str">
            <v>L104191</v>
          </cell>
          <cell r="V999" t="str">
            <v>EMBV 5kg</v>
          </cell>
          <cell r="W999" t="str">
            <v>Ajuste</v>
          </cell>
          <cell r="X999">
            <v>2</v>
          </cell>
          <cell r="Y999">
            <v>10</v>
          </cell>
        </row>
        <row r="1000">
          <cell r="U1000" t="str">
            <v>L104259</v>
          </cell>
          <cell r="V1000" t="str">
            <v>EMBV 5kg</v>
          </cell>
          <cell r="W1000" t="str">
            <v>Ajuste</v>
          </cell>
          <cell r="X1000">
            <v>508</v>
          </cell>
          <cell r="Y1000">
            <v>2540</v>
          </cell>
        </row>
        <row r="1001">
          <cell r="U1001" t="str">
            <v>L104190</v>
          </cell>
          <cell r="V1001" t="str">
            <v>EMBV 7Kg-CAJA</v>
          </cell>
          <cell r="W1001" t="str">
            <v>Ajuste</v>
          </cell>
          <cell r="X1001">
            <v>2</v>
          </cell>
          <cell r="Y1001">
            <v>14</v>
          </cell>
        </row>
        <row r="1002">
          <cell r="U1002" t="str">
            <v>L104775</v>
          </cell>
          <cell r="V1002" t="str">
            <v>EMP 2kg</v>
          </cell>
          <cell r="W1002" t="str">
            <v>Ajuste</v>
          </cell>
          <cell r="X1002">
            <v>2</v>
          </cell>
          <cell r="Y1002">
            <v>4</v>
          </cell>
        </row>
        <row r="1003">
          <cell r="U1003" t="str">
            <v>L104660</v>
          </cell>
          <cell r="V1003" t="str">
            <v>EMP 3kg</v>
          </cell>
          <cell r="W1003" t="str">
            <v>Ajuste</v>
          </cell>
          <cell r="X1003">
            <v>32</v>
          </cell>
          <cell r="Y1003">
            <v>96</v>
          </cell>
        </row>
        <row r="1004">
          <cell r="U1004" t="str">
            <v>L104635</v>
          </cell>
          <cell r="V1004" t="str">
            <v>FDV 3Kg</v>
          </cell>
          <cell r="W1004" t="str">
            <v>Ajuste</v>
          </cell>
          <cell r="X1004">
            <v>24</v>
          </cell>
          <cell r="Y1004">
            <v>72</v>
          </cell>
        </row>
        <row r="1005">
          <cell r="U1005" t="str">
            <v>L104647</v>
          </cell>
          <cell r="V1005" t="str">
            <v>FDV 3Kg</v>
          </cell>
          <cell r="W1005" t="str">
            <v>Ajuste</v>
          </cell>
          <cell r="X1005">
            <v>14</v>
          </cell>
          <cell r="Y1005">
            <v>42</v>
          </cell>
        </row>
        <row r="1006">
          <cell r="U1006" t="str">
            <v>L104374</v>
          </cell>
          <cell r="V1006" t="str">
            <v>FREG MTAL</v>
          </cell>
          <cell r="W1006" t="str">
            <v>Ajuste</v>
          </cell>
          <cell r="X1006">
            <v>2</v>
          </cell>
          <cell r="Y1006">
            <v>90</v>
          </cell>
        </row>
        <row r="1007">
          <cell r="U1007" t="str">
            <v>L104880</v>
          </cell>
          <cell r="V1007" t="str">
            <v>FRJ 3kg-CAJA</v>
          </cell>
          <cell r="W1007" t="str">
            <v>Ajuste</v>
          </cell>
          <cell r="X1007">
            <v>2</v>
          </cell>
          <cell r="Y1007">
            <v>6</v>
          </cell>
        </row>
        <row r="1008">
          <cell r="U1008" t="str">
            <v>L104811</v>
          </cell>
          <cell r="V1008" t="str">
            <v>FRJ 5kg-CAJA</v>
          </cell>
          <cell r="W1008" t="str">
            <v>Ajuste</v>
          </cell>
          <cell r="X1008">
            <v>2</v>
          </cell>
          <cell r="Y1008">
            <v>10</v>
          </cell>
        </row>
        <row r="1009">
          <cell r="U1009" t="str">
            <v>L104030</v>
          </cell>
          <cell r="V1009" t="str">
            <v>FRUV 10kg</v>
          </cell>
          <cell r="W1009" t="str">
            <v>Ajuste</v>
          </cell>
          <cell r="X1009">
            <v>28</v>
          </cell>
          <cell r="Y1009">
            <v>280</v>
          </cell>
        </row>
        <row r="1010">
          <cell r="U1010" t="str">
            <v>,,,</v>
          </cell>
          <cell r="V1010" t="str">
            <v>FRUVER 10kg</v>
          </cell>
          <cell r="W1010" t="str">
            <v>Ajuste</v>
          </cell>
          <cell r="X1010">
            <v>4</v>
          </cell>
          <cell r="Y1010">
            <v>40</v>
          </cell>
        </row>
        <row r="1011">
          <cell r="U1011" t="str">
            <v>L103817</v>
          </cell>
          <cell r="V1011" t="str">
            <v>FRUVER 10kg</v>
          </cell>
          <cell r="W1011" t="str">
            <v>Ajuste</v>
          </cell>
          <cell r="X1011">
            <v>78</v>
          </cell>
          <cell r="Y1011">
            <v>780</v>
          </cell>
        </row>
        <row r="1012">
          <cell r="U1012" t="str">
            <v>L103870</v>
          </cell>
          <cell r="V1012" t="str">
            <v>FRUVER 10kg</v>
          </cell>
          <cell r="W1012" t="str">
            <v>Ajuste</v>
          </cell>
          <cell r="X1012">
            <v>62</v>
          </cell>
          <cell r="Y1012">
            <v>620</v>
          </cell>
        </row>
        <row r="1013">
          <cell r="U1013" t="str">
            <v>L103920</v>
          </cell>
          <cell r="V1013" t="str">
            <v>FRUVER 10kg</v>
          </cell>
          <cell r="W1013" t="str">
            <v>Ajuste</v>
          </cell>
          <cell r="X1013">
            <v>72</v>
          </cell>
          <cell r="Y1013">
            <v>720</v>
          </cell>
        </row>
        <row r="1014">
          <cell r="U1014" t="str">
            <v>L104120</v>
          </cell>
          <cell r="V1014" t="str">
            <v>FRUVER 10kg</v>
          </cell>
          <cell r="W1014" t="str">
            <v>Ajuste</v>
          </cell>
          <cell r="X1014">
            <v>52</v>
          </cell>
          <cell r="Y1014">
            <v>520</v>
          </cell>
        </row>
        <row r="1015">
          <cell r="U1015" t="str">
            <v>L104202</v>
          </cell>
          <cell r="V1015" t="str">
            <v>FRUVER 10kg</v>
          </cell>
          <cell r="W1015" t="str">
            <v>Ajuste</v>
          </cell>
          <cell r="X1015">
            <v>66</v>
          </cell>
          <cell r="Y1015">
            <v>660</v>
          </cell>
        </row>
        <row r="1016">
          <cell r="U1016" t="str">
            <v>L104239</v>
          </cell>
          <cell r="V1016" t="str">
            <v>FRUVER 10kg</v>
          </cell>
          <cell r="W1016" t="str">
            <v>Ajuste</v>
          </cell>
          <cell r="X1016">
            <v>76</v>
          </cell>
          <cell r="Y1016">
            <v>760</v>
          </cell>
        </row>
        <row r="1017">
          <cell r="U1017" t="str">
            <v>L104418</v>
          </cell>
          <cell r="V1017" t="str">
            <v>FRUVER 10kg</v>
          </cell>
          <cell r="W1017" t="str">
            <v>Ajuste</v>
          </cell>
          <cell r="X1017">
            <v>92</v>
          </cell>
          <cell r="Y1017">
            <v>920</v>
          </cell>
        </row>
        <row r="1018">
          <cell r="U1018" t="str">
            <v>L104454</v>
          </cell>
          <cell r="V1018" t="str">
            <v>FRUVER 10kg</v>
          </cell>
          <cell r="W1018" t="str">
            <v>Ajuste</v>
          </cell>
          <cell r="X1018">
            <v>98</v>
          </cell>
          <cell r="Y1018">
            <v>980</v>
          </cell>
        </row>
        <row r="1019">
          <cell r="U1019" t="str">
            <v>L104515</v>
          </cell>
          <cell r="V1019" t="str">
            <v>FRUVER 10kg</v>
          </cell>
          <cell r="W1019" t="str">
            <v>Ajuste</v>
          </cell>
          <cell r="X1019">
            <v>58</v>
          </cell>
          <cell r="Y1019">
            <v>580</v>
          </cell>
        </row>
        <row r="1020">
          <cell r="U1020" t="str">
            <v>L104731</v>
          </cell>
          <cell r="V1020" t="str">
            <v>FRUVER 10kg</v>
          </cell>
          <cell r="W1020" t="str">
            <v>Ajuste</v>
          </cell>
          <cell r="X1020">
            <v>196</v>
          </cell>
          <cell r="Y1020">
            <v>1960</v>
          </cell>
        </row>
        <row r="1021">
          <cell r="U1021" t="str">
            <v>L104796</v>
          </cell>
          <cell r="V1021" t="str">
            <v>FRUVER 10kg</v>
          </cell>
          <cell r="W1021" t="str">
            <v>Ajuste</v>
          </cell>
          <cell r="X1021">
            <v>112</v>
          </cell>
          <cell r="Y1021">
            <v>1120</v>
          </cell>
        </row>
        <row r="1022">
          <cell r="U1022" t="str">
            <v>L104796</v>
          </cell>
          <cell r="V1022" t="str">
            <v>FRUVER 10kg</v>
          </cell>
          <cell r="W1022" t="str">
            <v>Dañado</v>
          </cell>
          <cell r="X1022">
            <v>12</v>
          </cell>
          <cell r="Y1022">
            <v>120</v>
          </cell>
        </row>
        <row r="1023">
          <cell r="U1023" t="str">
            <v>L104845</v>
          </cell>
          <cell r="V1023" t="str">
            <v>FRUVER 10kg</v>
          </cell>
          <cell r="W1023" t="str">
            <v>Ajuste</v>
          </cell>
          <cell r="X1023">
            <v>194</v>
          </cell>
          <cell r="Y1023">
            <v>1940</v>
          </cell>
        </row>
        <row r="1024">
          <cell r="U1024" t="str">
            <v>L104028</v>
          </cell>
          <cell r="V1024" t="str">
            <v>FRVDVG 5kg</v>
          </cell>
          <cell r="W1024" t="str">
            <v>Ajuste</v>
          </cell>
          <cell r="X1024">
            <v>2</v>
          </cell>
          <cell r="Y1024">
            <v>10</v>
          </cell>
        </row>
        <row r="1025">
          <cell r="U1025" t="str">
            <v>L104180</v>
          </cell>
          <cell r="V1025" t="str">
            <v>FRVDVG 5kg</v>
          </cell>
          <cell r="W1025" t="str">
            <v>Ajuste</v>
          </cell>
          <cell r="X1025">
            <v>1</v>
          </cell>
          <cell r="Y1025">
            <v>5</v>
          </cell>
        </row>
        <row r="1026">
          <cell r="U1026" t="str">
            <v>L104180</v>
          </cell>
          <cell r="V1026" t="str">
            <v>FRVDVG 5kg</v>
          </cell>
          <cell r="W1026" t="str">
            <v>Dañado</v>
          </cell>
          <cell r="X1026">
            <v>1</v>
          </cell>
          <cell r="Y1026">
            <v>5</v>
          </cell>
        </row>
        <row r="1027">
          <cell r="U1027" t="str">
            <v>L104496</v>
          </cell>
          <cell r="V1027" t="str">
            <v>FRVDVG 5kg</v>
          </cell>
          <cell r="W1027" t="str">
            <v>Ajuste</v>
          </cell>
          <cell r="X1027">
            <v>24</v>
          </cell>
          <cell r="Y1027">
            <v>120</v>
          </cell>
        </row>
        <row r="1028">
          <cell r="U1028" t="str">
            <v>L104508</v>
          </cell>
          <cell r="V1028" t="str">
            <v>FRVDVG 5kg</v>
          </cell>
          <cell r="W1028" t="str">
            <v>Ajuste</v>
          </cell>
          <cell r="X1028">
            <v>2</v>
          </cell>
          <cell r="Y1028">
            <v>10</v>
          </cell>
        </row>
        <row r="1029">
          <cell r="U1029" t="str">
            <v>L104678</v>
          </cell>
          <cell r="V1029" t="str">
            <v>FRVDVG 5kg</v>
          </cell>
          <cell r="W1029" t="str">
            <v>Ajuste</v>
          </cell>
          <cell r="X1029">
            <v>2</v>
          </cell>
          <cell r="Y1029">
            <v>10</v>
          </cell>
        </row>
        <row r="1030">
          <cell r="U1030" t="str">
            <v>L104688</v>
          </cell>
          <cell r="V1030" t="str">
            <v>FRVDVG 5kg</v>
          </cell>
          <cell r="W1030" t="str">
            <v>Ajuste</v>
          </cell>
          <cell r="X1030">
            <v>2</v>
          </cell>
          <cell r="Y1030">
            <v>10</v>
          </cell>
        </row>
        <row r="1031">
          <cell r="U1031" t="str">
            <v>L103797</v>
          </cell>
          <cell r="V1031" t="str">
            <v>FRVDVG 8kg</v>
          </cell>
          <cell r="W1031" t="str">
            <v>Ajuste</v>
          </cell>
          <cell r="X1031">
            <v>10</v>
          </cell>
          <cell r="Y1031">
            <v>80</v>
          </cell>
        </row>
        <row r="1032">
          <cell r="U1032" t="str">
            <v>L103799</v>
          </cell>
          <cell r="V1032" t="str">
            <v>FRVDVG 8kg</v>
          </cell>
          <cell r="W1032" t="str">
            <v>Ajuste</v>
          </cell>
          <cell r="X1032">
            <v>16</v>
          </cell>
          <cell r="Y1032">
            <v>128</v>
          </cell>
        </row>
        <row r="1033">
          <cell r="U1033" t="str">
            <v>L103813</v>
          </cell>
          <cell r="V1033" t="str">
            <v>FRVDVG 8kg</v>
          </cell>
          <cell r="W1033" t="str">
            <v>Ajuste</v>
          </cell>
          <cell r="X1033">
            <v>18</v>
          </cell>
          <cell r="Y1033">
            <v>144</v>
          </cell>
        </row>
        <row r="1034">
          <cell r="U1034" t="str">
            <v>L103859</v>
          </cell>
          <cell r="V1034" t="str">
            <v>FRVDVG 8kg</v>
          </cell>
          <cell r="W1034" t="str">
            <v>Ajuste</v>
          </cell>
          <cell r="X1034">
            <v>22</v>
          </cell>
          <cell r="Y1034">
            <v>176</v>
          </cell>
        </row>
        <row r="1035">
          <cell r="U1035" t="str">
            <v>L103861</v>
          </cell>
          <cell r="V1035" t="str">
            <v>FRVDVG 8kg</v>
          </cell>
          <cell r="W1035" t="str">
            <v>Ajuste</v>
          </cell>
          <cell r="X1035">
            <v>26</v>
          </cell>
          <cell r="Y1035">
            <v>208</v>
          </cell>
        </row>
        <row r="1036">
          <cell r="U1036" t="str">
            <v>L103909</v>
          </cell>
          <cell r="V1036" t="str">
            <v>FRVDVG 8kg</v>
          </cell>
          <cell r="W1036" t="str">
            <v>Ajuste</v>
          </cell>
          <cell r="X1036">
            <v>16</v>
          </cell>
          <cell r="Y1036">
            <v>128</v>
          </cell>
        </row>
        <row r="1037">
          <cell r="U1037" t="str">
            <v>L104004</v>
          </cell>
          <cell r="V1037" t="str">
            <v>FRVDVG 8kg</v>
          </cell>
          <cell r="W1037" t="str">
            <v>Ajuste</v>
          </cell>
          <cell r="X1037">
            <v>18</v>
          </cell>
          <cell r="Y1037">
            <v>144</v>
          </cell>
        </row>
        <row r="1038">
          <cell r="U1038" t="str">
            <v>L104022</v>
          </cell>
          <cell r="V1038" t="str">
            <v>FRVDVG 8kg</v>
          </cell>
          <cell r="W1038" t="str">
            <v>Ajuste</v>
          </cell>
          <cell r="X1038">
            <v>16</v>
          </cell>
          <cell r="Y1038">
            <v>128</v>
          </cell>
        </row>
        <row r="1039">
          <cell r="U1039" t="str">
            <v>L104027</v>
          </cell>
          <cell r="V1039" t="str">
            <v>FRVDVG 8kg</v>
          </cell>
          <cell r="W1039" t="str">
            <v>Ajuste</v>
          </cell>
          <cell r="X1039">
            <v>12</v>
          </cell>
          <cell r="Y1039">
            <v>96</v>
          </cell>
        </row>
        <row r="1040">
          <cell r="U1040" t="str">
            <v>L104089</v>
          </cell>
          <cell r="V1040" t="str">
            <v>FRVDVG 8kg</v>
          </cell>
          <cell r="W1040" t="str">
            <v>Ajuste</v>
          </cell>
          <cell r="X1040">
            <v>32</v>
          </cell>
          <cell r="Y1040">
            <v>256</v>
          </cell>
        </row>
        <row r="1041">
          <cell r="U1041" t="str">
            <v>L104105</v>
          </cell>
          <cell r="V1041" t="str">
            <v>FRVDVG 8kg</v>
          </cell>
          <cell r="W1041" t="str">
            <v>Ajuste</v>
          </cell>
          <cell r="X1041">
            <v>22</v>
          </cell>
          <cell r="Y1041">
            <v>176</v>
          </cell>
        </row>
        <row r="1042">
          <cell r="U1042" t="str">
            <v>L104111</v>
          </cell>
          <cell r="V1042" t="str">
            <v>FRVDVG 8kg</v>
          </cell>
          <cell r="W1042" t="str">
            <v>Ajuste</v>
          </cell>
          <cell r="X1042">
            <v>10</v>
          </cell>
          <cell r="Y1042">
            <v>80</v>
          </cell>
        </row>
        <row r="1043">
          <cell r="U1043" t="str">
            <v>L104118</v>
          </cell>
          <cell r="V1043" t="str">
            <v>FRVDVG 8kg</v>
          </cell>
          <cell r="W1043" t="str">
            <v>Ajuste</v>
          </cell>
          <cell r="X1043">
            <v>10</v>
          </cell>
          <cell r="Y1043">
            <v>80</v>
          </cell>
        </row>
        <row r="1044">
          <cell r="U1044" t="str">
            <v>L104178</v>
          </cell>
          <cell r="V1044" t="str">
            <v>FRVDVG 8kg</v>
          </cell>
          <cell r="W1044" t="str">
            <v>Ajuste</v>
          </cell>
          <cell r="X1044">
            <v>6</v>
          </cell>
          <cell r="Y1044">
            <v>48</v>
          </cell>
        </row>
        <row r="1045">
          <cell r="U1045" t="str">
            <v>L104179</v>
          </cell>
          <cell r="V1045" t="str">
            <v>FRVDVG 8kg</v>
          </cell>
          <cell r="W1045" t="str">
            <v>Ajuste</v>
          </cell>
          <cell r="X1045">
            <v>6</v>
          </cell>
          <cell r="Y1045">
            <v>48</v>
          </cell>
        </row>
        <row r="1046">
          <cell r="U1046" t="str">
            <v>L104182</v>
          </cell>
          <cell r="V1046" t="str">
            <v>FRVDVG 8kg</v>
          </cell>
          <cell r="W1046" t="str">
            <v>Ajuste</v>
          </cell>
          <cell r="X1046">
            <v>32</v>
          </cell>
          <cell r="Y1046">
            <v>256</v>
          </cell>
        </row>
        <row r="1047">
          <cell r="U1047" t="str">
            <v>L104187</v>
          </cell>
          <cell r="V1047" t="str">
            <v>FRVDVG 8kg</v>
          </cell>
          <cell r="W1047" t="str">
            <v>Ajuste</v>
          </cell>
          <cell r="X1047">
            <v>28</v>
          </cell>
          <cell r="Y1047">
            <v>224</v>
          </cell>
        </row>
        <row r="1048">
          <cell r="U1048" t="str">
            <v>L104232</v>
          </cell>
          <cell r="V1048" t="str">
            <v>FRVDVG 8kg</v>
          </cell>
          <cell r="W1048" t="str">
            <v>Ajuste</v>
          </cell>
          <cell r="X1048">
            <v>10</v>
          </cell>
          <cell r="Y1048">
            <v>80</v>
          </cell>
        </row>
        <row r="1049">
          <cell r="U1049" t="str">
            <v>L104234</v>
          </cell>
          <cell r="V1049" t="str">
            <v>FRVDVG 8kg</v>
          </cell>
          <cell r="W1049" t="str">
            <v>Ajuste</v>
          </cell>
          <cell r="X1049">
            <v>16</v>
          </cell>
          <cell r="Y1049">
            <v>128</v>
          </cell>
        </row>
        <row r="1050">
          <cell r="U1050" t="str">
            <v>L104340</v>
          </cell>
          <cell r="V1050" t="str">
            <v>FRVDVG 8kg</v>
          </cell>
          <cell r="W1050" t="str">
            <v>Ajuste</v>
          </cell>
          <cell r="X1050">
            <v>26</v>
          </cell>
          <cell r="Y1050">
            <v>208</v>
          </cell>
        </row>
        <row r="1051">
          <cell r="U1051" t="str">
            <v>L104348</v>
          </cell>
          <cell r="V1051" t="str">
            <v>FRVDVG 8kg</v>
          </cell>
          <cell r="W1051" t="str">
            <v>Ajuste</v>
          </cell>
          <cell r="X1051">
            <v>16</v>
          </cell>
          <cell r="Y1051">
            <v>128</v>
          </cell>
        </row>
        <row r="1052">
          <cell r="U1052" t="str">
            <v>L104385</v>
          </cell>
          <cell r="V1052" t="str">
            <v>FRVDVG 8kg</v>
          </cell>
          <cell r="W1052" t="str">
            <v>Ajuste</v>
          </cell>
          <cell r="X1052">
            <v>16</v>
          </cell>
          <cell r="Y1052">
            <v>128</v>
          </cell>
        </row>
        <row r="1053">
          <cell r="U1053" t="str">
            <v>L104415</v>
          </cell>
          <cell r="V1053" t="str">
            <v>FRVDVG 8kg</v>
          </cell>
          <cell r="W1053" t="str">
            <v>Ajuste</v>
          </cell>
          <cell r="X1053">
            <v>30</v>
          </cell>
          <cell r="Y1053">
            <v>240</v>
          </cell>
        </row>
        <row r="1054">
          <cell r="U1054" t="str">
            <v>L104421</v>
          </cell>
          <cell r="V1054" t="str">
            <v>FRVDVG 8kg</v>
          </cell>
          <cell r="W1054" t="str">
            <v>Ajuste</v>
          </cell>
          <cell r="X1054">
            <v>12</v>
          </cell>
          <cell r="Y1054">
            <v>96</v>
          </cell>
        </row>
        <row r="1055">
          <cell r="U1055" t="str">
            <v>L104449</v>
          </cell>
          <cell r="V1055" t="str">
            <v>FRVDVG 8kg</v>
          </cell>
          <cell r="W1055" t="str">
            <v>Ajuste</v>
          </cell>
          <cell r="X1055">
            <v>24</v>
          </cell>
          <cell r="Y1055">
            <v>192</v>
          </cell>
        </row>
        <row r="1056">
          <cell r="U1056" t="str">
            <v>L104463</v>
          </cell>
          <cell r="V1056" t="str">
            <v>FRVDVG 8kg</v>
          </cell>
          <cell r="W1056" t="str">
            <v>Ajuste</v>
          </cell>
          <cell r="X1056">
            <v>18</v>
          </cell>
          <cell r="Y1056">
            <v>144</v>
          </cell>
        </row>
        <row r="1057">
          <cell r="U1057" t="str">
            <v>L104495</v>
          </cell>
          <cell r="V1057" t="str">
            <v>FRVDVG 8kg</v>
          </cell>
          <cell r="W1057" t="str">
            <v>Ajuste</v>
          </cell>
          <cell r="X1057">
            <v>40</v>
          </cell>
          <cell r="Y1057">
            <v>320</v>
          </cell>
        </row>
        <row r="1058">
          <cell r="U1058" t="str">
            <v>L104501</v>
          </cell>
          <cell r="V1058" t="str">
            <v>FRVDVG 8kg</v>
          </cell>
          <cell r="W1058" t="str">
            <v>Ajuste</v>
          </cell>
          <cell r="X1058">
            <v>18</v>
          </cell>
          <cell r="Y1058">
            <v>144</v>
          </cell>
        </row>
        <row r="1059">
          <cell r="U1059" t="str">
            <v>L104507</v>
          </cell>
          <cell r="V1059" t="str">
            <v>FRVDVG 8kg</v>
          </cell>
          <cell r="W1059" t="str">
            <v>Ajuste</v>
          </cell>
          <cell r="X1059">
            <v>16</v>
          </cell>
          <cell r="Y1059">
            <v>128</v>
          </cell>
        </row>
        <row r="1060">
          <cell r="U1060" t="str">
            <v>L104677</v>
          </cell>
          <cell r="V1060" t="str">
            <v>FRVDVG 8kg</v>
          </cell>
          <cell r="W1060" t="str">
            <v>Ajuste</v>
          </cell>
          <cell r="X1060">
            <v>30</v>
          </cell>
          <cell r="Y1060">
            <v>240</v>
          </cell>
        </row>
        <row r="1061">
          <cell r="U1061" t="str">
            <v>L104687</v>
          </cell>
          <cell r="V1061" t="str">
            <v>FRVDVG 8kg</v>
          </cell>
          <cell r="W1061" t="str">
            <v>Ajuste</v>
          </cell>
          <cell r="X1061">
            <v>36</v>
          </cell>
          <cell r="Y1061">
            <v>288</v>
          </cell>
        </row>
        <row r="1062">
          <cell r="U1062" t="str">
            <v>L104723</v>
          </cell>
          <cell r="V1062" t="str">
            <v>FRVDVG 8kg</v>
          </cell>
          <cell r="W1062" t="str">
            <v>Ajuste</v>
          </cell>
          <cell r="X1062">
            <v>60</v>
          </cell>
          <cell r="Y1062">
            <v>480</v>
          </cell>
        </row>
        <row r="1063">
          <cell r="U1063" t="str">
            <v>L104726</v>
          </cell>
          <cell r="V1063" t="str">
            <v>FRVDVG 8kg</v>
          </cell>
          <cell r="W1063" t="str">
            <v>Ajuste</v>
          </cell>
          <cell r="X1063">
            <v>24</v>
          </cell>
          <cell r="Y1063">
            <v>192</v>
          </cell>
        </row>
        <row r="1064">
          <cell r="U1064" t="str">
            <v>L104786</v>
          </cell>
          <cell r="V1064" t="str">
            <v>FRVDVG 8kg</v>
          </cell>
          <cell r="W1064" t="str">
            <v>Ajuste</v>
          </cell>
          <cell r="X1064">
            <v>34</v>
          </cell>
          <cell r="Y1064">
            <v>272</v>
          </cell>
        </row>
        <row r="1065">
          <cell r="U1065" t="str">
            <v>L104791</v>
          </cell>
          <cell r="V1065" t="str">
            <v>FRVDVG 8kg</v>
          </cell>
          <cell r="W1065" t="str">
            <v>Ajuste</v>
          </cell>
          <cell r="X1065">
            <v>24</v>
          </cell>
          <cell r="Y1065">
            <v>192</v>
          </cell>
        </row>
        <row r="1066">
          <cell r="U1066" t="str">
            <v>L104794</v>
          </cell>
          <cell r="V1066" t="str">
            <v>FRVDVG 8kg</v>
          </cell>
          <cell r="W1066" t="str">
            <v>Ajuste</v>
          </cell>
          <cell r="X1066">
            <v>38</v>
          </cell>
          <cell r="Y1066">
            <v>304</v>
          </cell>
        </row>
        <row r="1067">
          <cell r="U1067" t="str">
            <v>L104830</v>
          </cell>
          <cell r="V1067" t="str">
            <v>FRVDVG 8kg</v>
          </cell>
          <cell r="W1067" t="str">
            <v>Ajuste</v>
          </cell>
          <cell r="X1067">
            <v>28</v>
          </cell>
          <cell r="Y1067">
            <v>224</v>
          </cell>
        </row>
        <row r="1068">
          <cell r="U1068" t="str">
            <v>L104833</v>
          </cell>
          <cell r="V1068" t="str">
            <v>FRVDVG 8kg</v>
          </cell>
          <cell r="W1068" t="str">
            <v>Ajuste</v>
          </cell>
          <cell r="X1068">
            <v>8</v>
          </cell>
          <cell r="Y1068">
            <v>64</v>
          </cell>
        </row>
        <row r="1069">
          <cell r="U1069" t="str">
            <v>L104838</v>
          </cell>
          <cell r="V1069" t="str">
            <v>FRVDVG 8kg</v>
          </cell>
          <cell r="W1069" t="str">
            <v>Ajuste</v>
          </cell>
          <cell r="X1069">
            <v>38</v>
          </cell>
          <cell r="Y1069">
            <v>304</v>
          </cell>
        </row>
        <row r="1070">
          <cell r="U1070" t="str">
            <v>L104615</v>
          </cell>
          <cell r="V1070" t="str">
            <v>Galleta kg</v>
          </cell>
          <cell r="W1070" t="str">
            <v>Ajuste</v>
          </cell>
          <cell r="X1070">
            <v>52</v>
          </cell>
          <cell r="Y1070">
            <v>52</v>
          </cell>
        </row>
        <row r="1071">
          <cell r="U1071" t="str">
            <v>L104073</v>
          </cell>
          <cell r="V1071" t="str">
            <v>GLT 2kg</v>
          </cell>
          <cell r="W1071" t="str">
            <v>Ajuste</v>
          </cell>
          <cell r="X1071">
            <v>66</v>
          </cell>
          <cell r="Y1071">
            <v>132</v>
          </cell>
        </row>
        <row r="1072">
          <cell r="U1072" t="str">
            <v>L103760</v>
          </cell>
          <cell r="V1072" t="str">
            <v>GLT 2kg</v>
          </cell>
          <cell r="W1072" t="str">
            <v>Ajuste</v>
          </cell>
          <cell r="X1072">
            <v>4</v>
          </cell>
          <cell r="Y1072">
            <v>8</v>
          </cell>
        </row>
        <row r="1073">
          <cell r="U1073" t="str">
            <v>L103761</v>
          </cell>
          <cell r="V1073" t="str">
            <v>GLT 2kg</v>
          </cell>
          <cell r="W1073" t="str">
            <v>Ajuste</v>
          </cell>
          <cell r="X1073">
            <v>20</v>
          </cell>
          <cell r="Y1073">
            <v>40</v>
          </cell>
        </row>
        <row r="1074">
          <cell r="U1074" t="str">
            <v>L104072</v>
          </cell>
          <cell r="V1074" t="str">
            <v>GLT 2kg</v>
          </cell>
          <cell r="W1074" t="str">
            <v>Ajuste</v>
          </cell>
          <cell r="X1074">
            <v>82</v>
          </cell>
          <cell r="Y1074">
            <v>164</v>
          </cell>
        </row>
        <row r="1075">
          <cell r="U1075" t="str">
            <v>L104099</v>
          </cell>
          <cell r="V1075" t="str">
            <v>GLT 2kg</v>
          </cell>
          <cell r="W1075" t="str">
            <v>Ajuste</v>
          </cell>
          <cell r="X1075">
            <v>2</v>
          </cell>
          <cell r="Y1075">
            <v>4</v>
          </cell>
        </row>
        <row r="1076">
          <cell r="U1076" t="str">
            <v>L104101</v>
          </cell>
          <cell r="V1076" t="str">
            <v>GLT 2kg</v>
          </cell>
          <cell r="W1076" t="str">
            <v>Ajuste</v>
          </cell>
          <cell r="X1076">
            <v>34</v>
          </cell>
          <cell r="Y1076">
            <v>68</v>
          </cell>
        </row>
        <row r="1077">
          <cell r="U1077" t="str">
            <v>L104437</v>
          </cell>
          <cell r="V1077" t="str">
            <v>GLV 1.5kg</v>
          </cell>
          <cell r="W1077" t="str">
            <v>Ajuste</v>
          </cell>
          <cell r="X1077">
            <v>2</v>
          </cell>
          <cell r="Y1077">
            <v>3</v>
          </cell>
        </row>
        <row r="1078">
          <cell r="U1078" t="str">
            <v>L104319</v>
          </cell>
          <cell r="V1078" t="str">
            <v>GLV 1kg</v>
          </cell>
          <cell r="W1078" t="str">
            <v>Ajuste</v>
          </cell>
          <cell r="X1078">
            <v>2</v>
          </cell>
          <cell r="Y1078">
            <v>2</v>
          </cell>
        </row>
        <row r="1079">
          <cell r="U1079" t="str">
            <v>L104320</v>
          </cell>
          <cell r="V1079" t="str">
            <v>GLV 1kg</v>
          </cell>
          <cell r="W1079" t="str">
            <v>Ajuste</v>
          </cell>
          <cell r="X1079">
            <v>38</v>
          </cell>
          <cell r="Y1079">
            <v>38</v>
          </cell>
        </row>
        <row r="1080">
          <cell r="U1080" t="str">
            <v>L104879</v>
          </cell>
          <cell r="V1080" t="str">
            <v>GLV 1kg</v>
          </cell>
          <cell r="W1080" t="str">
            <v>Ajuste</v>
          </cell>
          <cell r="X1080">
            <v>87</v>
          </cell>
          <cell r="Y1080">
            <v>87</v>
          </cell>
        </row>
        <row r="1081">
          <cell r="U1081" t="str">
            <v>L103832</v>
          </cell>
          <cell r="V1081" t="str">
            <v>GLV 4kg</v>
          </cell>
          <cell r="W1081" t="str">
            <v>Ajuste</v>
          </cell>
          <cell r="X1081">
            <v>394</v>
          </cell>
          <cell r="Y1081">
            <v>1576</v>
          </cell>
        </row>
        <row r="1082">
          <cell r="U1082" t="str">
            <v>L103832</v>
          </cell>
          <cell r="V1082" t="str">
            <v>GLV 4kg</v>
          </cell>
          <cell r="W1082" t="str">
            <v>Uso del BAP</v>
          </cell>
          <cell r="X1082">
            <v>3</v>
          </cell>
          <cell r="Y1082">
            <v>12</v>
          </cell>
        </row>
        <row r="1083">
          <cell r="U1083" t="str">
            <v>L103785</v>
          </cell>
          <cell r="V1083" t="str">
            <v>GST Vr5.0kg-CAJA</v>
          </cell>
          <cell r="W1083" t="str">
            <v>Ajuste</v>
          </cell>
          <cell r="X1083">
            <v>14</v>
          </cell>
          <cell r="Y1083">
            <v>70</v>
          </cell>
        </row>
        <row r="1084">
          <cell r="U1084" t="str">
            <v>L104575</v>
          </cell>
          <cell r="V1084" t="str">
            <v>GST Vr5.0kg-CAJA</v>
          </cell>
          <cell r="W1084" t="str">
            <v>Ajuste</v>
          </cell>
          <cell r="X1084">
            <v>10</v>
          </cell>
          <cell r="Y1084">
            <v>50</v>
          </cell>
        </row>
        <row r="1085">
          <cell r="U1085" t="str">
            <v>L104587</v>
          </cell>
          <cell r="V1085" t="str">
            <v>GST Vr5.0kg-CAJA</v>
          </cell>
          <cell r="W1085" t="str">
            <v>Ajuste</v>
          </cell>
          <cell r="X1085">
            <v>14</v>
          </cell>
          <cell r="Y1085">
            <v>70</v>
          </cell>
        </row>
        <row r="1086">
          <cell r="U1086" t="str">
            <v>L104847</v>
          </cell>
          <cell r="V1086" t="str">
            <v>GST Vr5.0kg-CAJA</v>
          </cell>
          <cell r="W1086" t="str">
            <v>Ajuste</v>
          </cell>
          <cell r="X1086">
            <v>2</v>
          </cell>
          <cell r="Y1086">
            <v>10</v>
          </cell>
        </row>
        <row r="1087">
          <cell r="U1087" t="str">
            <v>L104211</v>
          </cell>
          <cell r="V1087" t="str">
            <v>GTA 1kg-CAJA</v>
          </cell>
          <cell r="W1087" t="str">
            <v>Ajuste</v>
          </cell>
          <cell r="X1087">
            <v>360</v>
          </cell>
          <cell r="Y1087">
            <v>360</v>
          </cell>
        </row>
        <row r="1088">
          <cell r="U1088" t="str">
            <v>L104438</v>
          </cell>
          <cell r="V1088" t="str">
            <v>GTA 1kg-CAJA</v>
          </cell>
          <cell r="W1088" t="str">
            <v>Ajuste</v>
          </cell>
          <cell r="X1088">
            <v>2</v>
          </cell>
          <cell r="Y1088">
            <v>2</v>
          </cell>
        </row>
        <row r="1089">
          <cell r="U1089" t="str">
            <v>L104318</v>
          </cell>
          <cell r="V1089" t="str">
            <v>GTA 2kg-CAJA</v>
          </cell>
          <cell r="W1089" t="str">
            <v>Ajuste</v>
          </cell>
          <cell r="X1089">
            <v>28</v>
          </cell>
          <cell r="Y1089">
            <v>56</v>
          </cell>
        </row>
        <row r="1090">
          <cell r="U1090" t="str">
            <v>L104321</v>
          </cell>
          <cell r="V1090" t="str">
            <v>GTA 2kg-CAJA</v>
          </cell>
          <cell r="W1090" t="str">
            <v>Ajuste</v>
          </cell>
          <cell r="X1090">
            <v>2</v>
          </cell>
          <cell r="Y1090">
            <v>4</v>
          </cell>
        </row>
        <row r="1091">
          <cell r="U1091" t="str">
            <v>L104323</v>
          </cell>
          <cell r="V1091" t="str">
            <v>GTA 2kg-CAJA</v>
          </cell>
          <cell r="W1091" t="str">
            <v>Ajuste</v>
          </cell>
          <cell r="X1091">
            <v>16</v>
          </cell>
          <cell r="Y1091">
            <v>32</v>
          </cell>
        </row>
        <row r="1092">
          <cell r="U1092" t="str">
            <v>L104324</v>
          </cell>
          <cell r="V1092" t="str">
            <v>GTA 2kg-CAJA</v>
          </cell>
          <cell r="W1092" t="str">
            <v>Ajuste</v>
          </cell>
          <cell r="X1092">
            <v>2</v>
          </cell>
          <cell r="Y1092">
            <v>4</v>
          </cell>
        </row>
        <row r="1093">
          <cell r="U1093" t="str">
            <v>L104325</v>
          </cell>
          <cell r="V1093" t="str">
            <v>GTA 2kg-CAJA</v>
          </cell>
          <cell r="W1093" t="str">
            <v>Ajuste</v>
          </cell>
          <cell r="X1093">
            <v>2</v>
          </cell>
          <cell r="Y1093">
            <v>4</v>
          </cell>
        </row>
        <row r="1094">
          <cell r="U1094" t="str">
            <v>L104740</v>
          </cell>
          <cell r="V1094" t="str">
            <v>GTA 2kg-CAJA</v>
          </cell>
          <cell r="W1094" t="str">
            <v>Ajuste</v>
          </cell>
          <cell r="X1094">
            <v>4</v>
          </cell>
          <cell r="Y1094">
            <v>8</v>
          </cell>
        </row>
        <row r="1095">
          <cell r="U1095" t="str">
            <v>L104912</v>
          </cell>
          <cell r="V1095" t="str">
            <v>GTA 2kg-CAJA</v>
          </cell>
          <cell r="W1095" t="str">
            <v>Ajuste</v>
          </cell>
          <cell r="X1095">
            <v>10</v>
          </cell>
          <cell r="Y1095">
            <v>20</v>
          </cell>
        </row>
        <row r="1096">
          <cell r="U1096" t="str">
            <v>L104161</v>
          </cell>
          <cell r="V1096" t="str">
            <v>GTA 3kg-CAJA</v>
          </cell>
          <cell r="W1096" t="str">
            <v>Ajuste</v>
          </cell>
          <cell r="X1096">
            <v>424</v>
          </cell>
          <cell r="Y1096">
            <v>1272</v>
          </cell>
        </row>
        <row r="1097">
          <cell r="U1097" t="str">
            <v>L104326</v>
          </cell>
          <cell r="V1097" t="str">
            <v>GTA 3kg-CAJA</v>
          </cell>
          <cell r="W1097" t="str">
            <v>Ajuste</v>
          </cell>
          <cell r="X1097">
            <v>4</v>
          </cell>
          <cell r="Y1097">
            <v>12</v>
          </cell>
        </row>
        <row r="1098">
          <cell r="U1098" t="str">
            <v>L104352</v>
          </cell>
          <cell r="V1098" t="str">
            <v>GTA 3kg-CAJA</v>
          </cell>
          <cell r="W1098" t="str">
            <v>Ajuste</v>
          </cell>
          <cell r="X1098">
            <v>2</v>
          </cell>
          <cell r="Y1098">
            <v>6</v>
          </cell>
        </row>
        <row r="1099">
          <cell r="U1099" t="str">
            <v>L104353</v>
          </cell>
          <cell r="V1099" t="str">
            <v>GTA 4kg-CAJA</v>
          </cell>
          <cell r="W1099" t="str">
            <v>Ajuste</v>
          </cell>
          <cell r="X1099">
            <v>2</v>
          </cell>
          <cell r="Y1099">
            <v>8</v>
          </cell>
        </row>
        <row r="1100">
          <cell r="U1100" t="str">
            <v>L104878</v>
          </cell>
          <cell r="V1100" t="str">
            <v>GUD 3kg</v>
          </cell>
          <cell r="W1100" t="str">
            <v>Ajuste</v>
          </cell>
          <cell r="X1100">
            <v>16</v>
          </cell>
          <cell r="Y1100">
            <v>48</v>
          </cell>
        </row>
        <row r="1101">
          <cell r="U1101" t="str">
            <v>L103793</v>
          </cell>
          <cell r="V1101" t="str">
            <v>GUD 5kg-CAJA</v>
          </cell>
          <cell r="W1101" t="str">
            <v>Ajuste</v>
          </cell>
          <cell r="X1101">
            <v>10</v>
          </cell>
          <cell r="Y1101">
            <v>50</v>
          </cell>
        </row>
        <row r="1102">
          <cell r="U1102" t="str">
            <v>L104032</v>
          </cell>
          <cell r="V1102" t="str">
            <v>GUD 5kg-CAJA</v>
          </cell>
          <cell r="W1102" t="str">
            <v>Ajuste</v>
          </cell>
          <cell r="X1102">
            <v>6</v>
          </cell>
          <cell r="Y1102">
            <v>30</v>
          </cell>
        </row>
        <row r="1103">
          <cell r="U1103" t="str">
            <v>L104571</v>
          </cell>
          <cell r="V1103" t="str">
            <v>GUD 5kg-CAJA</v>
          </cell>
          <cell r="W1103" t="str">
            <v>Ajuste</v>
          </cell>
          <cell r="X1103">
            <v>6</v>
          </cell>
          <cell r="Y1103">
            <v>30</v>
          </cell>
        </row>
        <row r="1104">
          <cell r="U1104" t="str">
            <v>L104593</v>
          </cell>
          <cell r="V1104" t="str">
            <v>GUD 5kg-CAJA</v>
          </cell>
          <cell r="W1104" t="str">
            <v>Ajuste</v>
          </cell>
          <cell r="X1104">
            <v>2</v>
          </cell>
          <cell r="Y1104">
            <v>10</v>
          </cell>
        </row>
        <row r="1105">
          <cell r="U1105" t="str">
            <v>L104641</v>
          </cell>
          <cell r="V1105" t="str">
            <v>GUD 5kg-CAJA</v>
          </cell>
          <cell r="W1105" t="str">
            <v>Ajuste</v>
          </cell>
          <cell r="X1105">
            <v>2</v>
          </cell>
          <cell r="Y1105">
            <v>10</v>
          </cell>
        </row>
        <row r="1106">
          <cell r="U1106" t="str">
            <v>L104812</v>
          </cell>
          <cell r="V1106" t="str">
            <v>GUD 5kg</v>
          </cell>
          <cell r="W1106" t="str">
            <v>Ajuste</v>
          </cell>
          <cell r="X1106">
            <v>2</v>
          </cell>
          <cell r="Y1106">
            <v>10</v>
          </cell>
        </row>
        <row r="1107">
          <cell r="U1107" t="str">
            <v>L104812</v>
          </cell>
          <cell r="V1107" t="str">
            <v>GUD 5kg-CAJA</v>
          </cell>
          <cell r="W1107" t="str">
            <v>Ajuste</v>
          </cell>
          <cell r="X1107">
            <v>2</v>
          </cell>
          <cell r="Y1107">
            <v>10</v>
          </cell>
        </row>
        <row r="1108">
          <cell r="U1108" t="str">
            <v>L104322</v>
          </cell>
          <cell r="V1108" t="str">
            <v>HAV 1.5 kg</v>
          </cell>
          <cell r="W1108" t="str">
            <v>Ajuste</v>
          </cell>
          <cell r="X1108">
            <v>90</v>
          </cell>
          <cell r="Y1108">
            <v>135</v>
          </cell>
        </row>
        <row r="1109">
          <cell r="U1109" t="str">
            <v>L104400</v>
          </cell>
          <cell r="V1109" t="str">
            <v>HAV 2kg</v>
          </cell>
          <cell r="W1109" t="str">
            <v>Ajuste</v>
          </cell>
          <cell r="X1109">
            <v>4</v>
          </cell>
          <cell r="Y1109">
            <v>8</v>
          </cell>
        </row>
        <row r="1110">
          <cell r="U1110" t="str">
            <v>L104096</v>
          </cell>
          <cell r="V1110" t="str">
            <v>HAV 3kg</v>
          </cell>
          <cell r="W1110" t="str">
            <v>Ajuste</v>
          </cell>
          <cell r="X1110">
            <v>2</v>
          </cell>
          <cell r="Y1110">
            <v>6</v>
          </cell>
        </row>
        <row r="1111">
          <cell r="U1111" t="str">
            <v>L104097</v>
          </cell>
          <cell r="V1111" t="str">
            <v>HAV 3kg</v>
          </cell>
          <cell r="W1111" t="str">
            <v>Ajuste</v>
          </cell>
          <cell r="X1111">
            <v>6</v>
          </cell>
          <cell r="Y1111">
            <v>18</v>
          </cell>
        </row>
        <row r="1112">
          <cell r="U1112" t="str">
            <v>L104661</v>
          </cell>
          <cell r="V1112" t="str">
            <v>HAV 3kg</v>
          </cell>
          <cell r="W1112" t="str">
            <v>Ajuste</v>
          </cell>
          <cell r="X1112">
            <v>10</v>
          </cell>
          <cell r="Y1112">
            <v>30</v>
          </cell>
        </row>
        <row r="1113">
          <cell r="U1113" t="str">
            <v>L104327</v>
          </cell>
          <cell r="V1113" t="str">
            <v>HAV 5kg-CAJA</v>
          </cell>
          <cell r="W1113" t="str">
            <v>Ajuste</v>
          </cell>
          <cell r="X1113">
            <v>568</v>
          </cell>
          <cell r="Y1113">
            <v>2840</v>
          </cell>
        </row>
        <row r="1114">
          <cell r="U1114" t="str">
            <v>L104327</v>
          </cell>
          <cell r="V1114" t="str">
            <v>PV HAV 5kg-CAJA</v>
          </cell>
          <cell r="W1114" t="str">
            <v>Ajuste</v>
          </cell>
          <cell r="X1114">
            <v>80</v>
          </cell>
          <cell r="Y1114">
            <v>400</v>
          </cell>
        </row>
        <row r="1115">
          <cell r="U1115" t="str">
            <v>L104205</v>
          </cell>
          <cell r="V1115" t="str">
            <v>HDG 1.2kg</v>
          </cell>
          <cell r="W1115" t="str">
            <v>Ajuste</v>
          </cell>
          <cell r="X1115">
            <v>12</v>
          </cell>
          <cell r="Y1115">
            <v>14.399999999999999</v>
          </cell>
        </row>
        <row r="1116">
          <cell r="U1116" t="str">
            <v>L104457</v>
          </cell>
          <cell r="V1116" t="str">
            <v>HDG 30UNI</v>
          </cell>
          <cell r="W1116" t="str">
            <v>Ajuste</v>
          </cell>
          <cell r="X1116">
            <v>3</v>
          </cell>
          <cell r="Y1116">
            <v>6</v>
          </cell>
        </row>
        <row r="1117">
          <cell r="U1117" t="str">
            <v>L104457</v>
          </cell>
          <cell r="V1117" t="str">
            <v>HDG 30UNI</v>
          </cell>
          <cell r="W1117" t="str">
            <v>Dañado</v>
          </cell>
          <cell r="X1117">
            <v>3</v>
          </cell>
          <cell r="Y1117">
            <v>6</v>
          </cell>
        </row>
        <row r="1118">
          <cell r="U1118" t="str">
            <v>L104456</v>
          </cell>
          <cell r="V1118" t="str">
            <v>HDG 4flt x 30uds</v>
          </cell>
          <cell r="W1118" t="str">
            <v>Ajuste</v>
          </cell>
          <cell r="X1118">
            <v>74</v>
          </cell>
          <cell r="Y1118">
            <v>740</v>
          </cell>
        </row>
        <row r="1119">
          <cell r="U1119" t="str">
            <v>L104200</v>
          </cell>
          <cell r="V1119" t="str">
            <v>HGC 30 DOC</v>
          </cell>
          <cell r="W1119" t="str">
            <v>Ajuste</v>
          </cell>
          <cell r="X1119">
            <v>106</v>
          </cell>
          <cell r="Y1119">
            <v>2544</v>
          </cell>
        </row>
        <row r="1120">
          <cell r="U1120" t="str">
            <v>L104201</v>
          </cell>
          <cell r="V1120" t="str">
            <v>HGC 30 DOC</v>
          </cell>
          <cell r="W1120" t="str">
            <v>Ajuste</v>
          </cell>
          <cell r="X1120">
            <v>68</v>
          </cell>
          <cell r="Y1120">
            <v>1632</v>
          </cell>
        </row>
        <row r="1121">
          <cell r="U1121" t="str">
            <v>L104350</v>
          </cell>
          <cell r="V1121" t="str">
            <v>HGC 30 DOC</v>
          </cell>
          <cell r="W1121" t="str">
            <v>Ajuste</v>
          </cell>
          <cell r="X1121">
            <v>212</v>
          </cell>
          <cell r="Y1121">
            <v>5088</v>
          </cell>
        </row>
        <row r="1122">
          <cell r="U1122" t="str">
            <v>L104351</v>
          </cell>
          <cell r="V1122" t="str">
            <v>HGC 30 DOC</v>
          </cell>
          <cell r="W1122" t="str">
            <v>Ajuste</v>
          </cell>
          <cell r="X1122">
            <v>90</v>
          </cell>
          <cell r="Y1122">
            <v>2160</v>
          </cell>
        </row>
        <row r="1123">
          <cell r="U1123" t="str">
            <v>L104658</v>
          </cell>
          <cell r="V1123" t="str">
            <v>HGC 30 DOC</v>
          </cell>
          <cell r="W1123" t="str">
            <v>Ajuste</v>
          </cell>
          <cell r="X1123">
            <v>46</v>
          </cell>
          <cell r="Y1123">
            <v>1104</v>
          </cell>
        </row>
        <row r="1124">
          <cell r="U1124" t="str">
            <v>L104204</v>
          </cell>
          <cell r="V1124" t="str">
            <v>HGC8PACK</v>
          </cell>
          <cell r="W1124" t="str">
            <v>Ajuste</v>
          </cell>
          <cell r="X1124">
            <v>6</v>
          </cell>
          <cell r="Y1124">
            <v>66.300000000000011</v>
          </cell>
        </row>
        <row r="1125">
          <cell r="U1125" t="str">
            <v>L103764</v>
          </cell>
          <cell r="V1125" t="str">
            <v>HIDP 7KG</v>
          </cell>
          <cell r="W1125" t="str">
            <v>Ajuste</v>
          </cell>
          <cell r="X1125">
            <v>60</v>
          </cell>
          <cell r="Y1125">
            <v>420</v>
          </cell>
        </row>
        <row r="1126">
          <cell r="U1126" t="str">
            <v>L103806</v>
          </cell>
          <cell r="V1126" t="str">
            <v>HIDP 7KG</v>
          </cell>
          <cell r="W1126" t="str">
            <v>Ajuste</v>
          </cell>
          <cell r="X1126">
            <v>60</v>
          </cell>
          <cell r="Y1126">
            <v>420</v>
          </cell>
        </row>
        <row r="1127">
          <cell r="U1127" t="str">
            <v>L104207</v>
          </cell>
          <cell r="V1127" t="str">
            <v>HIDP 7KG</v>
          </cell>
          <cell r="W1127" t="str">
            <v>Ajuste</v>
          </cell>
          <cell r="X1127">
            <v>60</v>
          </cell>
          <cell r="Y1127">
            <v>420</v>
          </cell>
        </row>
        <row r="1128">
          <cell r="U1128" t="str">
            <v>L104354</v>
          </cell>
          <cell r="V1128" t="str">
            <v>HIDP 7KG</v>
          </cell>
          <cell r="W1128" t="str">
            <v>Ajuste</v>
          </cell>
          <cell r="X1128">
            <v>60</v>
          </cell>
          <cell r="Y1128">
            <v>420</v>
          </cell>
        </row>
        <row r="1129">
          <cell r="U1129" t="str">
            <v>L104659</v>
          </cell>
          <cell r="V1129" t="str">
            <v>HIDP 7KG</v>
          </cell>
          <cell r="W1129" t="str">
            <v>Ajuste</v>
          </cell>
          <cell r="X1129">
            <v>60</v>
          </cell>
          <cell r="Y1129">
            <v>420</v>
          </cell>
        </row>
        <row r="1130">
          <cell r="U1130" t="str">
            <v>L104397</v>
          </cell>
          <cell r="V1130" t="str">
            <v>HNG 3kg-CAJA</v>
          </cell>
          <cell r="W1130" t="str">
            <v>Ajuste</v>
          </cell>
          <cell r="X1130">
            <v>2</v>
          </cell>
          <cell r="Y1130">
            <v>6</v>
          </cell>
        </row>
        <row r="1131">
          <cell r="U1131" t="str">
            <v>L103786</v>
          </cell>
          <cell r="V1131" t="str">
            <v>HNG 5kg-CAJA</v>
          </cell>
          <cell r="W1131" t="str">
            <v>Ajuste</v>
          </cell>
          <cell r="X1131">
            <v>14</v>
          </cell>
          <cell r="Y1131">
            <v>70</v>
          </cell>
        </row>
        <row r="1132">
          <cell r="U1132" t="str">
            <v>L104045</v>
          </cell>
          <cell r="V1132" t="str">
            <v>HNG 5kg-CAJA</v>
          </cell>
          <cell r="W1132" t="str">
            <v>Ajuste</v>
          </cell>
          <cell r="X1132">
            <v>2</v>
          </cell>
          <cell r="Y1132">
            <v>10</v>
          </cell>
        </row>
        <row r="1133">
          <cell r="U1133" t="str">
            <v>L104567</v>
          </cell>
          <cell r="V1133" t="str">
            <v>HNG 5kg-CAJA</v>
          </cell>
          <cell r="W1133" t="str">
            <v>Ajuste</v>
          </cell>
          <cell r="X1133">
            <v>6</v>
          </cell>
          <cell r="Y1133">
            <v>30</v>
          </cell>
        </row>
        <row r="1134">
          <cell r="U1134" t="str">
            <v>L104592</v>
          </cell>
          <cell r="V1134" t="str">
            <v>HNG 5kg-CAJA</v>
          </cell>
          <cell r="W1134" t="str">
            <v>Ajuste</v>
          </cell>
          <cell r="X1134">
            <v>1</v>
          </cell>
          <cell r="Y1134">
            <v>5</v>
          </cell>
        </row>
        <row r="1135">
          <cell r="U1135" t="str">
            <v>L104810</v>
          </cell>
          <cell r="V1135" t="str">
            <v>HNG 5kg-CAJA</v>
          </cell>
          <cell r="W1135" t="str">
            <v>Ajuste</v>
          </cell>
          <cell r="X1135">
            <v>6</v>
          </cell>
          <cell r="Y1135">
            <v>30</v>
          </cell>
        </row>
        <row r="1136">
          <cell r="U1136" t="str">
            <v>L104598</v>
          </cell>
          <cell r="V1136" t="str">
            <v>HRM 2Kg</v>
          </cell>
          <cell r="W1136" t="str">
            <v>Ajuste</v>
          </cell>
          <cell r="X1136">
            <v>2</v>
          </cell>
          <cell r="Y1136">
            <v>4</v>
          </cell>
        </row>
        <row r="1137">
          <cell r="U1137" t="str">
            <v>L104900</v>
          </cell>
          <cell r="V1137" t="str">
            <v>HRN 5kg</v>
          </cell>
          <cell r="W1137" t="str">
            <v>Ajuste</v>
          </cell>
          <cell r="X1137">
            <v>220</v>
          </cell>
          <cell r="Y1137">
            <v>1100</v>
          </cell>
        </row>
        <row r="1138">
          <cell r="U1138" t="str">
            <v>L104927</v>
          </cell>
          <cell r="V1138" t="str">
            <v>HRNO BSA</v>
          </cell>
          <cell r="W1138" t="str">
            <v>Ajuste</v>
          </cell>
          <cell r="X1138">
            <v>2</v>
          </cell>
          <cell r="Y1138">
            <v>191</v>
          </cell>
        </row>
        <row r="1139">
          <cell r="U1139" t="str">
            <v>L104927</v>
          </cell>
          <cell r="V1139" t="str">
            <v>HRNO IE</v>
          </cell>
          <cell r="W1139" t="str">
            <v>Ajuste</v>
          </cell>
          <cell r="X1139">
            <v>1</v>
          </cell>
          <cell r="Y1139">
            <v>0</v>
          </cell>
        </row>
        <row r="1140">
          <cell r="U1140" t="str">
            <v>L104597</v>
          </cell>
          <cell r="V1140" t="str">
            <v>HRPP 2kg</v>
          </cell>
          <cell r="W1140" t="str">
            <v>Ajuste</v>
          </cell>
          <cell r="X1140">
            <v>6</v>
          </cell>
          <cell r="Y1140">
            <v>12</v>
          </cell>
        </row>
        <row r="1141">
          <cell r="U1141" t="str">
            <v>L103936</v>
          </cell>
          <cell r="V1141" t="str">
            <v>JB 1kg</v>
          </cell>
          <cell r="W1141" t="str">
            <v>Ajuste</v>
          </cell>
          <cell r="X1141">
            <v>60</v>
          </cell>
          <cell r="Y1141">
            <v>60</v>
          </cell>
        </row>
        <row r="1142">
          <cell r="U1142" t="str">
            <v>L103937</v>
          </cell>
          <cell r="V1142" t="str">
            <v>JB 1kg</v>
          </cell>
          <cell r="W1142" t="str">
            <v>Ajuste</v>
          </cell>
          <cell r="X1142">
            <v>66</v>
          </cell>
          <cell r="Y1142">
            <v>66</v>
          </cell>
        </row>
        <row r="1143">
          <cell r="U1143" t="str">
            <v>L103938</v>
          </cell>
          <cell r="V1143" t="str">
            <v>JB 1kg</v>
          </cell>
          <cell r="W1143" t="str">
            <v>Ajuste</v>
          </cell>
          <cell r="X1143">
            <v>142</v>
          </cell>
          <cell r="Y1143">
            <v>142</v>
          </cell>
        </row>
        <row r="1144">
          <cell r="U1144" t="str">
            <v>L103939</v>
          </cell>
          <cell r="V1144" t="str">
            <v>JB 1kg</v>
          </cell>
          <cell r="W1144" t="str">
            <v>Ajuste</v>
          </cell>
          <cell r="X1144">
            <v>82</v>
          </cell>
          <cell r="Y1144">
            <v>82</v>
          </cell>
        </row>
        <row r="1145">
          <cell r="U1145" t="str">
            <v>L103940</v>
          </cell>
          <cell r="V1145" t="str">
            <v>JB 1kg</v>
          </cell>
          <cell r="W1145" t="str">
            <v>Ajuste</v>
          </cell>
          <cell r="X1145">
            <v>124</v>
          </cell>
          <cell r="Y1145">
            <v>124</v>
          </cell>
        </row>
        <row r="1146">
          <cell r="U1146" t="str">
            <v>L103941</v>
          </cell>
          <cell r="V1146" t="str">
            <v>JB 1kg</v>
          </cell>
          <cell r="W1146" t="str">
            <v>Ajuste</v>
          </cell>
          <cell r="X1146">
            <v>22</v>
          </cell>
          <cell r="Y1146">
            <v>22</v>
          </cell>
        </row>
        <row r="1147">
          <cell r="U1147" t="str">
            <v>L103942</v>
          </cell>
          <cell r="V1147" t="str">
            <v>JB 1kg</v>
          </cell>
          <cell r="W1147" t="str">
            <v>Ajuste</v>
          </cell>
          <cell r="X1147">
            <v>16</v>
          </cell>
          <cell r="Y1147">
            <v>16</v>
          </cell>
        </row>
        <row r="1148">
          <cell r="U1148" t="str">
            <v>L104256</v>
          </cell>
          <cell r="V1148" t="str">
            <v>JB 2kg-CAJA</v>
          </cell>
          <cell r="W1148" t="str">
            <v>Ajuste</v>
          </cell>
          <cell r="X1148">
            <v>4</v>
          </cell>
          <cell r="Y1148">
            <v>8</v>
          </cell>
        </row>
        <row r="1149">
          <cell r="U1149" t="str">
            <v>L104369</v>
          </cell>
          <cell r="V1149" t="str">
            <v>JB 2kg-CAJA</v>
          </cell>
          <cell r="W1149" t="str">
            <v>Ajuste</v>
          </cell>
          <cell r="X1149">
            <v>24</v>
          </cell>
          <cell r="Y1149">
            <v>48</v>
          </cell>
        </row>
        <row r="1150">
          <cell r="U1150" t="str">
            <v>L104607</v>
          </cell>
          <cell r="V1150" t="str">
            <v>JGNA</v>
          </cell>
          <cell r="W1150" t="str">
            <v>Ajuste</v>
          </cell>
          <cell r="X1150">
            <v>2</v>
          </cell>
          <cell r="Y1150">
            <v>2</v>
          </cell>
        </row>
        <row r="1151">
          <cell r="U1151" t="str">
            <v>L104434</v>
          </cell>
          <cell r="V1151" t="str">
            <v>JGO 2kg</v>
          </cell>
          <cell r="W1151" t="str">
            <v>Ajuste</v>
          </cell>
          <cell r="X1151">
            <v>14</v>
          </cell>
          <cell r="Y1151">
            <v>28</v>
          </cell>
        </row>
        <row r="1152">
          <cell r="U1152" t="str">
            <v>L104625</v>
          </cell>
          <cell r="V1152" t="str">
            <v>JGO 2kg</v>
          </cell>
          <cell r="W1152" t="str">
            <v>Ajuste</v>
          </cell>
          <cell r="X1152">
            <v>138</v>
          </cell>
          <cell r="Y1152">
            <v>276</v>
          </cell>
        </row>
        <row r="1153">
          <cell r="U1153" t="str">
            <v>L104739</v>
          </cell>
          <cell r="V1153" t="str">
            <v>JGO 2kg</v>
          </cell>
          <cell r="W1153" t="str">
            <v>Ajuste</v>
          </cell>
          <cell r="X1153">
            <v>2</v>
          </cell>
          <cell r="Y1153">
            <v>4</v>
          </cell>
        </row>
        <row r="1154">
          <cell r="U1154" t="str">
            <v>L104893</v>
          </cell>
          <cell r="V1154" t="str">
            <v>JGO 2kg</v>
          </cell>
          <cell r="W1154" t="str">
            <v>Ajuste</v>
          </cell>
          <cell r="X1154">
            <v>524</v>
          </cell>
          <cell r="Y1154">
            <v>1048</v>
          </cell>
        </row>
        <row r="1155">
          <cell r="U1155" t="str">
            <v>L104893</v>
          </cell>
          <cell r="V1155" t="str">
            <v>JGO 2kg</v>
          </cell>
          <cell r="W1155" t="str">
            <v>Uso del BAP</v>
          </cell>
          <cell r="X1155">
            <v>1</v>
          </cell>
          <cell r="Y1155">
            <v>2</v>
          </cell>
        </row>
        <row r="1156">
          <cell r="U1156" t="str">
            <v>L104435</v>
          </cell>
          <cell r="V1156" t="str">
            <v>JGO 5kg-CAJA</v>
          </cell>
          <cell r="W1156" t="str">
            <v>Ajuste</v>
          </cell>
          <cell r="X1156">
            <v>6</v>
          </cell>
          <cell r="Y1156">
            <v>30</v>
          </cell>
        </row>
        <row r="1157">
          <cell r="U1157" t="str">
            <v>L104680</v>
          </cell>
          <cell r="V1157" t="str">
            <v>JGOLT 3kg</v>
          </cell>
          <cell r="W1157" t="str">
            <v>Ajuste</v>
          </cell>
          <cell r="X1157">
            <v>6</v>
          </cell>
          <cell r="Y1157">
            <v>18</v>
          </cell>
        </row>
        <row r="1158">
          <cell r="U1158" t="str">
            <v>L103892</v>
          </cell>
          <cell r="V1158" t="str">
            <v>JLP 2kg Caja</v>
          </cell>
          <cell r="W1158" t="str">
            <v>Ajuste</v>
          </cell>
          <cell r="X1158">
            <v>38</v>
          </cell>
          <cell r="Y1158">
            <v>76</v>
          </cell>
        </row>
        <row r="1159">
          <cell r="U1159" t="str">
            <v>L103896</v>
          </cell>
          <cell r="V1159" t="str">
            <v>JLP 2kg Caja</v>
          </cell>
          <cell r="W1159" t="str">
            <v>Ajuste</v>
          </cell>
          <cell r="X1159">
            <v>68</v>
          </cell>
          <cell r="Y1159">
            <v>136</v>
          </cell>
        </row>
        <row r="1160">
          <cell r="U1160" t="str">
            <v>L103897</v>
          </cell>
          <cell r="V1160" t="str">
            <v>JLP 2kg Caja</v>
          </cell>
          <cell r="W1160" t="str">
            <v>Ajuste</v>
          </cell>
          <cell r="X1160">
            <v>46</v>
          </cell>
          <cell r="Y1160">
            <v>92</v>
          </cell>
        </row>
        <row r="1161">
          <cell r="U1161" t="str">
            <v>L103898</v>
          </cell>
          <cell r="V1161" t="str">
            <v>JLP 2kg Caja</v>
          </cell>
          <cell r="W1161" t="str">
            <v>Ajuste</v>
          </cell>
          <cell r="X1161">
            <v>42</v>
          </cell>
          <cell r="Y1161">
            <v>84</v>
          </cell>
        </row>
        <row r="1162">
          <cell r="U1162" t="str">
            <v>L103899</v>
          </cell>
          <cell r="V1162" t="str">
            <v>JLP 2kg Caja</v>
          </cell>
          <cell r="W1162" t="str">
            <v>Ajuste</v>
          </cell>
          <cell r="X1162">
            <v>24</v>
          </cell>
          <cell r="Y1162">
            <v>48</v>
          </cell>
        </row>
        <row r="1163">
          <cell r="U1163" t="str">
            <v>L104159</v>
          </cell>
          <cell r="V1163" t="str">
            <v>JLP 2kg Caja</v>
          </cell>
          <cell r="W1163" t="str">
            <v>Ajuste</v>
          </cell>
          <cell r="X1163">
            <v>8</v>
          </cell>
          <cell r="Y1163">
            <v>16</v>
          </cell>
        </row>
        <row r="1164">
          <cell r="U1164" t="str">
            <v>L104221</v>
          </cell>
          <cell r="V1164" t="str">
            <v>JLP 2kg Caja</v>
          </cell>
          <cell r="W1164" t="str">
            <v>Ajuste</v>
          </cell>
          <cell r="X1164">
            <v>34</v>
          </cell>
          <cell r="Y1164">
            <v>68</v>
          </cell>
        </row>
        <row r="1165">
          <cell r="U1165" t="str">
            <v>L104244</v>
          </cell>
          <cell r="V1165" t="str">
            <v>JLP 2kg Caja</v>
          </cell>
          <cell r="W1165" t="str">
            <v>Ajuste</v>
          </cell>
          <cell r="X1165">
            <v>74</v>
          </cell>
          <cell r="Y1165">
            <v>148</v>
          </cell>
        </row>
        <row r="1166">
          <cell r="U1166" t="str">
            <v>L104492</v>
          </cell>
          <cell r="V1166" t="str">
            <v>JLP 2kg Caja</v>
          </cell>
          <cell r="W1166" t="str">
            <v>Ajuste</v>
          </cell>
          <cell r="X1166">
            <v>90</v>
          </cell>
          <cell r="Y1166">
            <v>180</v>
          </cell>
        </row>
        <row r="1167">
          <cell r="U1167" t="str">
            <v>L104867</v>
          </cell>
          <cell r="V1167" t="str">
            <v>JLP 2kg Caja</v>
          </cell>
          <cell r="W1167" t="str">
            <v>Ajuste</v>
          </cell>
          <cell r="X1167">
            <v>104</v>
          </cell>
          <cell r="Y1167">
            <v>208</v>
          </cell>
        </row>
        <row r="1168">
          <cell r="U1168" t="str">
            <v>L103992</v>
          </cell>
          <cell r="V1168" t="str">
            <v>JLPL 2kg UNIDAD</v>
          </cell>
          <cell r="W1168" t="str">
            <v>Ajuste</v>
          </cell>
          <cell r="X1168">
            <v>146</v>
          </cell>
          <cell r="Y1168">
            <v>292</v>
          </cell>
        </row>
        <row r="1169">
          <cell r="U1169" t="str">
            <v>L104162</v>
          </cell>
          <cell r="V1169" t="str">
            <v>JLPL 2kg UNIDAD</v>
          </cell>
          <cell r="W1169" t="str">
            <v>Ajuste</v>
          </cell>
          <cell r="X1169">
            <v>2</v>
          </cell>
          <cell r="Y1169">
            <v>4</v>
          </cell>
        </row>
        <row r="1170">
          <cell r="U1170" t="str">
            <v>L104222</v>
          </cell>
          <cell r="V1170" t="str">
            <v>JLPL 2kg UNIDAD</v>
          </cell>
          <cell r="W1170" t="str">
            <v>Ajuste</v>
          </cell>
          <cell r="X1170">
            <v>12</v>
          </cell>
          <cell r="Y1170">
            <v>24</v>
          </cell>
        </row>
        <row r="1171">
          <cell r="U1171" t="str">
            <v>L104245</v>
          </cell>
          <cell r="V1171" t="str">
            <v>JLPL 2kg UNIDAD</v>
          </cell>
          <cell r="W1171" t="str">
            <v>Ajuste</v>
          </cell>
          <cell r="X1171">
            <v>100</v>
          </cell>
          <cell r="Y1171">
            <v>200</v>
          </cell>
        </row>
        <row r="1172">
          <cell r="U1172" t="str">
            <v>L104367</v>
          </cell>
          <cell r="V1172" t="str">
            <v>JLPL 2kg UNIDAD</v>
          </cell>
          <cell r="W1172" t="str">
            <v>Ajuste</v>
          </cell>
          <cell r="X1172">
            <v>4</v>
          </cell>
          <cell r="Y1172">
            <v>8</v>
          </cell>
        </row>
        <row r="1173">
          <cell r="U1173" t="str">
            <v>L104868</v>
          </cell>
          <cell r="V1173" t="str">
            <v>JLPL 2kg UNIDAD</v>
          </cell>
          <cell r="W1173" t="str">
            <v>Ajuste</v>
          </cell>
          <cell r="X1173">
            <v>12</v>
          </cell>
          <cell r="Y1173">
            <v>24</v>
          </cell>
        </row>
        <row r="1174">
          <cell r="U1174" t="str">
            <v>L103790</v>
          </cell>
          <cell r="V1174" t="str">
            <v>JML 1 kg-CAJA</v>
          </cell>
          <cell r="W1174" t="str">
            <v>Ajuste</v>
          </cell>
          <cell r="X1174">
            <v>8</v>
          </cell>
          <cell r="Y1174">
            <v>8</v>
          </cell>
        </row>
        <row r="1175">
          <cell r="U1175" t="str">
            <v>L104696</v>
          </cell>
          <cell r="V1175" t="str">
            <v>Jugo kg</v>
          </cell>
          <cell r="W1175" t="str">
            <v>Ajuste</v>
          </cell>
          <cell r="X1175">
            <v>60</v>
          </cell>
          <cell r="Y1175">
            <v>60</v>
          </cell>
        </row>
        <row r="1176">
          <cell r="U1176" t="str">
            <v>L104849</v>
          </cell>
          <cell r="V1176" t="str">
            <v>KTP 1kg</v>
          </cell>
          <cell r="W1176" t="str">
            <v>Ajuste</v>
          </cell>
          <cell r="X1176">
            <v>20</v>
          </cell>
          <cell r="Y1176">
            <v>20</v>
          </cell>
        </row>
        <row r="1177">
          <cell r="U1177" t="str">
            <v>L104059</v>
          </cell>
          <cell r="V1177" t="str">
            <v>KTP 2kg</v>
          </cell>
          <cell r="W1177" t="str">
            <v>Ajuste</v>
          </cell>
          <cell r="X1177">
            <v>38</v>
          </cell>
          <cell r="Y1177">
            <v>76</v>
          </cell>
        </row>
        <row r="1178">
          <cell r="U1178" t="str">
            <v>L104060</v>
          </cell>
          <cell r="V1178" t="str">
            <v>KTP 2kg</v>
          </cell>
          <cell r="W1178" t="str">
            <v>Ajuste</v>
          </cell>
          <cell r="X1178">
            <v>24</v>
          </cell>
          <cell r="Y1178">
            <v>48</v>
          </cell>
        </row>
        <row r="1179">
          <cell r="U1179" t="str">
            <v>L104061</v>
          </cell>
          <cell r="V1179" t="str">
            <v>KTP 2kg</v>
          </cell>
          <cell r="W1179" t="str">
            <v>Ajuste</v>
          </cell>
          <cell r="X1179">
            <v>8</v>
          </cell>
          <cell r="Y1179">
            <v>16</v>
          </cell>
        </row>
        <row r="1180">
          <cell r="U1180" t="str">
            <v>L104062</v>
          </cell>
          <cell r="V1180" t="str">
            <v>KTP 2kg</v>
          </cell>
          <cell r="W1180" t="str">
            <v>Ajuste</v>
          </cell>
          <cell r="X1180">
            <v>4</v>
          </cell>
          <cell r="Y1180">
            <v>8</v>
          </cell>
        </row>
        <row r="1181">
          <cell r="U1181" t="str">
            <v>L104850</v>
          </cell>
          <cell r="V1181" t="str">
            <v>KTP 2kg</v>
          </cell>
          <cell r="W1181" t="str">
            <v>Ajuste</v>
          </cell>
          <cell r="X1181">
            <v>4</v>
          </cell>
          <cell r="Y1181">
            <v>8</v>
          </cell>
        </row>
        <row r="1182">
          <cell r="U1182" t="str">
            <v>L104396</v>
          </cell>
          <cell r="V1182" t="str">
            <v>KTP 3kg</v>
          </cell>
          <cell r="W1182" t="str">
            <v>Ajuste</v>
          </cell>
          <cell r="X1182">
            <v>22</v>
          </cell>
          <cell r="Y1182">
            <v>66</v>
          </cell>
        </row>
        <row r="1183">
          <cell r="U1183" t="str">
            <v>L104665</v>
          </cell>
          <cell r="V1183" t="str">
            <v>KTP 3kg</v>
          </cell>
          <cell r="W1183" t="str">
            <v>Ajuste</v>
          </cell>
          <cell r="X1183">
            <v>2</v>
          </cell>
          <cell r="Y1183">
            <v>6</v>
          </cell>
        </row>
        <row r="1184">
          <cell r="U1184" t="str">
            <v>L104087</v>
          </cell>
          <cell r="V1184" t="str">
            <v>KTP 4kg</v>
          </cell>
          <cell r="W1184" t="str">
            <v>Ajuste</v>
          </cell>
          <cell r="X1184">
            <v>6</v>
          </cell>
          <cell r="Y1184">
            <v>24</v>
          </cell>
        </row>
        <row r="1185">
          <cell r="U1185" t="str">
            <v>L104043</v>
          </cell>
          <cell r="V1185" t="str">
            <v>LCC 5kg-(CAJA)</v>
          </cell>
          <cell r="W1185" t="str">
            <v>Ajuste</v>
          </cell>
          <cell r="X1185">
            <v>8</v>
          </cell>
          <cell r="Y1185">
            <v>40</v>
          </cell>
        </row>
        <row r="1186">
          <cell r="U1186" t="str">
            <v>L104570</v>
          </cell>
          <cell r="V1186" t="str">
            <v>LCC 5kg-(CAJA)</v>
          </cell>
          <cell r="W1186" t="str">
            <v>Ajuste</v>
          </cell>
          <cell r="X1186">
            <v>6</v>
          </cell>
          <cell r="Y1186">
            <v>30</v>
          </cell>
        </row>
        <row r="1187">
          <cell r="U1187" t="str">
            <v>L104581</v>
          </cell>
          <cell r="V1187" t="str">
            <v>LCC 5kg-(CAJA)</v>
          </cell>
          <cell r="W1187" t="str">
            <v>Ajuste</v>
          </cell>
          <cell r="X1187">
            <v>2</v>
          </cell>
          <cell r="Y1187">
            <v>10</v>
          </cell>
        </row>
        <row r="1188">
          <cell r="U1188" t="str">
            <v>L104637</v>
          </cell>
          <cell r="V1188" t="str">
            <v>LCC 5kg-(CAJA)</v>
          </cell>
          <cell r="W1188" t="str">
            <v>Ajuste</v>
          </cell>
          <cell r="X1188">
            <v>2</v>
          </cell>
          <cell r="Y1188">
            <v>10</v>
          </cell>
        </row>
        <row r="1189">
          <cell r="U1189" t="str">
            <v>L104815</v>
          </cell>
          <cell r="V1189" t="str">
            <v>LCC 5kg-(CAJA)</v>
          </cell>
          <cell r="W1189" t="str">
            <v>Ajuste</v>
          </cell>
          <cell r="X1189">
            <v>2</v>
          </cell>
          <cell r="Y1189">
            <v>10</v>
          </cell>
        </row>
        <row r="1190">
          <cell r="U1190" t="str">
            <v>L103850</v>
          </cell>
          <cell r="V1190" t="str">
            <v>LCD 24x410gr-CAJA</v>
          </cell>
          <cell r="W1190" t="str">
            <v>Ajuste</v>
          </cell>
          <cell r="X1190">
            <v>528</v>
          </cell>
          <cell r="Y1190">
            <v>5808</v>
          </cell>
        </row>
        <row r="1191">
          <cell r="U1191" t="str">
            <v>L103923</v>
          </cell>
          <cell r="V1191" t="str">
            <v>LCD 24x410gr-CAJA</v>
          </cell>
          <cell r="W1191" t="str">
            <v>Ajuste</v>
          </cell>
          <cell r="X1191">
            <v>196</v>
          </cell>
          <cell r="Y1191">
            <v>2156</v>
          </cell>
        </row>
        <row r="1192">
          <cell r="U1192" t="str">
            <v>L104016</v>
          </cell>
          <cell r="V1192" t="str">
            <v>LCD 24x410gr-CAJA</v>
          </cell>
          <cell r="W1192" t="str">
            <v>Ajuste</v>
          </cell>
          <cell r="X1192">
            <v>12</v>
          </cell>
          <cell r="Y1192">
            <v>132</v>
          </cell>
        </row>
        <row r="1193">
          <cell r="U1193" t="str">
            <v>L104018</v>
          </cell>
          <cell r="V1193" t="str">
            <v>LCD 5kg-CAJA</v>
          </cell>
          <cell r="W1193" t="str">
            <v>Ajuste</v>
          </cell>
          <cell r="X1193">
            <v>6</v>
          </cell>
          <cell r="Y1193">
            <v>30</v>
          </cell>
        </row>
        <row r="1194">
          <cell r="U1194" t="str">
            <v>L104559</v>
          </cell>
          <cell r="V1194" t="str">
            <v>LCH 2kg-caja</v>
          </cell>
          <cell r="W1194" t="str">
            <v>Ajuste</v>
          </cell>
          <cell r="X1194">
            <v>8</v>
          </cell>
          <cell r="Y1194">
            <v>16</v>
          </cell>
        </row>
        <row r="1195">
          <cell r="U1195" t="str">
            <v>L104562</v>
          </cell>
          <cell r="V1195" t="str">
            <v>LCH 2kg-caja</v>
          </cell>
          <cell r="W1195" t="str">
            <v>Ajuste</v>
          </cell>
          <cell r="X1195">
            <v>4</v>
          </cell>
          <cell r="Y1195">
            <v>8</v>
          </cell>
        </row>
        <row r="1196">
          <cell r="U1196" t="str">
            <v>L104560</v>
          </cell>
          <cell r="V1196" t="str">
            <v>LCH 3kg</v>
          </cell>
          <cell r="W1196" t="str">
            <v>Ajuste</v>
          </cell>
          <cell r="X1196">
            <v>2</v>
          </cell>
          <cell r="Y1196">
            <v>6</v>
          </cell>
        </row>
        <row r="1197">
          <cell r="U1197" t="str">
            <v>L104561</v>
          </cell>
          <cell r="V1197" t="str">
            <v>LCH 3kg</v>
          </cell>
          <cell r="W1197" t="str">
            <v>Ajuste</v>
          </cell>
          <cell r="X1197">
            <v>2</v>
          </cell>
          <cell r="Y1197">
            <v>6</v>
          </cell>
        </row>
        <row r="1198">
          <cell r="U1198" t="str">
            <v>L103994</v>
          </cell>
          <cell r="V1198" t="str">
            <v>LCH 48X167g-CAJA</v>
          </cell>
          <cell r="W1198" t="str">
            <v>Ajuste</v>
          </cell>
          <cell r="X1198">
            <v>188</v>
          </cell>
          <cell r="Y1198">
            <v>1786</v>
          </cell>
        </row>
        <row r="1199">
          <cell r="U1199" t="str">
            <v>L103995</v>
          </cell>
          <cell r="V1199" t="str">
            <v>LCH 48X315g-CAJA</v>
          </cell>
          <cell r="W1199" t="str">
            <v>Ajuste</v>
          </cell>
          <cell r="X1199">
            <v>2</v>
          </cell>
          <cell r="Y1199">
            <v>36</v>
          </cell>
        </row>
        <row r="1200">
          <cell r="U1200" t="str">
            <v>L104711</v>
          </cell>
          <cell r="V1200" t="str">
            <v>LCH 48X315g-CAJA</v>
          </cell>
          <cell r="W1200" t="str">
            <v>Ajuste</v>
          </cell>
          <cell r="X1200">
            <v>1408</v>
          </cell>
          <cell r="Y1200">
            <v>25344</v>
          </cell>
        </row>
        <row r="1201">
          <cell r="U1201" t="str">
            <v>L104711</v>
          </cell>
          <cell r="V1201" t="str">
            <v>PV LCH 48X315g</v>
          </cell>
          <cell r="W1201" t="str">
            <v>Ajuste</v>
          </cell>
          <cell r="X1201">
            <v>338</v>
          </cell>
          <cell r="Y1201">
            <v>6084</v>
          </cell>
        </row>
        <row r="1202">
          <cell r="U1202" t="str">
            <v>L104563</v>
          </cell>
          <cell r="V1202" t="str">
            <v>LCH 4kg</v>
          </cell>
          <cell r="W1202" t="str">
            <v>Ajuste</v>
          </cell>
          <cell r="X1202">
            <v>240</v>
          </cell>
          <cell r="Y1202">
            <v>960</v>
          </cell>
        </row>
        <row r="1203">
          <cell r="U1203" t="str">
            <v>L104564</v>
          </cell>
          <cell r="V1203" t="str">
            <v>LCH 4kg</v>
          </cell>
          <cell r="W1203" t="str">
            <v>Ajuste</v>
          </cell>
          <cell r="X1203">
            <v>90</v>
          </cell>
          <cell r="Y1203">
            <v>360</v>
          </cell>
        </row>
        <row r="1204">
          <cell r="U1204" t="str">
            <v>L104860</v>
          </cell>
          <cell r="V1204" t="str">
            <v>LCH 4kg</v>
          </cell>
          <cell r="W1204" t="str">
            <v>Ajuste</v>
          </cell>
          <cell r="X1204">
            <v>4</v>
          </cell>
          <cell r="Y1204">
            <v>16</v>
          </cell>
        </row>
        <row r="1205">
          <cell r="U1205" t="str">
            <v>L104860</v>
          </cell>
          <cell r="V1205" t="str">
            <v>PV ARZ 5Kg</v>
          </cell>
          <cell r="W1205" t="str">
            <v>Ajuste</v>
          </cell>
          <cell r="X1205">
            <v>48</v>
          </cell>
          <cell r="Y1205">
            <v>240</v>
          </cell>
        </row>
        <row r="1206">
          <cell r="U1206" t="str">
            <v>L104861</v>
          </cell>
          <cell r="V1206" t="str">
            <v>LCH 4kg</v>
          </cell>
          <cell r="W1206" t="str">
            <v>Ajuste</v>
          </cell>
          <cell r="X1206">
            <v>28</v>
          </cell>
          <cell r="Y1206">
            <v>112</v>
          </cell>
        </row>
        <row r="1207">
          <cell r="U1207" t="str">
            <v>L104862</v>
          </cell>
          <cell r="V1207" t="str">
            <v>LCH 4kg</v>
          </cell>
          <cell r="W1207" t="str">
            <v>Ajuste</v>
          </cell>
          <cell r="X1207">
            <v>18</v>
          </cell>
          <cell r="Y1207">
            <v>72</v>
          </cell>
        </row>
        <row r="1208">
          <cell r="U1208" t="str">
            <v>L104863</v>
          </cell>
          <cell r="V1208" t="str">
            <v>LCH 4kg</v>
          </cell>
          <cell r="W1208" t="str">
            <v>Ajuste</v>
          </cell>
          <cell r="X1208">
            <v>16</v>
          </cell>
          <cell r="Y1208">
            <v>64</v>
          </cell>
        </row>
        <row r="1209">
          <cell r="U1209" t="str">
            <v>L104864</v>
          </cell>
          <cell r="V1209" t="str">
            <v>LCH 4kg</v>
          </cell>
          <cell r="W1209" t="str">
            <v>Ajuste</v>
          </cell>
          <cell r="X1209">
            <v>16</v>
          </cell>
          <cell r="Y1209">
            <v>64</v>
          </cell>
        </row>
        <row r="1210">
          <cell r="U1210" t="str">
            <v>L104865</v>
          </cell>
          <cell r="V1210" t="str">
            <v>LCH 4kg</v>
          </cell>
          <cell r="W1210" t="str">
            <v>Ajuste</v>
          </cell>
          <cell r="X1210">
            <v>6</v>
          </cell>
          <cell r="Y1210">
            <v>24</v>
          </cell>
        </row>
        <row r="1211">
          <cell r="U1211" t="str">
            <v>L104866</v>
          </cell>
          <cell r="V1211" t="str">
            <v>LCH 4kg</v>
          </cell>
          <cell r="W1211" t="str">
            <v>Ajuste</v>
          </cell>
          <cell r="X1211">
            <v>8</v>
          </cell>
          <cell r="Y1211">
            <v>32</v>
          </cell>
        </row>
        <row r="1212">
          <cell r="U1212" t="str">
            <v>L104757</v>
          </cell>
          <cell r="V1212" t="str">
            <v>LCH 96X167g-CAJA</v>
          </cell>
          <cell r="W1212" t="str">
            <v>Ajuste</v>
          </cell>
          <cell r="X1212">
            <v>100</v>
          </cell>
          <cell r="Y1212">
            <v>1900</v>
          </cell>
        </row>
        <row r="1213">
          <cell r="U1213" t="str">
            <v>L104757</v>
          </cell>
          <cell r="V1213" t="str">
            <v>PV LCH 96X167g</v>
          </cell>
          <cell r="W1213" t="str">
            <v>Ajuste</v>
          </cell>
          <cell r="X1213">
            <v>38</v>
          </cell>
          <cell r="Y1213">
            <v>722</v>
          </cell>
        </row>
        <row r="1214">
          <cell r="U1214" t="str">
            <v>L104758</v>
          </cell>
          <cell r="V1214" t="str">
            <v>LCH 96X167g-CAJA</v>
          </cell>
          <cell r="W1214" t="str">
            <v>Ajuste</v>
          </cell>
          <cell r="X1214">
            <v>80</v>
          </cell>
          <cell r="Y1214">
            <v>1520</v>
          </cell>
        </row>
        <row r="1215">
          <cell r="U1215" t="str">
            <v>L104842</v>
          </cell>
          <cell r="V1215" t="str">
            <v>LCH EV 2kg</v>
          </cell>
          <cell r="W1215" t="str">
            <v>Ajuste</v>
          </cell>
          <cell r="X1215">
            <v>50</v>
          </cell>
          <cell r="Y1215">
            <v>100</v>
          </cell>
        </row>
        <row r="1216">
          <cell r="U1216" t="str">
            <v>L103895</v>
          </cell>
          <cell r="V1216" t="str">
            <v>LCH EV 3kg</v>
          </cell>
          <cell r="W1216" t="str">
            <v>Ajuste</v>
          </cell>
          <cell r="X1216">
            <v>88</v>
          </cell>
          <cell r="Y1216">
            <v>264</v>
          </cell>
        </row>
        <row r="1217">
          <cell r="U1217" t="str">
            <v>L104843</v>
          </cell>
          <cell r="V1217" t="str">
            <v>LCH EV 3kg</v>
          </cell>
          <cell r="W1217" t="str">
            <v>Ajuste</v>
          </cell>
          <cell r="X1217">
            <v>94</v>
          </cell>
          <cell r="Y1217">
            <v>282</v>
          </cell>
        </row>
        <row r="1218">
          <cell r="U1218" t="str">
            <v>L104021</v>
          </cell>
          <cell r="V1218" t="str">
            <v>LCH EV5kg-CAJA</v>
          </cell>
          <cell r="W1218" t="str">
            <v>Ajuste</v>
          </cell>
          <cell r="X1218">
            <v>6</v>
          </cell>
          <cell r="Y1218">
            <v>30</v>
          </cell>
        </row>
        <row r="1219">
          <cell r="U1219" t="str">
            <v>L104041</v>
          </cell>
          <cell r="V1219" t="str">
            <v>LCH EV5kg-CAJA</v>
          </cell>
          <cell r="W1219" t="str">
            <v>Ajuste</v>
          </cell>
          <cell r="X1219">
            <v>2</v>
          </cell>
          <cell r="Y1219">
            <v>10</v>
          </cell>
        </row>
        <row r="1220">
          <cell r="U1220" t="str">
            <v>L103887</v>
          </cell>
          <cell r="V1220" t="str">
            <v>LCS 24x237ml-CAJA</v>
          </cell>
          <cell r="W1220" t="str">
            <v>Ajuste</v>
          </cell>
          <cell r="X1220">
            <v>32</v>
          </cell>
          <cell r="Y1220">
            <v>192</v>
          </cell>
        </row>
        <row r="1221">
          <cell r="U1221" t="str">
            <v>L103888</v>
          </cell>
          <cell r="V1221" t="str">
            <v>LCS 24x237ml-CAJA</v>
          </cell>
          <cell r="W1221" t="str">
            <v>Ajuste</v>
          </cell>
          <cell r="X1221">
            <v>30</v>
          </cell>
          <cell r="Y1221">
            <v>180</v>
          </cell>
        </row>
        <row r="1222">
          <cell r="U1222" t="str">
            <v>L103889</v>
          </cell>
          <cell r="V1222" t="str">
            <v>LCS 24x237ml-CAJA</v>
          </cell>
          <cell r="W1222" t="str">
            <v>Ajuste</v>
          </cell>
          <cell r="X1222">
            <v>32</v>
          </cell>
          <cell r="Y1222">
            <v>192</v>
          </cell>
        </row>
        <row r="1223">
          <cell r="U1223" t="str">
            <v>L103890</v>
          </cell>
          <cell r="V1223" t="str">
            <v>LCS 24x237ml-CAJA</v>
          </cell>
          <cell r="W1223" t="str">
            <v>Ajuste</v>
          </cell>
          <cell r="X1223">
            <v>32</v>
          </cell>
          <cell r="Y1223">
            <v>192</v>
          </cell>
        </row>
        <row r="1224">
          <cell r="U1224" t="str">
            <v>L103782</v>
          </cell>
          <cell r="V1224" t="str">
            <v>LEP 2kg</v>
          </cell>
          <cell r="W1224" t="str">
            <v>Ajuste</v>
          </cell>
          <cell r="X1224">
            <v>4</v>
          </cell>
          <cell r="Y1224">
            <v>8</v>
          </cell>
        </row>
        <row r="1225">
          <cell r="U1225" t="str">
            <v>L104569</v>
          </cell>
          <cell r="V1225" t="str">
            <v>LEP 2kg</v>
          </cell>
          <cell r="W1225" t="str">
            <v>Ajuste</v>
          </cell>
          <cell r="X1225">
            <v>4</v>
          </cell>
          <cell r="Y1225">
            <v>8</v>
          </cell>
        </row>
        <row r="1226">
          <cell r="U1226" t="str">
            <v>L104339</v>
          </cell>
          <cell r="V1226" t="str">
            <v>LJACD 13kg</v>
          </cell>
          <cell r="W1226" t="str">
            <v>Ajuste</v>
          </cell>
          <cell r="X1226">
            <v>2</v>
          </cell>
          <cell r="Y1226">
            <v>26</v>
          </cell>
        </row>
        <row r="1227">
          <cell r="U1227" t="str">
            <v>L104745</v>
          </cell>
          <cell r="V1227" t="str">
            <v>LLQD 2kg</v>
          </cell>
          <cell r="W1227" t="str">
            <v>Ajuste</v>
          </cell>
          <cell r="X1227">
            <v>4</v>
          </cell>
          <cell r="Y1227">
            <v>8</v>
          </cell>
        </row>
        <row r="1228">
          <cell r="U1228" t="str">
            <v>L104436</v>
          </cell>
          <cell r="V1228" t="str">
            <v>LPN 2kg</v>
          </cell>
          <cell r="W1228" t="str">
            <v>Ajuste</v>
          </cell>
          <cell r="X1228">
            <v>4</v>
          </cell>
          <cell r="Y1228">
            <v>8</v>
          </cell>
        </row>
        <row r="1229">
          <cell r="U1229" t="str">
            <v>L104426</v>
          </cell>
          <cell r="V1229" t="str">
            <v>LPN 2kg-CAJA</v>
          </cell>
          <cell r="W1229" t="str">
            <v>Ajuste</v>
          </cell>
          <cell r="X1229">
            <v>8</v>
          </cell>
          <cell r="Y1229">
            <v>16</v>
          </cell>
        </row>
        <row r="1230">
          <cell r="U1230" t="str">
            <v>L104371</v>
          </cell>
          <cell r="V1230" t="str">
            <v>MAG 3Kg - CAJA</v>
          </cell>
          <cell r="W1230" t="str">
            <v>Ajuste</v>
          </cell>
          <cell r="X1230">
            <v>4</v>
          </cell>
          <cell r="Y1230">
            <v>12</v>
          </cell>
        </row>
        <row r="1231">
          <cell r="U1231" t="str">
            <v>L104370</v>
          </cell>
          <cell r="V1231" t="str">
            <v>MAG 8KG-CAJA</v>
          </cell>
          <cell r="W1231" t="str">
            <v>Ajuste</v>
          </cell>
          <cell r="X1231">
            <v>236</v>
          </cell>
          <cell r="Y1231">
            <v>1888</v>
          </cell>
        </row>
        <row r="1232">
          <cell r="U1232" t="str">
            <v>L104882</v>
          </cell>
          <cell r="V1232" t="str">
            <v>Maiz kg</v>
          </cell>
          <cell r="W1232" t="str">
            <v>Ajuste</v>
          </cell>
          <cell r="X1232">
            <v>93.42</v>
          </cell>
          <cell r="Y1232">
            <v>93.42</v>
          </cell>
        </row>
        <row r="1233">
          <cell r="U1233" t="str">
            <v>L103946</v>
          </cell>
          <cell r="V1233" t="str">
            <v>MCR 10kg-CAJA</v>
          </cell>
          <cell r="W1233" t="str">
            <v>Ajuste</v>
          </cell>
          <cell r="X1233">
            <v>793</v>
          </cell>
          <cell r="Y1233">
            <v>7930</v>
          </cell>
        </row>
        <row r="1234">
          <cell r="U1234" t="str">
            <v>L104085</v>
          </cell>
          <cell r="V1234" t="str">
            <v>MCR 2kg-CAJA</v>
          </cell>
          <cell r="W1234" t="str">
            <v>Ajuste</v>
          </cell>
          <cell r="X1234">
            <v>284</v>
          </cell>
          <cell r="Y1234">
            <v>568</v>
          </cell>
        </row>
        <row r="1235">
          <cell r="U1235" t="str">
            <v>L104595</v>
          </cell>
          <cell r="V1235" t="str">
            <v>MCR 2kg-CAJA</v>
          </cell>
          <cell r="W1235" t="str">
            <v>Ajuste</v>
          </cell>
          <cell r="X1235">
            <v>2</v>
          </cell>
          <cell r="Y1235">
            <v>4</v>
          </cell>
        </row>
        <row r="1236">
          <cell r="U1236" t="str">
            <v>L104767</v>
          </cell>
          <cell r="V1236" t="str">
            <v>MCR 2kg-CAJA</v>
          </cell>
          <cell r="W1236" t="str">
            <v>Ajuste</v>
          </cell>
          <cell r="X1236">
            <v>4</v>
          </cell>
          <cell r="Y1236">
            <v>8</v>
          </cell>
        </row>
        <row r="1237">
          <cell r="U1237" t="str">
            <v>L103988</v>
          </cell>
          <cell r="V1237" t="str">
            <v>MCR 5kg-CAJA</v>
          </cell>
          <cell r="W1237" t="str">
            <v>Ajuste</v>
          </cell>
          <cell r="X1237">
            <v>2</v>
          </cell>
          <cell r="Y1237">
            <v>10</v>
          </cell>
        </row>
        <row r="1238">
          <cell r="U1238" t="str">
            <v>L103945</v>
          </cell>
          <cell r="V1238" t="str">
            <v>MDPAY 5kg</v>
          </cell>
          <cell r="W1238" t="str">
            <v>Ajuste</v>
          </cell>
          <cell r="X1238">
            <v>400</v>
          </cell>
          <cell r="Y1238">
            <v>2000</v>
          </cell>
        </row>
        <row r="1239">
          <cell r="U1239" t="str">
            <v>L103990</v>
          </cell>
          <cell r="V1239" t="str">
            <v>Menestra kg</v>
          </cell>
          <cell r="W1239" t="str">
            <v>Ajuste</v>
          </cell>
          <cell r="X1239">
            <v>2000</v>
          </cell>
          <cell r="Y1239">
            <v>2000</v>
          </cell>
        </row>
        <row r="1240">
          <cell r="U1240" t="str">
            <v>L104698</v>
          </cell>
          <cell r="V1240" t="str">
            <v>Menestra kg</v>
          </cell>
          <cell r="W1240" t="str">
            <v>Ajuste</v>
          </cell>
          <cell r="X1240">
            <v>2000</v>
          </cell>
          <cell r="Y1240">
            <v>2000</v>
          </cell>
        </row>
        <row r="1241">
          <cell r="U1241" t="str">
            <v>L90421</v>
          </cell>
          <cell r="V1241" t="str">
            <v>Menestra kg</v>
          </cell>
          <cell r="W1241" t="str">
            <v>Ajuste</v>
          </cell>
          <cell r="X1241">
            <v>15.75</v>
          </cell>
          <cell r="Y1241">
            <v>15.75</v>
          </cell>
        </row>
        <row r="1242">
          <cell r="U1242" t="str">
            <v>L90369</v>
          </cell>
          <cell r="V1242" t="str">
            <v>Menestra kg</v>
          </cell>
          <cell r="W1242" t="str">
            <v>Ajuste</v>
          </cell>
          <cell r="X1242">
            <v>46.550000000000004</v>
          </cell>
          <cell r="Y1242">
            <v>46.550000000000004</v>
          </cell>
        </row>
        <row r="1243">
          <cell r="U1243" t="str">
            <v>L90397</v>
          </cell>
          <cell r="V1243" t="str">
            <v>Menestra kg</v>
          </cell>
          <cell r="W1243" t="str">
            <v>Ajuste</v>
          </cell>
          <cell r="X1243">
            <v>3.85</v>
          </cell>
          <cell r="Y1243">
            <v>3.85</v>
          </cell>
        </row>
        <row r="1244">
          <cell r="U1244" t="str">
            <v>L89775</v>
          </cell>
          <cell r="V1244" t="str">
            <v>Menestra kg</v>
          </cell>
          <cell r="W1244" t="str">
            <v>Ajuste</v>
          </cell>
          <cell r="X1244">
            <v>3.5</v>
          </cell>
          <cell r="Y1244">
            <v>3.5</v>
          </cell>
        </row>
        <row r="1245">
          <cell r="U1245" t="str">
            <v>L103798</v>
          </cell>
          <cell r="V1245" t="str">
            <v>MERMA DE FRUVER 1 kg</v>
          </cell>
          <cell r="W1245" t="str">
            <v>Ajuste</v>
          </cell>
          <cell r="X1245">
            <v>5.0199999999999996</v>
          </cell>
          <cell r="Y1245">
            <v>5.0199999999999996</v>
          </cell>
        </row>
        <row r="1246">
          <cell r="U1246" t="str">
            <v>L103800</v>
          </cell>
          <cell r="V1246" t="str">
            <v>MERMA DE FRUVER 1 kg</v>
          </cell>
          <cell r="W1246" t="str">
            <v>Ajuste</v>
          </cell>
          <cell r="X1246">
            <v>38.44</v>
          </cell>
          <cell r="Y1246">
            <v>38.44</v>
          </cell>
        </row>
        <row r="1247">
          <cell r="U1247" t="str">
            <v>L103814</v>
          </cell>
          <cell r="V1247" t="str">
            <v>MERMA DE FRUVER 1 kg</v>
          </cell>
          <cell r="W1247" t="str">
            <v>Ajuste</v>
          </cell>
          <cell r="X1247">
            <v>47.34</v>
          </cell>
          <cell r="Y1247">
            <v>47.34</v>
          </cell>
        </row>
        <row r="1248">
          <cell r="U1248" t="str">
            <v>L103818</v>
          </cell>
          <cell r="V1248" t="str">
            <v>MERMA DE FRUVER 1 kg</v>
          </cell>
          <cell r="W1248" t="str">
            <v>Ajuste</v>
          </cell>
          <cell r="X1248">
            <v>80</v>
          </cell>
          <cell r="Y1248">
            <v>80</v>
          </cell>
        </row>
        <row r="1249">
          <cell r="U1249" t="str">
            <v>L103860</v>
          </cell>
          <cell r="V1249" t="str">
            <v>MERMA DE FRUVER 1 kg</v>
          </cell>
          <cell r="W1249" t="str">
            <v>Ajuste</v>
          </cell>
          <cell r="X1249">
            <v>50.36</v>
          </cell>
          <cell r="Y1249">
            <v>50.36</v>
          </cell>
        </row>
        <row r="1250">
          <cell r="U1250" t="str">
            <v>L103862</v>
          </cell>
          <cell r="V1250" t="str">
            <v>MERMA DE FRUVER 1 kg</v>
          </cell>
          <cell r="W1250" t="str">
            <v>Ajuste</v>
          </cell>
          <cell r="X1250">
            <v>33.380000000000003</v>
          </cell>
          <cell r="Y1250">
            <v>33.380000000000003</v>
          </cell>
        </row>
        <row r="1251">
          <cell r="U1251" t="str">
            <v>L103871</v>
          </cell>
          <cell r="V1251" t="str">
            <v>MERMA DE FRUVER 1 kg</v>
          </cell>
          <cell r="W1251" t="str">
            <v>Ajuste</v>
          </cell>
          <cell r="X1251">
            <v>40</v>
          </cell>
          <cell r="Y1251">
            <v>40</v>
          </cell>
        </row>
        <row r="1252">
          <cell r="U1252" t="str">
            <v>L103910</v>
          </cell>
          <cell r="V1252" t="str">
            <v>MERMA DE FRUVER 1 kg</v>
          </cell>
          <cell r="W1252" t="str">
            <v>Ajuste</v>
          </cell>
          <cell r="X1252">
            <v>90.4</v>
          </cell>
          <cell r="Y1252">
            <v>90.4</v>
          </cell>
        </row>
        <row r="1253">
          <cell r="U1253" t="str">
            <v>L103921</v>
          </cell>
          <cell r="V1253" t="str">
            <v>MERMA DE FRUVER 1 kg</v>
          </cell>
          <cell r="W1253" t="str">
            <v>Ajuste</v>
          </cell>
          <cell r="X1253">
            <v>60</v>
          </cell>
          <cell r="Y1253">
            <v>60</v>
          </cell>
        </row>
        <row r="1254">
          <cell r="U1254" t="str">
            <v>L104005</v>
          </cell>
          <cell r="V1254" t="str">
            <v>MERMA DE FRUVER 1 kg</v>
          </cell>
          <cell r="W1254" t="str">
            <v>Ajuste</v>
          </cell>
          <cell r="X1254">
            <v>41</v>
          </cell>
          <cell r="Y1254">
            <v>41</v>
          </cell>
        </row>
        <row r="1255">
          <cell r="U1255" t="str">
            <v>L104023</v>
          </cell>
          <cell r="V1255" t="str">
            <v>MERMA DE FRUVER 1 kg</v>
          </cell>
          <cell r="W1255" t="str">
            <v>Ajuste</v>
          </cell>
          <cell r="X1255">
            <v>13.36</v>
          </cell>
          <cell r="Y1255">
            <v>13.36</v>
          </cell>
        </row>
        <row r="1256">
          <cell r="U1256" t="str">
            <v>L104029</v>
          </cell>
          <cell r="V1256" t="str">
            <v>MERMA DE FRUVER 1 kg</v>
          </cell>
          <cell r="W1256" t="str">
            <v>Ajuste</v>
          </cell>
          <cell r="X1256">
            <v>8.42</v>
          </cell>
          <cell r="Y1256">
            <v>8.42</v>
          </cell>
        </row>
        <row r="1257">
          <cell r="U1257" t="str">
            <v>L104031</v>
          </cell>
          <cell r="V1257" t="str">
            <v>MERMA DE FRUVER 1 kg</v>
          </cell>
          <cell r="W1257" t="str">
            <v>Ajuste</v>
          </cell>
          <cell r="X1257">
            <v>840.00000000000011</v>
          </cell>
          <cell r="Y1257">
            <v>840.00000000000011</v>
          </cell>
        </row>
        <row r="1258">
          <cell r="U1258" t="str">
            <v>L104090</v>
          </cell>
          <cell r="V1258" t="str">
            <v>MERMA DE FRUVER 1 kg</v>
          </cell>
          <cell r="W1258" t="str">
            <v>Ajuste</v>
          </cell>
          <cell r="X1258">
            <v>90.08</v>
          </cell>
          <cell r="Y1258">
            <v>90.08</v>
          </cell>
        </row>
        <row r="1259">
          <cell r="U1259" t="str">
            <v>L104106</v>
          </cell>
          <cell r="V1259" t="str">
            <v>MERMA DE FRUVER 1 kg</v>
          </cell>
          <cell r="W1259" t="str">
            <v>Ajuste</v>
          </cell>
          <cell r="X1259">
            <v>82.8</v>
          </cell>
          <cell r="Y1259">
            <v>82.8</v>
          </cell>
        </row>
        <row r="1260">
          <cell r="U1260" t="str">
            <v>L104112</v>
          </cell>
          <cell r="V1260" t="str">
            <v>MERMA DE FRUVER 1 kg</v>
          </cell>
          <cell r="W1260" t="str">
            <v>Ajuste</v>
          </cell>
          <cell r="X1260">
            <v>7.88</v>
          </cell>
          <cell r="Y1260">
            <v>7.88</v>
          </cell>
        </row>
        <row r="1261">
          <cell r="U1261" t="str">
            <v>L104119</v>
          </cell>
          <cell r="V1261" t="str">
            <v>MERMA DE FRUVER 1 kg</v>
          </cell>
          <cell r="W1261" t="str">
            <v>Ajuste</v>
          </cell>
          <cell r="X1261">
            <v>10.82</v>
          </cell>
          <cell r="Y1261">
            <v>10.82</v>
          </cell>
        </row>
        <row r="1262">
          <cell r="U1262" t="str">
            <v>L104121</v>
          </cell>
          <cell r="V1262" t="str">
            <v>MERMA DE FRUVER 1 kg</v>
          </cell>
          <cell r="W1262" t="str">
            <v>Ajuste</v>
          </cell>
          <cell r="X1262">
            <v>220</v>
          </cell>
          <cell r="Y1262">
            <v>220</v>
          </cell>
        </row>
        <row r="1263">
          <cell r="U1263" t="str">
            <v>L104181</v>
          </cell>
          <cell r="V1263" t="str">
            <v>MERMA DE FRUVER 1 kg</v>
          </cell>
          <cell r="W1263" t="str">
            <v>Ajuste</v>
          </cell>
          <cell r="X1263">
            <v>10.96</v>
          </cell>
          <cell r="Y1263">
            <v>10.96</v>
          </cell>
        </row>
        <row r="1264">
          <cell r="U1264" t="str">
            <v>L104183</v>
          </cell>
          <cell r="V1264" t="str">
            <v>MERMA DE FRUVER 1 kg</v>
          </cell>
          <cell r="W1264" t="str">
            <v>Ajuste</v>
          </cell>
          <cell r="X1264">
            <v>72.180000000000007</v>
          </cell>
          <cell r="Y1264">
            <v>72.180000000000007</v>
          </cell>
        </row>
        <row r="1265">
          <cell r="U1265" t="str">
            <v>L104188</v>
          </cell>
          <cell r="V1265" t="str">
            <v>MERMA DE FRUVER 1 kg</v>
          </cell>
          <cell r="W1265" t="str">
            <v>Ajuste</v>
          </cell>
          <cell r="X1265">
            <v>80.239999999999995</v>
          </cell>
          <cell r="Y1265">
            <v>80.239999999999995</v>
          </cell>
        </row>
        <row r="1266">
          <cell r="U1266" t="str">
            <v>L104233</v>
          </cell>
          <cell r="V1266" t="str">
            <v>MERMA DE FRUVER 1 kg</v>
          </cell>
          <cell r="W1266" t="str">
            <v>Ajuste</v>
          </cell>
          <cell r="X1266">
            <v>10.92</v>
          </cell>
          <cell r="Y1266">
            <v>10.92</v>
          </cell>
        </row>
        <row r="1267">
          <cell r="U1267" t="str">
            <v>L104235</v>
          </cell>
          <cell r="V1267" t="str">
            <v>MERMA DE FRUVER 1 kg</v>
          </cell>
          <cell r="W1267" t="str">
            <v>Ajuste</v>
          </cell>
          <cell r="X1267">
            <v>76.52</v>
          </cell>
          <cell r="Y1267">
            <v>76.52</v>
          </cell>
        </row>
        <row r="1268">
          <cell r="U1268" t="str">
            <v>L104240</v>
          </cell>
          <cell r="V1268" t="str">
            <v>MERMA DE FRUVER 1 kg</v>
          </cell>
          <cell r="W1268" t="str">
            <v>Ajuste</v>
          </cell>
          <cell r="X1268">
            <v>120</v>
          </cell>
          <cell r="Y1268">
            <v>120</v>
          </cell>
        </row>
        <row r="1269">
          <cell r="U1269" t="str">
            <v>L104341</v>
          </cell>
          <cell r="V1269" t="str">
            <v>MERMA DE FRUVER 1 kg</v>
          </cell>
          <cell r="W1269" t="str">
            <v>Ajuste</v>
          </cell>
          <cell r="X1269">
            <v>94.2</v>
          </cell>
          <cell r="Y1269">
            <v>94.2</v>
          </cell>
        </row>
        <row r="1270">
          <cell r="U1270" t="str">
            <v>L104349</v>
          </cell>
          <cell r="V1270" t="str">
            <v>MERMA DE FRUVER 1 kg</v>
          </cell>
          <cell r="W1270" t="str">
            <v>Ajuste</v>
          </cell>
          <cell r="X1270">
            <v>25.2</v>
          </cell>
          <cell r="Y1270">
            <v>25.2</v>
          </cell>
        </row>
        <row r="1271">
          <cell r="U1271" t="str">
            <v>L104386</v>
          </cell>
          <cell r="V1271" t="str">
            <v>MERMA DE FRUVER 1 kg</v>
          </cell>
          <cell r="W1271" t="str">
            <v>Ajuste</v>
          </cell>
          <cell r="X1271">
            <v>89.38</v>
          </cell>
          <cell r="Y1271">
            <v>89.38</v>
          </cell>
        </row>
        <row r="1272">
          <cell r="U1272" t="str">
            <v>L104416</v>
          </cell>
          <cell r="V1272" t="str">
            <v>MERMA DE FRUVER 1 kg</v>
          </cell>
          <cell r="W1272" t="str">
            <v>Ajuste</v>
          </cell>
          <cell r="X1272">
            <v>76.66</v>
          </cell>
          <cell r="Y1272">
            <v>76.66</v>
          </cell>
        </row>
        <row r="1273">
          <cell r="U1273" t="str">
            <v>L104419</v>
          </cell>
          <cell r="V1273" t="str">
            <v>MERMA DE FRUVER 1 kg</v>
          </cell>
          <cell r="W1273" t="str">
            <v>Ajuste</v>
          </cell>
          <cell r="X1273">
            <v>150</v>
          </cell>
          <cell r="Y1273">
            <v>150</v>
          </cell>
        </row>
        <row r="1274">
          <cell r="U1274" t="str">
            <v>L104425</v>
          </cell>
          <cell r="V1274" t="str">
            <v>MERMA DE FRUVER 1 kg</v>
          </cell>
          <cell r="W1274" t="str">
            <v>Ajuste</v>
          </cell>
          <cell r="X1274">
            <v>20.9</v>
          </cell>
          <cell r="Y1274">
            <v>20.9</v>
          </cell>
        </row>
        <row r="1275">
          <cell r="U1275" t="str">
            <v>L104450</v>
          </cell>
          <cell r="V1275" t="str">
            <v>MERMA DE FRUVER 1 kg</v>
          </cell>
          <cell r="W1275" t="str">
            <v>Ajuste</v>
          </cell>
          <cell r="X1275">
            <v>56.08</v>
          </cell>
          <cell r="Y1275">
            <v>56.08</v>
          </cell>
        </row>
        <row r="1276">
          <cell r="U1276" t="str">
            <v>L104455</v>
          </cell>
          <cell r="V1276" t="str">
            <v>MERMA DE FRUVER 1 kg</v>
          </cell>
          <cell r="W1276" t="str">
            <v>Ajuste</v>
          </cell>
          <cell r="X1276">
            <v>120</v>
          </cell>
          <cell r="Y1276">
            <v>120</v>
          </cell>
        </row>
        <row r="1277">
          <cell r="U1277" t="str">
            <v>L104464</v>
          </cell>
          <cell r="V1277" t="str">
            <v>MERMA DE FRUVER 1 kg</v>
          </cell>
          <cell r="W1277" t="str">
            <v>Ajuste</v>
          </cell>
          <cell r="X1277">
            <v>32.22</v>
          </cell>
          <cell r="Y1277">
            <v>32.22</v>
          </cell>
        </row>
        <row r="1278">
          <cell r="U1278" t="str">
            <v>L104497</v>
          </cell>
          <cell r="V1278" t="str">
            <v>MERMA DE FRUVER 1 kg</v>
          </cell>
          <cell r="W1278" t="str">
            <v>Ajuste</v>
          </cell>
          <cell r="X1278">
            <v>111.52</v>
          </cell>
          <cell r="Y1278">
            <v>111.52</v>
          </cell>
        </row>
        <row r="1279">
          <cell r="U1279" t="str">
            <v>L104504</v>
          </cell>
          <cell r="V1279" t="str">
            <v>MERMA DE FRUVER 1 kg</v>
          </cell>
          <cell r="W1279" t="str">
            <v>Ajuste</v>
          </cell>
          <cell r="X1279">
            <v>34.36</v>
          </cell>
          <cell r="Y1279">
            <v>34.36</v>
          </cell>
        </row>
        <row r="1280">
          <cell r="U1280" t="str">
            <v>L104509</v>
          </cell>
          <cell r="V1280" t="str">
            <v>MERMA DE FRUVER 1 kg</v>
          </cell>
          <cell r="W1280" t="str">
            <v>Ajuste</v>
          </cell>
          <cell r="X1280">
            <v>20.38</v>
          </cell>
          <cell r="Y1280">
            <v>20.38</v>
          </cell>
        </row>
        <row r="1281">
          <cell r="U1281" t="str">
            <v>L104516</v>
          </cell>
          <cell r="V1281" t="str">
            <v>MERMA DE FRUVER 1 kg</v>
          </cell>
          <cell r="W1281" t="str">
            <v>Ajuste</v>
          </cell>
          <cell r="X1281">
            <v>156</v>
          </cell>
          <cell r="Y1281">
            <v>156</v>
          </cell>
        </row>
        <row r="1282">
          <cell r="U1282" t="str">
            <v>L104679</v>
          </cell>
          <cell r="V1282" t="str">
            <v>MERMA DE FRUVER 1 kg</v>
          </cell>
          <cell r="W1282" t="str">
            <v>Ajuste</v>
          </cell>
          <cell r="X1282">
            <v>58.56</v>
          </cell>
          <cell r="Y1282">
            <v>58.56</v>
          </cell>
        </row>
        <row r="1283">
          <cell r="U1283" t="str">
            <v>L104689</v>
          </cell>
          <cell r="V1283" t="str">
            <v>MERMA DE FRUVER 1 kg</v>
          </cell>
          <cell r="W1283" t="str">
            <v>Ajuste</v>
          </cell>
          <cell r="X1283">
            <v>95.26</v>
          </cell>
          <cell r="Y1283">
            <v>95.26</v>
          </cell>
        </row>
        <row r="1284">
          <cell r="U1284" t="str">
            <v>L104724</v>
          </cell>
          <cell r="V1284" t="str">
            <v>MERMA DE FRUVER 1 kg</v>
          </cell>
          <cell r="W1284" t="str">
            <v>Ajuste</v>
          </cell>
          <cell r="X1284">
            <v>120.4</v>
          </cell>
          <cell r="Y1284">
            <v>120.4</v>
          </cell>
        </row>
        <row r="1285">
          <cell r="U1285" t="str">
            <v>L104727</v>
          </cell>
          <cell r="V1285" t="str">
            <v>MERMA DE FRUVER 1 kg</v>
          </cell>
          <cell r="W1285" t="str">
            <v>Ajuste</v>
          </cell>
          <cell r="X1285">
            <v>35.4</v>
          </cell>
          <cell r="Y1285">
            <v>35.4</v>
          </cell>
        </row>
        <row r="1286">
          <cell r="U1286" t="str">
            <v>L104732</v>
          </cell>
          <cell r="V1286" t="str">
            <v>MERMA DE FRUVER 1 kg</v>
          </cell>
          <cell r="W1286" t="str">
            <v>Ajuste</v>
          </cell>
          <cell r="X1286">
            <v>70</v>
          </cell>
          <cell r="Y1286">
            <v>70</v>
          </cell>
        </row>
        <row r="1287">
          <cell r="U1287" t="str">
            <v>L104787</v>
          </cell>
          <cell r="V1287" t="str">
            <v>MERMA DE FRUVER 1 kg</v>
          </cell>
          <cell r="W1287" t="str">
            <v>Ajuste</v>
          </cell>
          <cell r="X1287">
            <v>70.2</v>
          </cell>
          <cell r="Y1287">
            <v>70.2</v>
          </cell>
        </row>
        <row r="1288">
          <cell r="U1288" t="str">
            <v>L104792</v>
          </cell>
          <cell r="V1288" t="str">
            <v>MERMA DE FRUVER 1 kg</v>
          </cell>
          <cell r="W1288" t="str">
            <v>Ajuste</v>
          </cell>
          <cell r="X1288">
            <v>40.200000000000003</v>
          </cell>
          <cell r="Y1288">
            <v>40.200000000000003</v>
          </cell>
        </row>
        <row r="1289">
          <cell r="U1289" t="str">
            <v>L104795</v>
          </cell>
          <cell r="V1289" t="str">
            <v>MERMA DE FRUVER 1 kg</v>
          </cell>
          <cell r="W1289" t="str">
            <v>Ajuste</v>
          </cell>
          <cell r="X1289">
            <v>27.38</v>
          </cell>
          <cell r="Y1289">
            <v>27.38</v>
          </cell>
        </row>
        <row r="1290">
          <cell r="U1290" t="str">
            <v>L104797</v>
          </cell>
          <cell r="V1290" t="str">
            <v>MERMA DE FRUVER 1 kg</v>
          </cell>
          <cell r="W1290" t="str">
            <v>Ajuste</v>
          </cell>
          <cell r="X1290">
            <v>120</v>
          </cell>
          <cell r="Y1290">
            <v>120</v>
          </cell>
        </row>
        <row r="1291">
          <cell r="U1291" t="str">
            <v>L104831</v>
          </cell>
          <cell r="V1291" t="str">
            <v>MERMA DE FRUVER 1 kg</v>
          </cell>
          <cell r="W1291" t="str">
            <v>Ajuste</v>
          </cell>
          <cell r="X1291">
            <v>32.9</v>
          </cell>
          <cell r="Y1291">
            <v>32.9</v>
          </cell>
        </row>
        <row r="1292">
          <cell r="U1292" t="str">
            <v>L104834</v>
          </cell>
          <cell r="V1292" t="str">
            <v>MERMA DE FRUVER 1 kg</v>
          </cell>
          <cell r="W1292" t="str">
            <v>Ajuste</v>
          </cell>
          <cell r="X1292">
            <v>23.28</v>
          </cell>
          <cell r="Y1292">
            <v>23.28</v>
          </cell>
        </row>
        <row r="1293">
          <cell r="U1293" t="str">
            <v>L104839</v>
          </cell>
          <cell r="V1293" t="str">
            <v>MERMA DE FRUVER 1 kg</v>
          </cell>
          <cell r="W1293" t="str">
            <v>Ajuste</v>
          </cell>
          <cell r="X1293">
            <v>70.88</v>
          </cell>
          <cell r="Y1293">
            <v>70.88</v>
          </cell>
        </row>
        <row r="1294">
          <cell r="U1294" t="str">
            <v>L104846</v>
          </cell>
          <cell r="V1294" t="str">
            <v>MERMA DE FRUVER 1 kg</v>
          </cell>
          <cell r="W1294" t="str">
            <v>Ajuste</v>
          </cell>
          <cell r="X1294">
            <v>70</v>
          </cell>
          <cell r="Y1294">
            <v>70</v>
          </cell>
        </row>
        <row r="1295">
          <cell r="U1295" t="str">
            <v>L103893</v>
          </cell>
          <cell r="V1295" t="str">
            <v>Merma KG</v>
          </cell>
          <cell r="W1295" t="str">
            <v>Ajuste</v>
          </cell>
          <cell r="X1295">
            <v>79.36</v>
          </cell>
          <cell r="Y1295">
            <v>79.36</v>
          </cell>
        </row>
        <row r="1296">
          <cell r="U1296" t="str">
            <v>L103954</v>
          </cell>
          <cell r="V1296" t="str">
            <v>Merma KG</v>
          </cell>
          <cell r="W1296" t="str">
            <v>Ajuste</v>
          </cell>
          <cell r="X1296">
            <v>59.74</v>
          </cell>
          <cell r="Y1296">
            <v>59.74</v>
          </cell>
        </row>
        <row r="1297">
          <cell r="U1297" t="str">
            <v>L103956</v>
          </cell>
          <cell r="V1297" t="str">
            <v>Merma KG</v>
          </cell>
          <cell r="W1297" t="str">
            <v>Ajuste</v>
          </cell>
          <cell r="X1297">
            <v>37.67</v>
          </cell>
          <cell r="Y1297">
            <v>37.67</v>
          </cell>
        </row>
        <row r="1298">
          <cell r="U1298" t="str">
            <v>L104151</v>
          </cell>
          <cell r="V1298" t="str">
            <v>Merma KG</v>
          </cell>
          <cell r="W1298" t="str">
            <v>Ajuste</v>
          </cell>
          <cell r="X1298">
            <v>178.9</v>
          </cell>
          <cell r="Y1298">
            <v>178.9</v>
          </cell>
        </row>
        <row r="1299">
          <cell r="U1299" t="str">
            <v>L104153</v>
          </cell>
          <cell r="V1299" t="str">
            <v>Merma KG</v>
          </cell>
          <cell r="W1299" t="str">
            <v>Ajuste</v>
          </cell>
          <cell r="X1299">
            <v>1.4</v>
          </cell>
          <cell r="Y1299">
            <v>1.4</v>
          </cell>
        </row>
        <row r="1300">
          <cell r="U1300" t="str">
            <v>L104154</v>
          </cell>
          <cell r="V1300" t="str">
            <v>Merma KG</v>
          </cell>
          <cell r="W1300" t="str">
            <v>Ajuste</v>
          </cell>
          <cell r="X1300">
            <v>30.74</v>
          </cell>
          <cell r="Y1300">
            <v>30.74</v>
          </cell>
        </row>
        <row r="1301">
          <cell r="U1301" t="str">
            <v>L104925</v>
          </cell>
          <cell r="V1301" t="str">
            <v>Mesa</v>
          </cell>
          <cell r="W1301" t="str">
            <v>Ajuste</v>
          </cell>
          <cell r="X1301">
            <v>2</v>
          </cell>
          <cell r="Y1301">
            <v>20</v>
          </cell>
        </row>
        <row r="1302">
          <cell r="U1302" t="str">
            <v>L103791</v>
          </cell>
          <cell r="V1302" t="str">
            <v>MLCT 3Kg</v>
          </cell>
          <cell r="W1302" t="str">
            <v>Ajuste</v>
          </cell>
          <cell r="X1302">
            <v>12</v>
          </cell>
          <cell r="Y1302">
            <v>36</v>
          </cell>
        </row>
        <row r="1303">
          <cell r="U1303" t="str">
            <v>L104920</v>
          </cell>
          <cell r="V1303" t="str">
            <v>MLCT 3Kg</v>
          </cell>
          <cell r="W1303" t="str">
            <v>Ajuste</v>
          </cell>
          <cell r="X1303">
            <v>2</v>
          </cell>
          <cell r="Y1303">
            <v>6</v>
          </cell>
        </row>
        <row r="1304">
          <cell r="U1304" t="str">
            <v>L103989</v>
          </cell>
          <cell r="V1304" t="str">
            <v>MNS 10Kg-PAQUETE</v>
          </cell>
          <cell r="W1304" t="str">
            <v>Ajuste</v>
          </cell>
          <cell r="X1304">
            <v>800</v>
          </cell>
          <cell r="Y1304">
            <v>8000</v>
          </cell>
        </row>
        <row r="1305">
          <cell r="U1305" t="str">
            <v>L104697</v>
          </cell>
          <cell r="V1305" t="str">
            <v>MNS 10Kg-PAQUETE</v>
          </cell>
          <cell r="W1305" t="str">
            <v>Ajuste</v>
          </cell>
          <cell r="X1305">
            <v>1189</v>
          </cell>
          <cell r="Y1305">
            <v>11890</v>
          </cell>
        </row>
        <row r="1306">
          <cell r="U1306" t="str">
            <v>L104820</v>
          </cell>
          <cell r="V1306" t="str">
            <v>MNS 2kg-PAQUETE</v>
          </cell>
          <cell r="W1306" t="str">
            <v>Ajuste</v>
          </cell>
          <cell r="X1306">
            <v>12</v>
          </cell>
          <cell r="Y1306">
            <v>24</v>
          </cell>
        </row>
        <row r="1307">
          <cell r="U1307" t="str">
            <v>L103831</v>
          </cell>
          <cell r="V1307" t="str">
            <v>MNS 2kg-PAQUETE</v>
          </cell>
          <cell r="W1307" t="str">
            <v>Ajuste</v>
          </cell>
          <cell r="X1307">
            <v>6</v>
          </cell>
          <cell r="Y1307">
            <v>12</v>
          </cell>
        </row>
        <row r="1308">
          <cell r="U1308" t="str">
            <v>L104377</v>
          </cell>
          <cell r="V1308" t="str">
            <v>MSA MTAL</v>
          </cell>
          <cell r="W1308" t="str">
            <v>Ajuste</v>
          </cell>
          <cell r="X1308">
            <v>6</v>
          </cell>
          <cell r="Y1308">
            <v>288</v>
          </cell>
        </row>
        <row r="1309">
          <cell r="U1309" t="str">
            <v>L104197</v>
          </cell>
          <cell r="V1309" t="str">
            <v>MTQ 7kg</v>
          </cell>
          <cell r="W1309" t="str">
            <v>Ajuste</v>
          </cell>
          <cell r="X1309">
            <v>62</v>
          </cell>
          <cell r="Y1309">
            <v>434</v>
          </cell>
        </row>
        <row r="1310">
          <cell r="U1310" t="str">
            <v>L103812</v>
          </cell>
          <cell r="V1310" t="str">
            <v>MXTCD 10kg</v>
          </cell>
          <cell r="W1310" t="str">
            <v>Ajuste</v>
          </cell>
          <cell r="X1310">
            <v>42</v>
          </cell>
          <cell r="Y1310">
            <v>420</v>
          </cell>
        </row>
        <row r="1311">
          <cell r="U1311" t="str">
            <v>L103824</v>
          </cell>
          <cell r="V1311" t="str">
            <v>MXTCD 10kg</v>
          </cell>
          <cell r="W1311" t="str">
            <v>Ajuste</v>
          </cell>
          <cell r="X1311">
            <v>20</v>
          </cell>
          <cell r="Y1311">
            <v>200</v>
          </cell>
        </row>
        <row r="1312">
          <cell r="U1312" t="str">
            <v>L104193</v>
          </cell>
          <cell r="V1312" t="str">
            <v>MXTCD 10kg</v>
          </cell>
          <cell r="W1312" t="str">
            <v>Ajuste</v>
          </cell>
          <cell r="X1312">
            <v>20</v>
          </cell>
          <cell r="Y1312">
            <v>200</v>
          </cell>
        </row>
        <row r="1313">
          <cell r="U1313" t="str">
            <v>L104196</v>
          </cell>
          <cell r="V1313" t="str">
            <v>MXTCD 10kg</v>
          </cell>
          <cell r="W1313" t="str">
            <v>Ajuste</v>
          </cell>
          <cell r="X1313">
            <v>198</v>
          </cell>
          <cell r="Y1313">
            <v>1980</v>
          </cell>
        </row>
        <row r="1314">
          <cell r="U1314" t="str">
            <v>L104336</v>
          </cell>
          <cell r="V1314" t="str">
            <v>MXTCD 10kg</v>
          </cell>
          <cell r="W1314" t="str">
            <v>Ajuste</v>
          </cell>
          <cell r="X1314">
            <v>34</v>
          </cell>
          <cell r="Y1314">
            <v>340</v>
          </cell>
        </row>
        <row r="1315">
          <cell r="U1315" t="str">
            <v>L104657</v>
          </cell>
          <cell r="V1315" t="str">
            <v>MXTCD 10kg</v>
          </cell>
          <cell r="W1315" t="str">
            <v>Ajuste</v>
          </cell>
          <cell r="X1315">
            <v>28</v>
          </cell>
          <cell r="Y1315">
            <v>280</v>
          </cell>
        </row>
        <row r="1316">
          <cell r="U1316" t="str">
            <v>L104074</v>
          </cell>
          <cell r="V1316" t="str">
            <v>MYN 2kg - Caja</v>
          </cell>
          <cell r="W1316" t="str">
            <v>Ajuste</v>
          </cell>
          <cell r="X1316">
            <v>10</v>
          </cell>
          <cell r="Y1316">
            <v>20</v>
          </cell>
        </row>
        <row r="1317">
          <cell r="U1317" t="str">
            <v>L104737</v>
          </cell>
          <cell r="V1317" t="str">
            <v>MYN 2kg - Caja</v>
          </cell>
          <cell r="W1317" t="str">
            <v>Ajuste</v>
          </cell>
          <cell r="X1317">
            <v>4</v>
          </cell>
          <cell r="Y1317">
            <v>8</v>
          </cell>
        </row>
        <row r="1318">
          <cell r="U1318" t="str">
            <v>L104069</v>
          </cell>
          <cell r="V1318" t="str">
            <v>MYN 3kg - Caja</v>
          </cell>
          <cell r="W1318" t="str">
            <v>Ajuste</v>
          </cell>
          <cell r="X1318">
            <v>26</v>
          </cell>
          <cell r="Y1318">
            <v>78</v>
          </cell>
        </row>
        <row r="1319">
          <cell r="U1319" t="str">
            <v>L104070</v>
          </cell>
          <cell r="V1319" t="str">
            <v>MYN 3kg - Caja</v>
          </cell>
          <cell r="W1319" t="str">
            <v>Ajuste</v>
          </cell>
          <cell r="X1319">
            <v>10</v>
          </cell>
          <cell r="Y1319">
            <v>30</v>
          </cell>
        </row>
        <row r="1320">
          <cell r="U1320" t="str">
            <v>L104238</v>
          </cell>
          <cell r="V1320" t="str">
            <v>MYN 3kg - Caja</v>
          </cell>
          <cell r="W1320" t="str">
            <v>Ajuste</v>
          </cell>
          <cell r="X1320">
            <v>3215</v>
          </cell>
          <cell r="Y1320">
            <v>9645</v>
          </cell>
        </row>
        <row r="1321">
          <cell r="U1321" t="str">
            <v>L104238</v>
          </cell>
          <cell r="V1321" t="str">
            <v>DIV MYN 3kg</v>
          </cell>
          <cell r="W1321" t="str">
            <v>Ajuste</v>
          </cell>
          <cell r="X1321">
            <v>236</v>
          </cell>
          <cell r="Y1321">
            <v>708</v>
          </cell>
        </row>
        <row r="1322">
          <cell r="U1322" t="str">
            <v>L104401</v>
          </cell>
          <cell r="V1322" t="str">
            <v>MYN 3kg - Caja</v>
          </cell>
          <cell r="W1322" t="str">
            <v>Ajuste</v>
          </cell>
          <cell r="X1322">
            <v>24</v>
          </cell>
          <cell r="Y1322">
            <v>72</v>
          </cell>
        </row>
        <row r="1323">
          <cell r="U1323" t="str">
            <v>L104664</v>
          </cell>
          <cell r="V1323" t="str">
            <v>MYN 3kg - Caja</v>
          </cell>
          <cell r="W1323" t="str">
            <v>Ajuste</v>
          </cell>
          <cell r="X1323">
            <v>20</v>
          </cell>
          <cell r="Y1323">
            <v>60</v>
          </cell>
        </row>
        <row r="1324">
          <cell r="U1324" t="str">
            <v>L103996</v>
          </cell>
          <cell r="V1324" t="str">
            <v>MYN 4kg - Caja</v>
          </cell>
          <cell r="W1324" t="str">
            <v>Ajuste</v>
          </cell>
          <cell r="X1324">
            <v>204</v>
          </cell>
          <cell r="Y1324">
            <v>816</v>
          </cell>
        </row>
        <row r="1325">
          <cell r="U1325" t="str">
            <v>L103996</v>
          </cell>
          <cell r="V1325" t="str">
            <v>MYN 4kg - Caja</v>
          </cell>
          <cell r="W1325" t="str">
            <v>Dañado</v>
          </cell>
          <cell r="X1325">
            <v>4</v>
          </cell>
          <cell r="Y1325">
            <v>16</v>
          </cell>
        </row>
        <row r="1326">
          <cell r="U1326" t="str">
            <v>L104877</v>
          </cell>
          <cell r="V1326" t="str">
            <v>MZL 3kg</v>
          </cell>
          <cell r="W1326" t="str">
            <v>Ajuste</v>
          </cell>
          <cell r="X1326">
            <v>160</v>
          </cell>
          <cell r="Y1326">
            <v>480</v>
          </cell>
        </row>
        <row r="1327">
          <cell r="U1327" t="str">
            <v>L103784</v>
          </cell>
          <cell r="V1327" t="str">
            <v>MZL 5kg</v>
          </cell>
          <cell r="W1327" t="str">
            <v>Ajuste</v>
          </cell>
          <cell r="X1327">
            <v>24</v>
          </cell>
          <cell r="Y1327">
            <v>120</v>
          </cell>
        </row>
        <row r="1328">
          <cell r="U1328" t="str">
            <v>L104039</v>
          </cell>
          <cell r="V1328" t="str">
            <v>MZL 5kg</v>
          </cell>
          <cell r="W1328" t="str">
            <v>Ajuste</v>
          </cell>
          <cell r="X1328">
            <v>10</v>
          </cell>
          <cell r="Y1328">
            <v>50</v>
          </cell>
        </row>
        <row r="1329">
          <cell r="U1329" t="str">
            <v>L104574</v>
          </cell>
          <cell r="V1329" t="str">
            <v>MZL 5kg</v>
          </cell>
          <cell r="W1329" t="str">
            <v>Ajuste</v>
          </cell>
          <cell r="X1329">
            <v>10</v>
          </cell>
          <cell r="Y1329">
            <v>50</v>
          </cell>
        </row>
        <row r="1330">
          <cell r="U1330" t="str">
            <v>L104586</v>
          </cell>
          <cell r="V1330" t="str">
            <v>MZL 5kg</v>
          </cell>
          <cell r="W1330" t="str">
            <v>Ajuste</v>
          </cell>
          <cell r="X1330">
            <v>20</v>
          </cell>
          <cell r="Y1330">
            <v>100</v>
          </cell>
        </row>
        <row r="1331">
          <cell r="U1331" t="str">
            <v>L104638</v>
          </cell>
          <cell r="V1331" t="str">
            <v>MZL 5kg</v>
          </cell>
          <cell r="W1331" t="str">
            <v>Ajuste</v>
          </cell>
          <cell r="X1331">
            <v>6</v>
          </cell>
          <cell r="Y1331">
            <v>30</v>
          </cell>
        </row>
        <row r="1332">
          <cell r="U1332" t="str">
            <v>L104807</v>
          </cell>
          <cell r="V1332" t="str">
            <v>MZL 5kg</v>
          </cell>
          <cell r="W1332" t="str">
            <v>Ajuste</v>
          </cell>
          <cell r="X1332">
            <v>6</v>
          </cell>
          <cell r="Y1332">
            <v>30</v>
          </cell>
        </row>
        <row r="1333">
          <cell r="U1333" t="str">
            <v>L104809</v>
          </cell>
          <cell r="V1333" t="str">
            <v>MZL 5kg</v>
          </cell>
          <cell r="W1333" t="str">
            <v>Ajuste</v>
          </cell>
          <cell r="X1333">
            <v>14</v>
          </cell>
          <cell r="Y1333">
            <v>70</v>
          </cell>
        </row>
        <row r="1334">
          <cell r="U1334" t="str">
            <v>L104407</v>
          </cell>
          <cell r="V1334" t="str">
            <v>MZT 3kg</v>
          </cell>
          <cell r="W1334" t="str">
            <v>Ajuste</v>
          </cell>
          <cell r="X1334">
            <v>6</v>
          </cell>
          <cell r="Y1334">
            <v>18</v>
          </cell>
        </row>
        <row r="1335">
          <cell r="U1335" t="str">
            <v>L104662</v>
          </cell>
          <cell r="V1335" t="str">
            <v>MZT 3kg</v>
          </cell>
          <cell r="W1335" t="str">
            <v>Ajuste</v>
          </cell>
          <cell r="X1335">
            <v>40</v>
          </cell>
          <cell r="Y1335">
            <v>120</v>
          </cell>
        </row>
        <row r="1336">
          <cell r="U1336" t="str">
            <v>L104058</v>
          </cell>
          <cell r="V1336" t="str">
            <v>MZT 4kg</v>
          </cell>
          <cell r="W1336" t="str">
            <v>Ajuste</v>
          </cell>
          <cell r="X1336">
            <v>72</v>
          </cell>
          <cell r="Y1336">
            <v>288</v>
          </cell>
        </row>
        <row r="1337">
          <cell r="U1337" t="str">
            <v>L104057</v>
          </cell>
          <cell r="V1337" t="str">
            <v>MZT 4kg</v>
          </cell>
          <cell r="W1337" t="str">
            <v>Ajuste</v>
          </cell>
          <cell r="X1337">
            <v>54</v>
          </cell>
          <cell r="Y1337">
            <v>216</v>
          </cell>
        </row>
        <row r="1338">
          <cell r="U1338" t="str">
            <v>L104003</v>
          </cell>
          <cell r="V1338" t="str">
            <v>MZT 4kg</v>
          </cell>
          <cell r="W1338" t="str">
            <v>Ajuste</v>
          </cell>
          <cell r="X1338">
            <v>227</v>
          </cell>
          <cell r="Y1338">
            <v>908</v>
          </cell>
        </row>
        <row r="1339">
          <cell r="U1339" t="str">
            <v>l104130</v>
          </cell>
          <cell r="V1339" t="str">
            <v>NV ACE 12x900ml-CAJA</v>
          </cell>
          <cell r="W1339" t="str">
            <v>Ajuste</v>
          </cell>
          <cell r="X1339">
            <v>622</v>
          </cell>
          <cell r="Y1339">
            <v>6717.6000000000022</v>
          </cell>
        </row>
        <row r="1340">
          <cell r="U1340" t="str">
            <v>l104130</v>
          </cell>
          <cell r="V1340" t="str">
            <v>NV ACE 12x900ml-CAJA</v>
          </cell>
          <cell r="W1340" t="str">
            <v>Reproceso</v>
          </cell>
          <cell r="X1340">
            <v>30</v>
          </cell>
          <cell r="Y1340">
            <v>324</v>
          </cell>
        </row>
        <row r="1341">
          <cell r="U1341" t="str">
            <v>l104130</v>
          </cell>
          <cell r="V1341" t="str">
            <v>NV ACE 1x900ml-UNI</v>
          </cell>
          <cell r="W1341" t="str">
            <v>Ajuste</v>
          </cell>
          <cell r="X1341">
            <v>720</v>
          </cell>
          <cell r="Y1341">
            <v>648.00000000000034</v>
          </cell>
        </row>
        <row r="1342">
          <cell r="U1342" t="str">
            <v>l104133</v>
          </cell>
          <cell r="V1342" t="str">
            <v>NV ARJ 1X1LB-UNI</v>
          </cell>
          <cell r="W1342" t="str">
            <v>Ajuste</v>
          </cell>
          <cell r="X1342">
            <v>1100</v>
          </cell>
          <cell r="Y1342">
            <v>461.99999999999972</v>
          </cell>
        </row>
        <row r="1343">
          <cell r="U1343" t="str">
            <v>l104133</v>
          </cell>
          <cell r="V1343" t="str">
            <v>NV ARJ 25X1LB-CAJA</v>
          </cell>
          <cell r="W1343" t="str">
            <v>Ajuste</v>
          </cell>
          <cell r="X1343">
            <v>134</v>
          </cell>
          <cell r="Y1343">
            <v>1518.2200000000005</v>
          </cell>
        </row>
        <row r="1344">
          <cell r="U1344" t="str">
            <v>l104133</v>
          </cell>
          <cell r="V1344" t="str">
            <v>NV ARJ 25X1LB-CAJA</v>
          </cell>
          <cell r="W1344" t="str">
            <v>Reproceso</v>
          </cell>
          <cell r="X1344">
            <v>22</v>
          </cell>
          <cell r="Y1344">
            <v>249.26000000000002</v>
          </cell>
        </row>
        <row r="1345">
          <cell r="U1345" t="str">
            <v>l103959</v>
          </cell>
          <cell r="V1345" t="str">
            <v>NV ARZ 10x5lb-CAJA</v>
          </cell>
          <cell r="W1345" t="str">
            <v>Ajuste</v>
          </cell>
          <cell r="X1345">
            <v>778</v>
          </cell>
          <cell r="Y1345">
            <v>17637.260000000006</v>
          </cell>
        </row>
        <row r="1346">
          <cell r="U1346" t="str">
            <v>l103959</v>
          </cell>
          <cell r="V1346" t="str">
            <v>NV ARZ 10x5lb-CAJA</v>
          </cell>
          <cell r="W1346" t="str">
            <v>Reproceso</v>
          </cell>
          <cell r="X1346">
            <v>12</v>
          </cell>
          <cell r="Y1346">
            <v>272.04000000000002</v>
          </cell>
        </row>
        <row r="1347">
          <cell r="U1347" t="str">
            <v>l103959</v>
          </cell>
          <cell r="V1347" t="str">
            <v>NV ARZ 1x5lb-UNI</v>
          </cell>
          <cell r="W1347" t="str">
            <v>Ajuste</v>
          </cell>
          <cell r="X1347">
            <v>240</v>
          </cell>
          <cell r="Y1347">
            <v>542.4</v>
          </cell>
        </row>
        <row r="1348">
          <cell r="U1348" t="str">
            <v>l104126</v>
          </cell>
          <cell r="V1348" t="str">
            <v>NV ATN 1x170g-UNIDAD</v>
          </cell>
          <cell r="W1348" t="str">
            <v>Ajuste</v>
          </cell>
          <cell r="X1348">
            <v>2232</v>
          </cell>
          <cell r="Y1348">
            <v>379.44000000000005</v>
          </cell>
        </row>
        <row r="1349">
          <cell r="U1349" t="str">
            <v>L104125</v>
          </cell>
          <cell r="V1349" t="str">
            <v>NV ATN 48x170g-CAJA</v>
          </cell>
          <cell r="W1349" t="str">
            <v>Ajuste</v>
          </cell>
          <cell r="X1349">
            <v>139</v>
          </cell>
          <cell r="Y1349">
            <v>1134.2400000000002</v>
          </cell>
        </row>
        <row r="1350">
          <cell r="U1350" t="str">
            <v>L104125</v>
          </cell>
          <cell r="V1350" t="str">
            <v>NV ATN 48x170g-CAJA</v>
          </cell>
          <cell r="W1350" t="str">
            <v>Reproceso</v>
          </cell>
          <cell r="X1350">
            <v>23</v>
          </cell>
          <cell r="Y1350">
            <v>187.67999999999998</v>
          </cell>
        </row>
        <row r="1351">
          <cell r="U1351" t="str">
            <v>l103998</v>
          </cell>
          <cell r="V1351" t="str">
            <v>NV CRAVE 1X320g-UNI</v>
          </cell>
          <cell r="W1351" t="str">
            <v>Ajuste</v>
          </cell>
          <cell r="X1351">
            <v>1116</v>
          </cell>
          <cell r="Y1351">
            <v>357.11999999999978</v>
          </cell>
        </row>
        <row r="1352">
          <cell r="U1352" t="str">
            <v>L103997</v>
          </cell>
          <cell r="V1352" t="str">
            <v>NV CRAVE 24X320g-CAJA</v>
          </cell>
          <cell r="W1352" t="str">
            <v>Ajuste</v>
          </cell>
          <cell r="X1352">
            <v>139</v>
          </cell>
          <cell r="Y1352">
            <v>1067.52</v>
          </cell>
        </row>
        <row r="1353">
          <cell r="U1353" t="str">
            <v>L103997</v>
          </cell>
          <cell r="V1353" t="str">
            <v>NV CRAVE 24X320g-CAJA</v>
          </cell>
          <cell r="W1353" t="str">
            <v>Reproceso</v>
          </cell>
          <cell r="X1353">
            <v>23</v>
          </cell>
          <cell r="Y1353">
            <v>176.64</v>
          </cell>
        </row>
        <row r="1354">
          <cell r="U1354" t="str">
            <v>l104000</v>
          </cell>
          <cell r="V1354" t="str">
            <v>NV CRMAIZ 1X320g-UNI</v>
          </cell>
          <cell r="W1354" t="str">
            <v>Ajuste</v>
          </cell>
          <cell r="X1354">
            <v>1116</v>
          </cell>
          <cell r="Y1354">
            <v>357.11999999999978</v>
          </cell>
        </row>
        <row r="1355">
          <cell r="U1355" t="str">
            <v>L103999</v>
          </cell>
          <cell r="V1355" t="str">
            <v>NV CRMAIZ 24X320g-CAJA</v>
          </cell>
          <cell r="W1355" t="str">
            <v>Ajuste</v>
          </cell>
          <cell r="X1355">
            <v>139</v>
          </cell>
          <cell r="Y1355">
            <v>1067.52</v>
          </cell>
        </row>
        <row r="1356">
          <cell r="U1356" t="str">
            <v>L103999</v>
          </cell>
          <cell r="V1356" t="str">
            <v>NV CRMAIZ 24X320g-CAJA</v>
          </cell>
          <cell r="W1356" t="str">
            <v>Reproceso</v>
          </cell>
          <cell r="X1356">
            <v>23</v>
          </cell>
          <cell r="Y1356">
            <v>176.64</v>
          </cell>
        </row>
        <row r="1357">
          <cell r="U1357" t="str">
            <v>l104185</v>
          </cell>
          <cell r="V1357" t="str">
            <v>NV HAR 1 x 454g-UNI</v>
          </cell>
          <cell r="W1357" t="str">
            <v>Ajuste</v>
          </cell>
          <cell r="X1357">
            <v>888</v>
          </cell>
          <cell r="Y1357">
            <v>399.60000000000008</v>
          </cell>
        </row>
        <row r="1358">
          <cell r="U1358" t="str">
            <v>l104184</v>
          </cell>
          <cell r="V1358" t="str">
            <v>NV HAR 24 x 454g-CAJA</v>
          </cell>
          <cell r="W1358" t="str">
            <v>Ajuste</v>
          </cell>
          <cell r="X1358">
            <v>302</v>
          </cell>
          <cell r="Y1358">
            <v>3288.7799999999988</v>
          </cell>
        </row>
        <row r="1359">
          <cell r="U1359" t="str">
            <v>l104184</v>
          </cell>
          <cell r="V1359" t="str">
            <v>NV HAR 24 x 454g-CAJA</v>
          </cell>
          <cell r="W1359" t="str">
            <v>Reproceso</v>
          </cell>
          <cell r="X1359">
            <v>28</v>
          </cell>
          <cell r="Y1359">
            <v>304.92</v>
          </cell>
        </row>
        <row r="1360">
          <cell r="U1360" t="str">
            <v>l104184</v>
          </cell>
          <cell r="V1360" t="str">
            <v>NV HAR 1 x 454g-UNI</v>
          </cell>
          <cell r="W1360" t="str">
            <v>Ajuste</v>
          </cell>
          <cell r="X1360">
            <v>480</v>
          </cell>
          <cell r="Y1360">
            <v>216</v>
          </cell>
        </row>
        <row r="1361">
          <cell r="U1361" t="str">
            <v>l104124</v>
          </cell>
          <cell r="V1361" t="str">
            <v>NV LCH 1X400g-UNI</v>
          </cell>
          <cell r="W1361" t="str">
            <v>Ajuste</v>
          </cell>
          <cell r="X1361">
            <v>1116</v>
          </cell>
          <cell r="Y1361">
            <v>446.4</v>
          </cell>
        </row>
        <row r="1362">
          <cell r="U1362" t="str">
            <v>L104123</v>
          </cell>
          <cell r="V1362" t="str">
            <v>NV LCH 24X400g-CAJA</v>
          </cell>
          <cell r="W1362" t="str">
            <v>Ajuste</v>
          </cell>
          <cell r="X1362">
            <v>139</v>
          </cell>
          <cell r="Y1362">
            <v>1334.4</v>
          </cell>
        </row>
        <row r="1363">
          <cell r="U1363" t="str">
            <v>L104123</v>
          </cell>
          <cell r="V1363" t="str">
            <v>NV LCH 24X400g-CAJA</v>
          </cell>
          <cell r="W1363" t="str">
            <v>Reproceso</v>
          </cell>
          <cell r="X1363">
            <v>23</v>
          </cell>
          <cell r="Y1363">
            <v>220.8</v>
          </cell>
        </row>
        <row r="1364">
          <cell r="U1364" t="str">
            <v>l104132</v>
          </cell>
          <cell r="V1364" t="str">
            <v>NV LTJ 25X1Lb-CAJA</v>
          </cell>
          <cell r="W1364" t="str">
            <v>Ajuste</v>
          </cell>
          <cell r="X1364">
            <v>287</v>
          </cell>
          <cell r="Y1364">
            <v>3251.7099999999996</v>
          </cell>
        </row>
        <row r="1365">
          <cell r="U1365" t="str">
            <v>l104132</v>
          </cell>
          <cell r="V1365" t="str">
            <v>NV LTJ 25X1Lb-CAJA</v>
          </cell>
          <cell r="W1365" t="str">
            <v>Reproceso</v>
          </cell>
          <cell r="X1365">
            <v>27</v>
          </cell>
          <cell r="Y1365">
            <v>305.90999999999997</v>
          </cell>
        </row>
        <row r="1366">
          <cell r="U1366" t="str">
            <v>l104132</v>
          </cell>
          <cell r="V1366" t="str">
            <v>NV LTJ 1X1Lb-UNI</v>
          </cell>
          <cell r="W1366" t="str">
            <v>Ajuste</v>
          </cell>
          <cell r="X1366">
            <v>1350</v>
          </cell>
          <cell r="Y1366">
            <v>607.49999999999977</v>
          </cell>
        </row>
        <row r="1367">
          <cell r="U1367" t="str">
            <v>l104168</v>
          </cell>
          <cell r="V1367" t="str">
            <v>NV SAL 1X454g-UNI</v>
          </cell>
          <cell r="W1367" t="str">
            <v>Ajuste</v>
          </cell>
          <cell r="X1367">
            <v>1260</v>
          </cell>
          <cell r="Y1367">
            <v>566.99999999999966</v>
          </cell>
        </row>
        <row r="1368">
          <cell r="U1368" t="str">
            <v>l104168</v>
          </cell>
          <cell r="V1368" t="str">
            <v>NV SAL 30X454g-CAJA</v>
          </cell>
          <cell r="W1368" t="str">
            <v>Ajuste</v>
          </cell>
          <cell r="X1368">
            <v>109</v>
          </cell>
          <cell r="Y1368">
            <v>1484.579999999999</v>
          </cell>
        </row>
        <row r="1369">
          <cell r="U1369" t="str">
            <v>l104168</v>
          </cell>
          <cell r="V1369" t="str">
            <v>NV SAL 30X454g-CAJA</v>
          </cell>
          <cell r="W1369" t="str">
            <v>Reproceso</v>
          </cell>
          <cell r="X1369">
            <v>21</v>
          </cell>
          <cell r="Y1369">
            <v>286.02</v>
          </cell>
        </row>
        <row r="1370">
          <cell r="U1370" t="str">
            <v>l104131</v>
          </cell>
          <cell r="V1370" t="str">
            <v>NV SPAGUETTIS 1 x 454G-UNI</v>
          </cell>
          <cell r="W1370" t="str">
            <v>Ajuste</v>
          </cell>
          <cell r="X1370">
            <v>400</v>
          </cell>
          <cell r="Y1370">
            <v>179.99999999999997</v>
          </cell>
        </row>
        <row r="1371">
          <cell r="U1371" t="str">
            <v>l104131</v>
          </cell>
          <cell r="V1371" t="str">
            <v>NV SPAGUETTIS 20 x 454G-CAJA</v>
          </cell>
          <cell r="W1371" t="str">
            <v>Ajuste</v>
          </cell>
          <cell r="X1371">
            <v>772</v>
          </cell>
          <cell r="Y1371">
            <v>7009.7599999999975</v>
          </cell>
        </row>
        <row r="1372">
          <cell r="U1372" t="str">
            <v>l104131</v>
          </cell>
          <cell r="V1372" t="str">
            <v>NV SPAGUETTIS 20 x 454G-CAJA</v>
          </cell>
          <cell r="W1372" t="str">
            <v>Reproceso</v>
          </cell>
          <cell r="X1372">
            <v>10</v>
          </cell>
          <cell r="Y1372">
            <v>90.8</v>
          </cell>
        </row>
        <row r="1373">
          <cell r="U1373" t="str">
            <v>l104129</v>
          </cell>
          <cell r="V1373" t="str">
            <v>NV SRD 1X15 OZ-UNI</v>
          </cell>
          <cell r="W1373" t="str">
            <v>Ajuste</v>
          </cell>
          <cell r="X1373">
            <v>1116</v>
          </cell>
          <cell r="Y1373">
            <v>468.71999999999991</v>
          </cell>
        </row>
        <row r="1374">
          <cell r="U1374" t="str">
            <v>l104127</v>
          </cell>
          <cell r="V1374" t="str">
            <v>NV SRD 1X5.5 ONZ-UNI</v>
          </cell>
          <cell r="W1374" t="str">
            <v>Ajuste</v>
          </cell>
          <cell r="X1374">
            <v>2200</v>
          </cell>
          <cell r="Y1374">
            <v>330.00000000000017</v>
          </cell>
        </row>
        <row r="1375">
          <cell r="U1375" t="str">
            <v>l104127</v>
          </cell>
          <cell r="V1375" t="str">
            <v>NV SRD 50X5.5 ONZ-CAJA</v>
          </cell>
          <cell r="W1375" t="str">
            <v>Ajuste</v>
          </cell>
          <cell r="X1375">
            <v>134</v>
          </cell>
          <cell r="Y1375">
            <v>1043.8599999999999</v>
          </cell>
        </row>
        <row r="1376">
          <cell r="U1376" t="str">
            <v>l104127</v>
          </cell>
          <cell r="V1376" t="str">
            <v>NV SRD 50X5.5 ONZ-CAJA</v>
          </cell>
          <cell r="W1376" t="str">
            <v>Reproceso</v>
          </cell>
          <cell r="X1376">
            <v>22</v>
          </cell>
          <cell r="Y1376">
            <v>171.38</v>
          </cell>
        </row>
        <row r="1377">
          <cell r="U1377" t="str">
            <v>L104128</v>
          </cell>
          <cell r="V1377" t="str">
            <v>NV SRD 24X15 OZ-CAJA</v>
          </cell>
          <cell r="W1377" t="str">
            <v>Ajuste</v>
          </cell>
          <cell r="X1377">
            <v>139</v>
          </cell>
          <cell r="Y1377">
            <v>1417.8000000000009</v>
          </cell>
        </row>
        <row r="1378">
          <cell r="U1378" t="str">
            <v>L104128</v>
          </cell>
          <cell r="V1378" t="str">
            <v>NV SRD 24X15 OZ-CAJA</v>
          </cell>
          <cell r="W1378" t="str">
            <v>Reproceso</v>
          </cell>
          <cell r="X1378">
            <v>23</v>
          </cell>
          <cell r="Y1378">
            <v>234.59999999999997</v>
          </cell>
        </row>
        <row r="1379">
          <cell r="U1379" t="str">
            <v>L104228</v>
          </cell>
          <cell r="V1379" t="str">
            <v>PAA kg</v>
          </cell>
          <cell r="W1379" t="str">
            <v>Ajuste</v>
          </cell>
          <cell r="X1379">
            <v>2</v>
          </cell>
          <cell r="Y1379">
            <v>2</v>
          </cell>
        </row>
        <row r="1380">
          <cell r="U1380" t="str">
            <v>L103794</v>
          </cell>
          <cell r="V1380" t="str">
            <v>PAN 2kg</v>
          </cell>
          <cell r="W1380" t="str">
            <v>Ajuste</v>
          </cell>
          <cell r="X1380">
            <v>4</v>
          </cell>
          <cell r="Y1380">
            <v>8</v>
          </cell>
        </row>
        <row r="1381">
          <cell r="U1381" t="str">
            <v>L103808</v>
          </cell>
          <cell r="V1381" t="str">
            <v>PAN 2kg</v>
          </cell>
          <cell r="W1381" t="str">
            <v>Ajuste</v>
          </cell>
          <cell r="X1381">
            <v>6</v>
          </cell>
          <cell r="Y1381">
            <v>12</v>
          </cell>
        </row>
        <row r="1382">
          <cell r="U1382" t="str">
            <v>L103853</v>
          </cell>
          <cell r="V1382" t="str">
            <v>PAN 2kg</v>
          </cell>
          <cell r="W1382" t="str">
            <v>Ajuste</v>
          </cell>
          <cell r="X1382">
            <v>22</v>
          </cell>
          <cell r="Y1382">
            <v>44</v>
          </cell>
        </row>
        <row r="1383">
          <cell r="U1383" t="str">
            <v>L103856</v>
          </cell>
          <cell r="V1383" t="str">
            <v>PAN 2kg</v>
          </cell>
          <cell r="W1383" t="str">
            <v>Ajuste</v>
          </cell>
          <cell r="X1383">
            <v>12</v>
          </cell>
          <cell r="Y1383">
            <v>24</v>
          </cell>
        </row>
        <row r="1384">
          <cell r="U1384" t="str">
            <v>L103865</v>
          </cell>
          <cell r="V1384" t="str">
            <v>PAN 2kg</v>
          </cell>
          <cell r="W1384" t="str">
            <v>Ajuste</v>
          </cell>
          <cell r="X1384">
            <v>10</v>
          </cell>
          <cell r="Y1384">
            <v>20</v>
          </cell>
        </row>
        <row r="1385">
          <cell r="U1385" t="str">
            <v>L103901</v>
          </cell>
          <cell r="V1385" t="str">
            <v>PAN 2kg</v>
          </cell>
          <cell r="W1385" t="str">
            <v>Ajuste</v>
          </cell>
          <cell r="X1385">
            <v>12</v>
          </cell>
          <cell r="Y1385">
            <v>24</v>
          </cell>
        </row>
        <row r="1386">
          <cell r="U1386" t="str">
            <v>L103958</v>
          </cell>
          <cell r="V1386" t="str">
            <v>PAN 2kg</v>
          </cell>
          <cell r="W1386" t="str">
            <v>Ajuste</v>
          </cell>
          <cell r="X1386">
            <v>2</v>
          </cell>
          <cell r="Y1386">
            <v>4</v>
          </cell>
        </row>
        <row r="1387">
          <cell r="U1387" t="str">
            <v>L104002</v>
          </cell>
          <cell r="V1387" t="str">
            <v>PAN 2kg</v>
          </cell>
          <cell r="W1387" t="str">
            <v>Ajuste</v>
          </cell>
          <cell r="X1387">
            <v>30</v>
          </cell>
          <cell r="Y1387">
            <v>60</v>
          </cell>
        </row>
        <row r="1388">
          <cell r="U1388" t="str">
            <v>L104017</v>
          </cell>
          <cell r="V1388" t="str">
            <v>PAN 2kg</v>
          </cell>
          <cell r="W1388" t="str">
            <v>Ajuste</v>
          </cell>
          <cell r="X1388">
            <v>28</v>
          </cell>
          <cell r="Y1388">
            <v>56</v>
          </cell>
        </row>
        <row r="1389">
          <cell r="U1389" t="str">
            <v>L104024</v>
          </cell>
          <cell r="V1389" t="str">
            <v>PAN 2kg</v>
          </cell>
          <cell r="W1389" t="str">
            <v>Ajuste</v>
          </cell>
          <cell r="X1389">
            <v>2</v>
          </cell>
          <cell r="Y1389">
            <v>4</v>
          </cell>
        </row>
        <row r="1390">
          <cell r="U1390" t="str">
            <v>L104110</v>
          </cell>
          <cell r="V1390" t="str">
            <v>PAN 2kg</v>
          </cell>
          <cell r="W1390" t="str">
            <v>Ajuste</v>
          </cell>
          <cell r="X1390">
            <v>10</v>
          </cell>
          <cell r="Y1390">
            <v>20</v>
          </cell>
        </row>
        <row r="1391">
          <cell r="U1391" t="str">
            <v>L104117</v>
          </cell>
          <cell r="V1391" t="str">
            <v>PAN 2kg</v>
          </cell>
          <cell r="W1391" t="str">
            <v>Ajuste</v>
          </cell>
          <cell r="X1391">
            <v>4</v>
          </cell>
          <cell r="Y1391">
            <v>8</v>
          </cell>
        </row>
        <row r="1392">
          <cell r="U1392" t="str">
            <v>L104172</v>
          </cell>
          <cell r="V1392" t="str">
            <v>PAN 2kg</v>
          </cell>
          <cell r="W1392" t="str">
            <v>Ajuste</v>
          </cell>
          <cell r="X1392">
            <v>2</v>
          </cell>
          <cell r="Y1392">
            <v>4</v>
          </cell>
        </row>
        <row r="1393">
          <cell r="U1393" t="str">
            <v>L104177</v>
          </cell>
          <cell r="V1393" t="str">
            <v>PAN 2kg</v>
          </cell>
          <cell r="W1393" t="str">
            <v>Ajuste</v>
          </cell>
          <cell r="X1393">
            <v>6</v>
          </cell>
          <cell r="Y1393">
            <v>12</v>
          </cell>
        </row>
        <row r="1394">
          <cell r="U1394" t="str">
            <v>L104226</v>
          </cell>
          <cell r="V1394" t="str">
            <v>PAN 2kg</v>
          </cell>
          <cell r="W1394" t="str">
            <v>Ajuste</v>
          </cell>
          <cell r="X1394">
            <v>4</v>
          </cell>
          <cell r="Y1394">
            <v>8</v>
          </cell>
        </row>
        <row r="1395">
          <cell r="U1395" t="str">
            <v>L104231</v>
          </cell>
          <cell r="V1395" t="str">
            <v>PAN 2kg</v>
          </cell>
          <cell r="W1395" t="str">
            <v>Ajuste</v>
          </cell>
          <cell r="X1395">
            <v>6</v>
          </cell>
          <cell r="Y1395">
            <v>12</v>
          </cell>
        </row>
        <row r="1396">
          <cell r="U1396" t="str">
            <v>L104342</v>
          </cell>
          <cell r="V1396" t="str">
            <v>PAN 2kg</v>
          </cell>
          <cell r="W1396" t="str">
            <v>Ajuste</v>
          </cell>
          <cell r="X1396">
            <v>4</v>
          </cell>
          <cell r="Y1396">
            <v>8</v>
          </cell>
        </row>
        <row r="1397">
          <cell r="U1397" t="str">
            <v>L104347</v>
          </cell>
          <cell r="V1397" t="str">
            <v>PAN 2kg</v>
          </cell>
          <cell r="W1397" t="str">
            <v>Ajuste</v>
          </cell>
          <cell r="X1397">
            <v>8</v>
          </cell>
          <cell r="Y1397">
            <v>16</v>
          </cell>
        </row>
        <row r="1398">
          <cell r="U1398" t="str">
            <v>L104383</v>
          </cell>
          <cell r="V1398" t="str">
            <v>PAN 2kg</v>
          </cell>
          <cell r="W1398" t="str">
            <v>Ajuste</v>
          </cell>
          <cell r="X1398">
            <v>10</v>
          </cell>
          <cell r="Y1398">
            <v>20</v>
          </cell>
        </row>
        <row r="1399">
          <cell r="U1399" t="str">
            <v>L104411</v>
          </cell>
          <cell r="V1399" t="str">
            <v>PAN 2kg</v>
          </cell>
          <cell r="W1399" t="str">
            <v>Ajuste</v>
          </cell>
          <cell r="X1399">
            <v>24</v>
          </cell>
          <cell r="Y1399">
            <v>48</v>
          </cell>
        </row>
        <row r="1400">
          <cell r="U1400" t="str">
            <v>L104424</v>
          </cell>
          <cell r="V1400" t="str">
            <v>PAN 2kg</v>
          </cell>
          <cell r="W1400" t="str">
            <v>Ajuste</v>
          </cell>
          <cell r="X1400">
            <v>14</v>
          </cell>
          <cell r="Y1400">
            <v>28</v>
          </cell>
        </row>
        <row r="1401">
          <cell r="U1401" t="str">
            <v>L104445</v>
          </cell>
          <cell r="V1401" t="str">
            <v>PAN 2kg</v>
          </cell>
          <cell r="W1401" t="str">
            <v>Ajuste</v>
          </cell>
          <cell r="X1401">
            <v>2</v>
          </cell>
          <cell r="Y1401">
            <v>4</v>
          </cell>
        </row>
        <row r="1402">
          <cell r="U1402" t="str">
            <v>L104446</v>
          </cell>
          <cell r="V1402" t="str">
            <v>PAN 2kg</v>
          </cell>
          <cell r="W1402" t="str">
            <v>Ajuste</v>
          </cell>
          <cell r="X1402">
            <v>34</v>
          </cell>
          <cell r="Y1402">
            <v>68</v>
          </cell>
        </row>
        <row r="1403">
          <cell r="U1403" t="str">
            <v>L104448</v>
          </cell>
          <cell r="V1403" t="str">
            <v>PAN 2kg</v>
          </cell>
          <cell r="W1403" t="str">
            <v>Ajuste</v>
          </cell>
          <cell r="X1403">
            <v>2</v>
          </cell>
          <cell r="Y1403">
            <v>4</v>
          </cell>
        </row>
        <row r="1404">
          <cell r="U1404" t="str">
            <v>L104485</v>
          </cell>
          <cell r="V1404" t="str">
            <v>PAN 2kg</v>
          </cell>
          <cell r="W1404" t="str">
            <v>Ajuste</v>
          </cell>
          <cell r="X1404">
            <v>10</v>
          </cell>
          <cell r="Y1404">
            <v>20</v>
          </cell>
        </row>
        <row r="1405">
          <cell r="U1405" t="str">
            <v>L104490</v>
          </cell>
          <cell r="V1405" t="str">
            <v>PAN 2kg</v>
          </cell>
          <cell r="W1405" t="str">
            <v>Ajuste</v>
          </cell>
          <cell r="X1405">
            <v>2</v>
          </cell>
          <cell r="Y1405">
            <v>4</v>
          </cell>
        </row>
        <row r="1406">
          <cell r="U1406" t="str">
            <v>L104493</v>
          </cell>
          <cell r="V1406" t="str">
            <v>PAN 2kg</v>
          </cell>
          <cell r="W1406" t="str">
            <v>Ajuste</v>
          </cell>
          <cell r="X1406">
            <v>14</v>
          </cell>
          <cell r="Y1406">
            <v>28</v>
          </cell>
        </row>
        <row r="1407">
          <cell r="U1407" t="str">
            <v>L104500</v>
          </cell>
          <cell r="V1407" t="str">
            <v>PAN 2kg</v>
          </cell>
          <cell r="W1407" t="str">
            <v>Ajuste</v>
          </cell>
          <cell r="X1407">
            <v>8</v>
          </cell>
          <cell r="Y1407">
            <v>16</v>
          </cell>
        </row>
        <row r="1408">
          <cell r="U1408" t="str">
            <v>L104536</v>
          </cell>
          <cell r="V1408" t="str">
            <v>PAN 2kg</v>
          </cell>
          <cell r="W1408" t="str">
            <v>Ajuste</v>
          </cell>
          <cell r="X1408">
            <v>10</v>
          </cell>
          <cell r="Y1408">
            <v>20</v>
          </cell>
        </row>
        <row r="1409">
          <cell r="U1409" t="str">
            <v>L104537</v>
          </cell>
          <cell r="V1409" t="str">
            <v>PAN 2kg</v>
          </cell>
          <cell r="W1409" t="str">
            <v>Ajuste</v>
          </cell>
          <cell r="X1409">
            <v>2</v>
          </cell>
          <cell r="Y1409">
            <v>4</v>
          </cell>
        </row>
        <row r="1410">
          <cell r="U1410" t="str">
            <v>L104692</v>
          </cell>
          <cell r="V1410" t="str">
            <v>PAN 2kg</v>
          </cell>
          <cell r="W1410" t="str">
            <v>Ajuste</v>
          </cell>
          <cell r="X1410">
            <v>64</v>
          </cell>
          <cell r="Y1410">
            <v>128</v>
          </cell>
        </row>
        <row r="1411">
          <cell r="U1411" t="str">
            <v>L103957</v>
          </cell>
          <cell r="V1411" t="str">
            <v>PAN 5kg-CAJA</v>
          </cell>
          <cell r="W1411" t="str">
            <v>Ajuste</v>
          </cell>
          <cell r="X1411">
            <v>8</v>
          </cell>
          <cell r="Y1411">
            <v>40</v>
          </cell>
        </row>
        <row r="1412">
          <cell r="U1412" t="str">
            <v>L104759</v>
          </cell>
          <cell r="V1412" t="str">
            <v>PAPSZD 1kg</v>
          </cell>
          <cell r="W1412" t="str">
            <v>Ajuste</v>
          </cell>
          <cell r="X1412">
            <v>900</v>
          </cell>
          <cell r="Y1412">
            <v>900</v>
          </cell>
        </row>
        <row r="1413">
          <cell r="U1413" t="str">
            <v>L103795</v>
          </cell>
          <cell r="V1413" t="str">
            <v>PASTV 2kg</v>
          </cell>
          <cell r="W1413" t="str">
            <v>Ajuste</v>
          </cell>
          <cell r="X1413">
            <v>10</v>
          </cell>
          <cell r="Y1413">
            <v>20</v>
          </cell>
        </row>
        <row r="1414">
          <cell r="U1414" t="str">
            <v>L103809</v>
          </cell>
          <cell r="V1414" t="str">
            <v>PASTV 2kg</v>
          </cell>
          <cell r="W1414" t="str">
            <v>Ajuste</v>
          </cell>
          <cell r="X1414">
            <v>24</v>
          </cell>
          <cell r="Y1414">
            <v>48</v>
          </cell>
        </row>
        <row r="1415">
          <cell r="U1415" t="str">
            <v>L103854</v>
          </cell>
          <cell r="V1415" t="str">
            <v>PASTV 2kg</v>
          </cell>
          <cell r="W1415" t="str">
            <v>Ajuste</v>
          </cell>
          <cell r="X1415">
            <v>18</v>
          </cell>
          <cell r="Y1415">
            <v>36</v>
          </cell>
        </row>
        <row r="1416">
          <cell r="U1416" t="str">
            <v>L103857</v>
          </cell>
          <cell r="V1416" t="str">
            <v>PASTV 2kg</v>
          </cell>
          <cell r="W1416" t="str">
            <v>Ajuste</v>
          </cell>
          <cell r="X1416">
            <v>14</v>
          </cell>
          <cell r="Y1416">
            <v>28</v>
          </cell>
        </row>
        <row r="1417">
          <cell r="U1417" t="str">
            <v>L103866</v>
          </cell>
          <cell r="V1417" t="str">
            <v>PASTV 2kg</v>
          </cell>
          <cell r="W1417" t="str">
            <v>Ajuste</v>
          </cell>
          <cell r="X1417">
            <v>2</v>
          </cell>
          <cell r="Y1417">
            <v>4</v>
          </cell>
        </row>
        <row r="1418">
          <cell r="U1418" t="str">
            <v>L103902</v>
          </cell>
          <cell r="V1418" t="str">
            <v>PASTV 2kg</v>
          </cell>
          <cell r="W1418" t="str">
            <v>Ajuste</v>
          </cell>
          <cell r="X1418">
            <v>8</v>
          </cell>
          <cell r="Y1418">
            <v>16</v>
          </cell>
        </row>
        <row r="1419">
          <cell r="U1419" t="str">
            <v>L103911</v>
          </cell>
          <cell r="V1419" t="str">
            <v>PASTV 2kg</v>
          </cell>
          <cell r="W1419" t="str">
            <v>Ajuste</v>
          </cell>
          <cell r="X1419">
            <v>2</v>
          </cell>
          <cell r="Y1419">
            <v>4</v>
          </cell>
        </row>
        <row r="1420">
          <cell r="U1420" t="str">
            <v>L104009</v>
          </cell>
          <cell r="V1420" t="str">
            <v>PASTV 2kg</v>
          </cell>
          <cell r="W1420" t="str">
            <v>Ajuste</v>
          </cell>
          <cell r="X1420">
            <v>20</v>
          </cell>
          <cell r="Y1420">
            <v>40</v>
          </cell>
        </row>
        <row r="1421">
          <cell r="U1421" t="str">
            <v>L104026</v>
          </cell>
          <cell r="V1421" t="str">
            <v>PASTV 2kg</v>
          </cell>
          <cell r="W1421" t="str">
            <v>Ajuste</v>
          </cell>
          <cell r="X1421">
            <v>6</v>
          </cell>
          <cell r="Y1421">
            <v>12</v>
          </cell>
        </row>
        <row r="1422">
          <cell r="U1422" t="str">
            <v>L104104</v>
          </cell>
          <cell r="V1422" t="str">
            <v>PASTV 2kg</v>
          </cell>
          <cell r="W1422" t="str">
            <v>Ajuste</v>
          </cell>
          <cell r="X1422">
            <v>10</v>
          </cell>
          <cell r="Y1422">
            <v>20</v>
          </cell>
        </row>
        <row r="1423">
          <cell r="U1423" t="str">
            <v>L104109</v>
          </cell>
          <cell r="V1423" t="str">
            <v>PASTV 2kg</v>
          </cell>
          <cell r="W1423" t="str">
            <v>Ajuste</v>
          </cell>
          <cell r="X1423">
            <v>14</v>
          </cell>
          <cell r="Y1423">
            <v>28</v>
          </cell>
        </row>
        <row r="1424">
          <cell r="U1424" t="str">
            <v>L104116</v>
          </cell>
          <cell r="V1424" t="str">
            <v>PASTV 2kg</v>
          </cell>
          <cell r="W1424" t="str">
            <v>Ajuste</v>
          </cell>
          <cell r="X1424">
            <v>40</v>
          </cell>
          <cell r="Y1424">
            <v>80</v>
          </cell>
        </row>
        <row r="1425">
          <cell r="U1425" t="str">
            <v>L104171</v>
          </cell>
          <cell r="V1425" t="str">
            <v>PASTV 2kg</v>
          </cell>
          <cell r="W1425" t="str">
            <v>Ajuste</v>
          </cell>
          <cell r="X1425">
            <v>14</v>
          </cell>
          <cell r="Y1425">
            <v>28</v>
          </cell>
        </row>
        <row r="1426">
          <cell r="U1426" t="str">
            <v>L104173</v>
          </cell>
          <cell r="V1426" t="str">
            <v>PASTV 2kg</v>
          </cell>
          <cell r="W1426" t="str">
            <v>Ajuste</v>
          </cell>
          <cell r="X1426">
            <v>40</v>
          </cell>
          <cell r="Y1426">
            <v>80</v>
          </cell>
        </row>
        <row r="1427">
          <cell r="U1427" t="str">
            <v>L104176</v>
          </cell>
          <cell r="V1427" t="str">
            <v>PASTV 2kg</v>
          </cell>
          <cell r="W1427" t="str">
            <v>Ajuste</v>
          </cell>
          <cell r="X1427">
            <v>14</v>
          </cell>
          <cell r="Y1427">
            <v>28</v>
          </cell>
        </row>
        <row r="1428">
          <cell r="U1428" t="str">
            <v>L104225</v>
          </cell>
          <cell r="V1428" t="str">
            <v>PASTV 2kg</v>
          </cell>
          <cell r="W1428" t="str">
            <v>Ajuste</v>
          </cell>
          <cell r="X1428">
            <v>6</v>
          </cell>
          <cell r="Y1428">
            <v>12</v>
          </cell>
        </row>
        <row r="1429">
          <cell r="U1429" t="str">
            <v>L104230</v>
          </cell>
          <cell r="V1429" t="str">
            <v>PASTV 2kg</v>
          </cell>
          <cell r="W1429" t="str">
            <v>Ajuste</v>
          </cell>
          <cell r="X1429">
            <v>16</v>
          </cell>
          <cell r="Y1429">
            <v>32</v>
          </cell>
        </row>
        <row r="1430">
          <cell r="U1430" t="str">
            <v>L104345</v>
          </cell>
          <cell r="V1430" t="str">
            <v>PASTV 2kg</v>
          </cell>
          <cell r="W1430" t="str">
            <v>Ajuste</v>
          </cell>
          <cell r="X1430">
            <v>6</v>
          </cell>
          <cell r="Y1430">
            <v>12</v>
          </cell>
        </row>
        <row r="1431">
          <cell r="U1431" t="str">
            <v>L104384</v>
          </cell>
          <cell r="V1431" t="str">
            <v>PASTV 2kg</v>
          </cell>
          <cell r="W1431" t="str">
            <v>Ajuste</v>
          </cell>
          <cell r="X1431">
            <v>12</v>
          </cell>
          <cell r="Y1431">
            <v>24</v>
          </cell>
        </row>
        <row r="1432">
          <cell r="U1432" t="str">
            <v>L104414</v>
          </cell>
          <cell r="V1432" t="str">
            <v>PASTV 2kg</v>
          </cell>
          <cell r="W1432" t="str">
            <v>Ajuste</v>
          </cell>
          <cell r="X1432">
            <v>34</v>
          </cell>
          <cell r="Y1432">
            <v>68</v>
          </cell>
        </row>
        <row r="1433">
          <cell r="U1433" t="str">
            <v>L104423</v>
          </cell>
          <cell r="V1433" t="str">
            <v>PASTV 2kg</v>
          </cell>
          <cell r="W1433" t="str">
            <v>Ajuste</v>
          </cell>
          <cell r="X1433">
            <v>26</v>
          </cell>
          <cell r="Y1433">
            <v>52</v>
          </cell>
        </row>
        <row r="1434">
          <cell r="U1434" t="str">
            <v>L104441</v>
          </cell>
          <cell r="V1434" t="str">
            <v>PASTV 2kg</v>
          </cell>
          <cell r="W1434" t="str">
            <v>Ajuste</v>
          </cell>
          <cell r="X1434">
            <v>34</v>
          </cell>
          <cell r="Y1434">
            <v>68</v>
          </cell>
        </row>
        <row r="1435">
          <cell r="U1435" t="str">
            <v>L104442</v>
          </cell>
          <cell r="V1435" t="str">
            <v>PASTV 2kg</v>
          </cell>
          <cell r="W1435" t="str">
            <v>Ajuste</v>
          </cell>
          <cell r="X1435">
            <v>74</v>
          </cell>
          <cell r="Y1435">
            <v>148</v>
          </cell>
        </row>
        <row r="1436">
          <cell r="U1436" t="str">
            <v>L104444</v>
          </cell>
          <cell r="V1436" t="str">
            <v>PASTV 2kg</v>
          </cell>
          <cell r="W1436" t="str">
            <v>Ajuste</v>
          </cell>
          <cell r="X1436">
            <v>30</v>
          </cell>
          <cell r="Y1436">
            <v>60</v>
          </cell>
        </row>
        <row r="1437">
          <cell r="U1437" t="str">
            <v>L104484</v>
          </cell>
          <cell r="V1437" t="str">
            <v>PASTV 2kg</v>
          </cell>
          <cell r="W1437" t="str">
            <v>Ajuste</v>
          </cell>
          <cell r="X1437">
            <v>30</v>
          </cell>
          <cell r="Y1437">
            <v>60</v>
          </cell>
        </row>
        <row r="1438">
          <cell r="U1438" t="str">
            <v>L104491</v>
          </cell>
          <cell r="V1438" t="str">
            <v>PASTV 2kg</v>
          </cell>
          <cell r="W1438" t="str">
            <v>Ajuste</v>
          </cell>
          <cell r="X1438">
            <v>2</v>
          </cell>
          <cell r="Y1438">
            <v>4</v>
          </cell>
        </row>
        <row r="1439">
          <cell r="U1439" t="str">
            <v>L104499</v>
          </cell>
          <cell r="V1439" t="str">
            <v>PASTV 2kg</v>
          </cell>
          <cell r="W1439" t="str">
            <v>Ajuste</v>
          </cell>
          <cell r="X1439">
            <v>20</v>
          </cell>
          <cell r="Y1439">
            <v>40</v>
          </cell>
        </row>
        <row r="1440">
          <cell r="U1440" t="str">
            <v>L104675</v>
          </cell>
          <cell r="V1440" t="str">
            <v>PASTV 2kg</v>
          </cell>
          <cell r="W1440" t="str">
            <v>Ajuste</v>
          </cell>
          <cell r="X1440">
            <v>20</v>
          </cell>
          <cell r="Y1440">
            <v>40</v>
          </cell>
        </row>
        <row r="1441">
          <cell r="U1441" t="str">
            <v>L104684</v>
          </cell>
          <cell r="V1441" t="str">
            <v>PASTV 2kg</v>
          </cell>
          <cell r="W1441" t="str">
            <v>Ajuste</v>
          </cell>
          <cell r="X1441">
            <v>40</v>
          </cell>
          <cell r="Y1441">
            <v>80</v>
          </cell>
        </row>
        <row r="1442">
          <cell r="U1442" t="str">
            <v>L104709</v>
          </cell>
          <cell r="V1442" t="str">
            <v>PASTV 2kg</v>
          </cell>
          <cell r="W1442" t="str">
            <v>Ajuste</v>
          </cell>
          <cell r="X1442">
            <v>2</v>
          </cell>
          <cell r="Y1442">
            <v>4</v>
          </cell>
        </row>
        <row r="1443">
          <cell r="U1443" t="str">
            <v>L104715</v>
          </cell>
          <cell r="V1443" t="str">
            <v>PASTV 2kg</v>
          </cell>
          <cell r="W1443" t="str">
            <v>Ajuste</v>
          </cell>
          <cell r="X1443">
            <v>20</v>
          </cell>
          <cell r="Y1443">
            <v>40</v>
          </cell>
        </row>
        <row r="1444">
          <cell r="U1444" t="str">
            <v>L104720</v>
          </cell>
          <cell r="V1444" t="str">
            <v>PASTV 2kg</v>
          </cell>
          <cell r="W1444" t="str">
            <v>Ajuste</v>
          </cell>
          <cell r="X1444">
            <v>14</v>
          </cell>
          <cell r="Y1444">
            <v>28</v>
          </cell>
        </row>
        <row r="1445">
          <cell r="U1445" t="str">
            <v>l104733</v>
          </cell>
          <cell r="V1445" t="str">
            <v>PASTV 3kg</v>
          </cell>
          <cell r="W1445" t="str">
            <v>Ajuste</v>
          </cell>
          <cell r="X1445">
            <v>12</v>
          </cell>
          <cell r="Y1445">
            <v>36</v>
          </cell>
        </row>
        <row r="1446">
          <cell r="U1446" t="str">
            <v>l104733</v>
          </cell>
          <cell r="V1446" t="str">
            <v>PASTVGT 1kg</v>
          </cell>
          <cell r="W1446" t="str">
            <v>Ajuste</v>
          </cell>
          <cell r="X1446">
            <v>6</v>
          </cell>
          <cell r="Y1446">
            <v>6</v>
          </cell>
        </row>
        <row r="1447">
          <cell r="U1447" t="str">
            <v>L103796</v>
          </cell>
          <cell r="V1447" t="str">
            <v>PASTV 3kg</v>
          </cell>
          <cell r="W1447" t="str">
            <v>Ajuste</v>
          </cell>
          <cell r="X1447">
            <v>14</v>
          </cell>
          <cell r="Y1447">
            <v>42</v>
          </cell>
        </row>
        <row r="1448">
          <cell r="U1448" t="str">
            <v>L103811</v>
          </cell>
          <cell r="V1448" t="str">
            <v>PASTV 3kg</v>
          </cell>
          <cell r="W1448" t="str">
            <v>Ajuste</v>
          </cell>
          <cell r="X1448">
            <v>38</v>
          </cell>
          <cell r="Y1448">
            <v>114</v>
          </cell>
        </row>
        <row r="1449">
          <cell r="U1449" t="str">
            <v>L103855</v>
          </cell>
          <cell r="V1449" t="str">
            <v>PASTV 3kg</v>
          </cell>
          <cell r="W1449" t="str">
            <v>Ajuste</v>
          </cell>
          <cell r="X1449">
            <v>52</v>
          </cell>
          <cell r="Y1449">
            <v>156</v>
          </cell>
        </row>
        <row r="1450">
          <cell r="U1450" t="str">
            <v>L103858</v>
          </cell>
          <cell r="V1450" t="str">
            <v>PASTV 3kg</v>
          </cell>
          <cell r="W1450" t="str">
            <v>Ajuste</v>
          </cell>
          <cell r="X1450">
            <v>8</v>
          </cell>
          <cell r="Y1450">
            <v>24</v>
          </cell>
        </row>
        <row r="1451">
          <cell r="U1451" t="str">
            <v>L103864</v>
          </cell>
          <cell r="V1451" t="str">
            <v>PASTV 3kg</v>
          </cell>
          <cell r="W1451" t="str">
            <v>Ajuste</v>
          </cell>
          <cell r="X1451">
            <v>22</v>
          </cell>
          <cell r="Y1451">
            <v>66</v>
          </cell>
        </row>
        <row r="1452">
          <cell r="U1452" t="str">
            <v>L103903</v>
          </cell>
          <cell r="V1452" t="str">
            <v>PASTV 3kg</v>
          </cell>
          <cell r="W1452" t="str">
            <v>Ajuste</v>
          </cell>
          <cell r="X1452">
            <v>10</v>
          </cell>
          <cell r="Y1452">
            <v>30</v>
          </cell>
        </row>
        <row r="1453">
          <cell r="U1453" t="str">
            <v>L104008</v>
          </cell>
          <cell r="V1453" t="str">
            <v>PASTV 3kg</v>
          </cell>
          <cell r="W1453" t="str">
            <v>Ajuste</v>
          </cell>
          <cell r="X1453">
            <v>2</v>
          </cell>
          <cell r="Y1453">
            <v>6</v>
          </cell>
        </row>
        <row r="1454">
          <cell r="U1454" t="str">
            <v>L104025</v>
          </cell>
          <cell r="V1454" t="str">
            <v>PASTV 3kg</v>
          </cell>
          <cell r="W1454" t="str">
            <v>Ajuste</v>
          </cell>
          <cell r="X1454">
            <v>22</v>
          </cell>
          <cell r="Y1454">
            <v>66</v>
          </cell>
        </row>
        <row r="1455">
          <cell r="U1455" t="str">
            <v>L104103</v>
          </cell>
          <cell r="V1455" t="str">
            <v>PASTV 3kg</v>
          </cell>
          <cell r="W1455" t="str">
            <v>Ajuste</v>
          </cell>
          <cell r="X1455">
            <v>22</v>
          </cell>
          <cell r="Y1455">
            <v>66</v>
          </cell>
        </row>
        <row r="1456">
          <cell r="U1456" t="str">
            <v>L104108</v>
          </cell>
          <cell r="V1456" t="str">
            <v>PASTV 3kg</v>
          </cell>
          <cell r="W1456" t="str">
            <v>Ajuste</v>
          </cell>
          <cell r="X1456">
            <v>22</v>
          </cell>
          <cell r="Y1456">
            <v>66</v>
          </cell>
        </row>
        <row r="1457">
          <cell r="U1457" t="str">
            <v>L104115</v>
          </cell>
          <cell r="V1457" t="str">
            <v>PASTV 3kg</v>
          </cell>
          <cell r="W1457" t="str">
            <v>Ajuste</v>
          </cell>
          <cell r="X1457">
            <v>20</v>
          </cell>
          <cell r="Y1457">
            <v>60</v>
          </cell>
        </row>
        <row r="1458">
          <cell r="U1458" t="str">
            <v>L104170</v>
          </cell>
          <cell r="V1458" t="str">
            <v>PASTV 3kg</v>
          </cell>
          <cell r="W1458" t="str">
            <v>Ajuste</v>
          </cell>
          <cell r="X1458">
            <v>6</v>
          </cell>
          <cell r="Y1458">
            <v>18</v>
          </cell>
        </row>
        <row r="1459">
          <cell r="U1459" t="str">
            <v>L104175</v>
          </cell>
          <cell r="V1459" t="str">
            <v>PASTV 3kg</v>
          </cell>
          <cell r="W1459" t="str">
            <v>Ajuste</v>
          </cell>
          <cell r="X1459">
            <v>34</v>
          </cell>
          <cell r="Y1459">
            <v>102</v>
          </cell>
        </row>
        <row r="1460">
          <cell r="U1460" t="str">
            <v>L104224</v>
          </cell>
          <cell r="V1460" t="str">
            <v>PASTV 3kg</v>
          </cell>
          <cell r="W1460" t="str">
            <v>Ajuste</v>
          </cell>
          <cell r="X1460">
            <v>12</v>
          </cell>
          <cell r="Y1460">
            <v>36</v>
          </cell>
        </row>
        <row r="1461">
          <cell r="U1461" t="str">
            <v>L104229</v>
          </cell>
          <cell r="V1461" t="str">
            <v>PASTV 3kg</v>
          </cell>
          <cell r="W1461" t="str">
            <v>Ajuste</v>
          </cell>
          <cell r="X1461">
            <v>54</v>
          </cell>
          <cell r="Y1461">
            <v>162</v>
          </cell>
        </row>
        <row r="1462">
          <cell r="U1462" t="str">
            <v>L104343</v>
          </cell>
          <cell r="V1462" t="str">
            <v>PASTV 3kg</v>
          </cell>
          <cell r="W1462" t="str">
            <v>Ajuste</v>
          </cell>
          <cell r="X1462">
            <v>14</v>
          </cell>
          <cell r="Y1462">
            <v>42</v>
          </cell>
        </row>
        <row r="1463">
          <cell r="U1463" t="str">
            <v>L104344</v>
          </cell>
          <cell r="V1463" t="str">
            <v>PASTV 3kg</v>
          </cell>
          <cell r="W1463" t="str">
            <v>Ajuste</v>
          </cell>
          <cell r="X1463">
            <v>32</v>
          </cell>
          <cell r="Y1463">
            <v>96</v>
          </cell>
        </row>
        <row r="1464">
          <cell r="U1464" t="str">
            <v>L104382</v>
          </cell>
          <cell r="V1464" t="str">
            <v>PASTV 3kg</v>
          </cell>
          <cell r="W1464" t="str">
            <v>Ajuste</v>
          </cell>
          <cell r="X1464">
            <v>38</v>
          </cell>
          <cell r="Y1464">
            <v>114</v>
          </cell>
        </row>
        <row r="1465">
          <cell r="U1465" t="str">
            <v>L104413</v>
          </cell>
          <cell r="V1465" t="str">
            <v>PASTV 3kg</v>
          </cell>
          <cell r="W1465" t="str">
            <v>Ajuste</v>
          </cell>
          <cell r="X1465">
            <v>10</v>
          </cell>
          <cell r="Y1465">
            <v>30</v>
          </cell>
        </row>
        <row r="1466">
          <cell r="U1466" t="str">
            <v>L104422</v>
          </cell>
          <cell r="V1466" t="str">
            <v>PASTV 3kg</v>
          </cell>
          <cell r="W1466" t="str">
            <v>Ajuste</v>
          </cell>
          <cell r="X1466">
            <v>12</v>
          </cell>
          <cell r="Y1466">
            <v>36</v>
          </cell>
        </row>
        <row r="1467">
          <cell r="U1467" t="str">
            <v>L104443</v>
          </cell>
          <cell r="V1467" t="str">
            <v>PASTV 3kg</v>
          </cell>
          <cell r="W1467" t="str">
            <v>Ajuste</v>
          </cell>
          <cell r="X1467">
            <v>20</v>
          </cell>
          <cell r="Y1467">
            <v>60</v>
          </cell>
        </row>
        <row r="1468">
          <cell r="U1468" t="str">
            <v>L104483</v>
          </cell>
          <cell r="V1468" t="str">
            <v>PASTV 3kg</v>
          </cell>
          <cell r="W1468" t="str">
            <v>Ajuste</v>
          </cell>
          <cell r="X1468">
            <v>16</v>
          </cell>
          <cell r="Y1468">
            <v>48</v>
          </cell>
        </row>
        <row r="1469">
          <cell r="U1469" t="str">
            <v>L104498</v>
          </cell>
          <cell r="V1469" t="str">
            <v>PASTV 3kg</v>
          </cell>
          <cell r="W1469" t="str">
            <v>Ajuste</v>
          </cell>
          <cell r="X1469">
            <v>12</v>
          </cell>
          <cell r="Y1469">
            <v>36</v>
          </cell>
        </row>
        <row r="1470">
          <cell r="U1470" t="str">
            <v>L104007</v>
          </cell>
          <cell r="V1470" t="str">
            <v>PASTV 4kg</v>
          </cell>
          <cell r="W1470" t="str">
            <v>Ajuste</v>
          </cell>
          <cell r="X1470">
            <v>6</v>
          </cell>
          <cell r="Y1470">
            <v>24</v>
          </cell>
        </row>
        <row r="1471">
          <cell r="U1471" t="str">
            <v>L104114</v>
          </cell>
          <cell r="V1471" t="str">
            <v>PASTV 4kg</v>
          </cell>
          <cell r="W1471" t="str">
            <v>Ajuste</v>
          </cell>
          <cell r="X1471">
            <v>4</v>
          </cell>
          <cell r="Y1471">
            <v>16</v>
          </cell>
        </row>
        <row r="1472">
          <cell r="U1472" t="str">
            <v>L104346</v>
          </cell>
          <cell r="V1472" t="str">
            <v>PASTV 4kg</v>
          </cell>
          <cell r="W1472" t="str">
            <v>Ajuste</v>
          </cell>
          <cell r="X1472">
            <v>2</v>
          </cell>
          <cell r="Y1472">
            <v>8</v>
          </cell>
        </row>
        <row r="1473">
          <cell r="U1473" t="str">
            <v>L104440</v>
          </cell>
          <cell r="V1473" t="str">
            <v>PASTV 4kg</v>
          </cell>
          <cell r="W1473" t="str">
            <v>Ajuste</v>
          </cell>
          <cell r="X1473">
            <v>2</v>
          </cell>
          <cell r="Y1473">
            <v>8</v>
          </cell>
        </row>
        <row r="1474">
          <cell r="U1474" t="str">
            <v>L104258</v>
          </cell>
          <cell r="V1474" t="str">
            <v>PASTVGT 2kg</v>
          </cell>
          <cell r="W1474" t="str">
            <v>Ajuste</v>
          </cell>
          <cell r="X1474">
            <v>4</v>
          </cell>
          <cell r="Y1474">
            <v>8</v>
          </cell>
        </row>
        <row r="1475">
          <cell r="U1475" t="str">
            <v>L104482</v>
          </cell>
          <cell r="V1475" t="str">
            <v>PASTVGT 2kg</v>
          </cell>
          <cell r="W1475" t="str">
            <v>Ajuste</v>
          </cell>
          <cell r="X1475">
            <v>2</v>
          </cell>
          <cell r="Y1475">
            <v>4</v>
          </cell>
        </row>
        <row r="1476">
          <cell r="U1476" t="str">
            <v>L104338</v>
          </cell>
          <cell r="V1476" t="str">
            <v>PCDP 13 Kg Bolsa</v>
          </cell>
          <cell r="W1476" t="str">
            <v>Ajuste</v>
          </cell>
          <cell r="X1476">
            <v>2</v>
          </cell>
          <cell r="Y1476">
            <v>26</v>
          </cell>
        </row>
        <row r="1477">
          <cell r="U1477" t="str">
            <v>L103805</v>
          </cell>
          <cell r="V1477" t="str">
            <v>PCK 2kg - CAJA</v>
          </cell>
          <cell r="W1477" t="str">
            <v>Ajuste</v>
          </cell>
          <cell r="X1477">
            <v>12</v>
          </cell>
          <cell r="Y1477">
            <v>24</v>
          </cell>
        </row>
        <row r="1478">
          <cell r="U1478" t="str">
            <v>L104055</v>
          </cell>
          <cell r="V1478" t="str">
            <v>PCK 2kg - CAJA</v>
          </cell>
          <cell r="W1478" t="str">
            <v>Ajuste</v>
          </cell>
          <cell r="X1478">
            <v>4</v>
          </cell>
          <cell r="Y1478">
            <v>8</v>
          </cell>
        </row>
        <row r="1479">
          <cell r="U1479" t="str">
            <v>L104056</v>
          </cell>
          <cell r="V1479" t="str">
            <v>PCK 2kg - CAJA</v>
          </cell>
          <cell r="W1479" t="str">
            <v>Ajuste</v>
          </cell>
          <cell r="X1479">
            <v>6</v>
          </cell>
          <cell r="Y1479">
            <v>12</v>
          </cell>
        </row>
        <row r="1480">
          <cell r="U1480" t="str">
            <v>L104408</v>
          </cell>
          <cell r="V1480" t="str">
            <v>PCK 2kg - CAJA</v>
          </cell>
          <cell r="W1480" t="str">
            <v>Ajuste</v>
          </cell>
          <cell r="X1480">
            <v>12</v>
          </cell>
          <cell r="Y1480">
            <v>24</v>
          </cell>
        </row>
        <row r="1481">
          <cell r="U1481" t="str">
            <v>L104410</v>
          </cell>
          <cell r="V1481" t="str">
            <v>PCK 2kg - CAJA</v>
          </cell>
          <cell r="W1481" t="str">
            <v>Ajuste</v>
          </cell>
          <cell r="X1481">
            <v>2</v>
          </cell>
          <cell r="Y1481">
            <v>4</v>
          </cell>
        </row>
        <row r="1482">
          <cell r="U1482" t="str">
            <v>L104599</v>
          </cell>
          <cell r="V1482" t="str">
            <v>PCK 2kg - CAJA</v>
          </cell>
          <cell r="W1482" t="str">
            <v>Ajuste</v>
          </cell>
          <cell r="X1482">
            <v>4</v>
          </cell>
          <cell r="Y1482">
            <v>8</v>
          </cell>
        </row>
        <row r="1483">
          <cell r="U1483" t="str">
            <v>L104736</v>
          </cell>
          <cell r="V1483" t="str">
            <v>PCK 2kg - CAJA</v>
          </cell>
          <cell r="W1483" t="str">
            <v>Ajuste</v>
          </cell>
          <cell r="X1483">
            <v>4</v>
          </cell>
          <cell r="Y1483">
            <v>8</v>
          </cell>
        </row>
        <row r="1484">
          <cell r="U1484" t="str">
            <v>L104818</v>
          </cell>
          <cell r="V1484" t="str">
            <v>PCK 2kg - CAJA</v>
          </cell>
          <cell r="W1484" t="str">
            <v>Ajuste</v>
          </cell>
          <cell r="X1484">
            <v>2</v>
          </cell>
          <cell r="Y1484">
            <v>4</v>
          </cell>
        </row>
        <row r="1485">
          <cell r="U1485" t="str">
            <v>L104013</v>
          </cell>
          <cell r="V1485" t="str">
            <v>PFC 2KG - BOLSA</v>
          </cell>
          <cell r="W1485" t="str">
            <v>Ajuste</v>
          </cell>
          <cell r="X1485">
            <v>112</v>
          </cell>
          <cell r="Y1485">
            <v>224</v>
          </cell>
        </row>
        <row r="1486">
          <cell r="U1486" t="str">
            <v>L103815</v>
          </cell>
          <cell r="V1486" t="str">
            <v>PFC 2KG - BOLSA</v>
          </cell>
          <cell r="W1486" t="str">
            <v>Ajuste</v>
          </cell>
          <cell r="X1486">
            <v>92</v>
          </cell>
          <cell r="Y1486">
            <v>184</v>
          </cell>
        </row>
        <row r="1487">
          <cell r="U1487" t="str">
            <v>L103829</v>
          </cell>
          <cell r="V1487" t="str">
            <v>PFC 2KG - BOLSA</v>
          </cell>
          <cell r="W1487" t="str">
            <v>Ajuste</v>
          </cell>
          <cell r="X1487">
            <v>52</v>
          </cell>
          <cell r="Y1487">
            <v>104</v>
          </cell>
        </row>
        <row r="1488">
          <cell r="U1488" t="str">
            <v>L103912</v>
          </cell>
          <cell r="V1488" t="str">
            <v>PFC 2KG - BOLSA</v>
          </cell>
          <cell r="W1488" t="str">
            <v>Ajuste</v>
          </cell>
          <cell r="X1488">
            <v>50</v>
          </cell>
          <cell r="Y1488">
            <v>100</v>
          </cell>
        </row>
        <row r="1489">
          <cell r="U1489" t="str">
            <v>L104329</v>
          </cell>
          <cell r="V1489" t="str">
            <v>PFC 2KG - BOLSA</v>
          </cell>
          <cell r="W1489" t="str">
            <v>Ajuste</v>
          </cell>
          <cell r="X1489">
            <v>100</v>
          </cell>
          <cell r="Y1489">
            <v>200</v>
          </cell>
        </row>
        <row r="1490">
          <cell r="U1490" t="str">
            <v>L104690</v>
          </cell>
          <cell r="V1490" t="str">
            <v>PFC 2KG - BOLSA</v>
          </cell>
          <cell r="W1490" t="str">
            <v>Ajuste</v>
          </cell>
          <cell r="X1490">
            <v>80</v>
          </cell>
          <cell r="Y1490">
            <v>160</v>
          </cell>
        </row>
        <row r="1491">
          <cell r="U1491" t="str">
            <v>L103816</v>
          </cell>
          <cell r="V1491" t="str">
            <v>PFC 3KG - CAJA</v>
          </cell>
          <cell r="W1491" t="str">
            <v>Ajuste</v>
          </cell>
          <cell r="X1491">
            <v>2</v>
          </cell>
          <cell r="Y1491">
            <v>6</v>
          </cell>
        </row>
        <row r="1492">
          <cell r="U1492" t="str">
            <v>L103830</v>
          </cell>
          <cell r="V1492" t="str">
            <v>PFC 3KG - CAJA</v>
          </cell>
          <cell r="W1492" t="str">
            <v>Ajuste</v>
          </cell>
          <cell r="X1492">
            <v>2</v>
          </cell>
          <cell r="Y1492">
            <v>6</v>
          </cell>
        </row>
        <row r="1493">
          <cell r="U1493" t="str">
            <v>L103913</v>
          </cell>
          <cell r="V1493" t="str">
            <v>PFC 3KG - CAJA</v>
          </cell>
          <cell r="W1493" t="str">
            <v>Ajuste</v>
          </cell>
          <cell r="X1493">
            <v>2</v>
          </cell>
          <cell r="Y1493">
            <v>6</v>
          </cell>
        </row>
        <row r="1494">
          <cell r="U1494" t="str">
            <v>L104330</v>
          </cell>
          <cell r="V1494" t="str">
            <v>PFC 3KG - CAJA</v>
          </cell>
          <cell r="W1494" t="str">
            <v>Ajuste</v>
          </cell>
          <cell r="X1494">
            <v>2</v>
          </cell>
          <cell r="Y1494">
            <v>6</v>
          </cell>
        </row>
        <row r="1495">
          <cell r="U1495" t="str">
            <v>L104691</v>
          </cell>
          <cell r="V1495" t="str">
            <v>PFC 3KG - CAJA</v>
          </cell>
          <cell r="W1495" t="str">
            <v>Ajuste</v>
          </cell>
          <cell r="X1495">
            <v>2</v>
          </cell>
          <cell r="Y1495">
            <v>6</v>
          </cell>
        </row>
        <row r="1496">
          <cell r="U1496" t="str">
            <v>L104113</v>
          </cell>
          <cell r="V1496" t="str">
            <v>PFC 5KG - CAJA</v>
          </cell>
          <cell r="W1496" t="str">
            <v>Ajuste</v>
          </cell>
          <cell r="X1496">
            <v>2</v>
          </cell>
          <cell r="Y1496">
            <v>10</v>
          </cell>
        </row>
        <row r="1497">
          <cell r="U1497" t="str">
            <v>L103843</v>
          </cell>
          <cell r="V1497" t="str">
            <v>PH 1kg</v>
          </cell>
          <cell r="W1497" t="str">
            <v>Ajuste</v>
          </cell>
          <cell r="X1497">
            <v>10</v>
          </cell>
          <cell r="Y1497">
            <v>10</v>
          </cell>
        </row>
        <row r="1498">
          <cell r="U1498" t="str">
            <v>L104155</v>
          </cell>
          <cell r="V1498" t="str">
            <v>PH 1kg</v>
          </cell>
          <cell r="W1498" t="str">
            <v>Ajuste</v>
          </cell>
          <cell r="X1498">
            <v>14</v>
          </cell>
          <cell r="Y1498">
            <v>14</v>
          </cell>
        </row>
        <row r="1499">
          <cell r="U1499" t="str">
            <v>L104219</v>
          </cell>
          <cell r="V1499" t="str">
            <v>PH 1kg</v>
          </cell>
          <cell r="W1499" t="str">
            <v>Ajuste</v>
          </cell>
          <cell r="X1499">
            <v>10</v>
          </cell>
          <cell r="Y1499">
            <v>10</v>
          </cell>
        </row>
        <row r="1500">
          <cell r="U1500" t="str">
            <v>L104761</v>
          </cell>
          <cell r="V1500" t="str">
            <v>PH 1kg</v>
          </cell>
          <cell r="W1500" t="str">
            <v>Ajuste</v>
          </cell>
          <cell r="X1500">
            <v>24</v>
          </cell>
          <cell r="Y1500">
            <v>24</v>
          </cell>
        </row>
        <row r="1501">
          <cell r="U1501" t="str">
            <v>L103846</v>
          </cell>
          <cell r="V1501" t="str">
            <v>PMP 1kg-CAJA</v>
          </cell>
          <cell r="W1501" t="str">
            <v>Ajuste</v>
          </cell>
          <cell r="X1501">
            <v>4</v>
          </cell>
          <cell r="Y1501">
            <v>4</v>
          </cell>
        </row>
        <row r="1502">
          <cell r="U1502" t="str">
            <v>L104227</v>
          </cell>
          <cell r="V1502" t="str">
            <v>PMP 1kg-CAJA</v>
          </cell>
          <cell r="W1502" t="str">
            <v>Ajuste</v>
          </cell>
          <cell r="X1502">
            <v>10</v>
          </cell>
          <cell r="Y1502">
            <v>10</v>
          </cell>
        </row>
        <row r="1503">
          <cell r="U1503" t="str">
            <v>L104762</v>
          </cell>
          <cell r="V1503" t="str">
            <v>PMP 1kg-CAJA</v>
          </cell>
          <cell r="W1503" t="str">
            <v>Ajuste</v>
          </cell>
          <cell r="X1503">
            <v>10</v>
          </cell>
          <cell r="Y1503">
            <v>10</v>
          </cell>
        </row>
        <row r="1504">
          <cell r="U1504" t="str">
            <v>L104832</v>
          </cell>
          <cell r="V1504" t="str">
            <v>PNA 1kg-CAJA</v>
          </cell>
          <cell r="W1504" t="str">
            <v>Ajuste</v>
          </cell>
          <cell r="X1504">
            <v>16</v>
          </cell>
          <cell r="Y1504">
            <v>16</v>
          </cell>
        </row>
        <row r="1505">
          <cell r="U1505" t="str">
            <v>L104044</v>
          </cell>
          <cell r="V1505" t="str">
            <v>PNALT 5kg</v>
          </cell>
          <cell r="W1505" t="str">
            <v>Ajuste</v>
          </cell>
          <cell r="X1505">
            <v>4</v>
          </cell>
          <cell r="Y1505">
            <v>20</v>
          </cell>
        </row>
        <row r="1506">
          <cell r="U1506" t="str">
            <v>L104568</v>
          </cell>
          <cell r="V1506" t="str">
            <v>PNALT 5kg</v>
          </cell>
          <cell r="W1506" t="str">
            <v>Ajuste</v>
          </cell>
          <cell r="X1506">
            <v>4</v>
          </cell>
          <cell r="Y1506">
            <v>20</v>
          </cell>
        </row>
        <row r="1507">
          <cell r="U1507" t="str">
            <v>L104582</v>
          </cell>
          <cell r="V1507" t="str">
            <v>PNALT 5kg</v>
          </cell>
          <cell r="W1507" t="str">
            <v>Ajuste</v>
          </cell>
          <cell r="X1507">
            <v>1</v>
          </cell>
          <cell r="Y1507">
            <v>5</v>
          </cell>
        </row>
        <row r="1508">
          <cell r="U1508" t="str">
            <v>L104636</v>
          </cell>
          <cell r="V1508" t="str">
            <v>PNALT 5kg</v>
          </cell>
          <cell r="W1508" t="str">
            <v>Ajuste</v>
          </cell>
          <cell r="X1508">
            <v>6</v>
          </cell>
          <cell r="Y1508">
            <v>30</v>
          </cell>
        </row>
        <row r="1509">
          <cell r="U1509" t="str">
            <v>L104813</v>
          </cell>
          <cell r="V1509" t="str">
            <v>PNALT 5kg</v>
          </cell>
          <cell r="W1509" t="str">
            <v>Ajuste</v>
          </cell>
          <cell r="X1509">
            <v>2</v>
          </cell>
          <cell r="Y1509">
            <v>10</v>
          </cell>
        </row>
        <row r="1510">
          <cell r="U1510" t="str">
            <v>L104848</v>
          </cell>
          <cell r="V1510" t="str">
            <v>PNALT 5kg</v>
          </cell>
          <cell r="W1510" t="str">
            <v>Ajuste</v>
          </cell>
          <cell r="X1510">
            <v>2</v>
          </cell>
          <cell r="Y1510">
            <v>10</v>
          </cell>
        </row>
        <row r="1511">
          <cell r="U1511" t="str">
            <v>L104014</v>
          </cell>
          <cell r="V1511" t="str">
            <v>PNCH HUV 946ml</v>
          </cell>
          <cell r="W1511" t="str">
            <v>Ajuste</v>
          </cell>
          <cell r="X1511">
            <v>32</v>
          </cell>
          <cell r="Y1511">
            <v>30.399999999999991</v>
          </cell>
        </row>
        <row r="1512">
          <cell r="U1512" t="str">
            <v>L104433</v>
          </cell>
          <cell r="V1512" t="str">
            <v>PNCH HUV 946ml</v>
          </cell>
          <cell r="W1512" t="str">
            <v>Ajuste</v>
          </cell>
          <cell r="X1512">
            <v>20</v>
          </cell>
          <cell r="Y1512">
            <v>19</v>
          </cell>
        </row>
        <row r="1513">
          <cell r="U1513" t="str">
            <v>L103849</v>
          </cell>
          <cell r="V1513" t="str">
            <v>PPA 3kg-Paquete</v>
          </cell>
          <cell r="W1513" t="str">
            <v>Ajuste</v>
          </cell>
          <cell r="X1513">
            <v>4</v>
          </cell>
          <cell r="Y1513">
            <v>12</v>
          </cell>
        </row>
        <row r="1514">
          <cell r="U1514" t="str">
            <v>L103863</v>
          </cell>
          <cell r="V1514" t="str">
            <v>PRTZ UND</v>
          </cell>
          <cell r="W1514" t="str">
            <v>Ajuste</v>
          </cell>
          <cell r="X1514">
            <v>28</v>
          </cell>
          <cell r="Y1514">
            <v>28</v>
          </cell>
        </row>
        <row r="1515">
          <cell r="U1515" t="str">
            <v>L103900</v>
          </cell>
          <cell r="V1515" t="str">
            <v>PRTZ UND</v>
          </cell>
          <cell r="W1515" t="str">
            <v>Ajuste</v>
          </cell>
          <cell r="X1515">
            <v>12</v>
          </cell>
          <cell r="Y1515">
            <v>12</v>
          </cell>
        </row>
        <row r="1516">
          <cell r="U1516" t="str">
            <v>L104006</v>
          </cell>
          <cell r="V1516" t="str">
            <v>PRTZ UND</v>
          </cell>
          <cell r="W1516" t="str">
            <v>Ajuste</v>
          </cell>
          <cell r="X1516">
            <v>54</v>
          </cell>
          <cell r="Y1516">
            <v>54</v>
          </cell>
        </row>
        <row r="1517">
          <cell r="U1517" t="str">
            <v>L104088</v>
          </cell>
          <cell r="V1517" t="str">
            <v>PRTZ UND</v>
          </cell>
          <cell r="W1517" t="str">
            <v>Ajuste</v>
          </cell>
          <cell r="X1517">
            <v>16</v>
          </cell>
          <cell r="Y1517">
            <v>16</v>
          </cell>
        </row>
        <row r="1518">
          <cell r="U1518" t="str">
            <v>L104169</v>
          </cell>
          <cell r="V1518" t="str">
            <v>PRTZ UND</v>
          </cell>
          <cell r="W1518" t="str">
            <v>Ajuste</v>
          </cell>
          <cell r="X1518">
            <v>18</v>
          </cell>
          <cell r="Y1518">
            <v>18</v>
          </cell>
        </row>
        <row r="1519">
          <cell r="U1519" t="str">
            <v>L104174</v>
          </cell>
          <cell r="V1519" t="str">
            <v>PRTZ UND</v>
          </cell>
          <cell r="W1519" t="str">
            <v>Ajuste</v>
          </cell>
          <cell r="X1519">
            <v>62</v>
          </cell>
          <cell r="Y1519">
            <v>62</v>
          </cell>
        </row>
        <row r="1520">
          <cell r="U1520" t="str">
            <v>L104223</v>
          </cell>
          <cell r="V1520" t="str">
            <v>PRTZ UND</v>
          </cell>
          <cell r="W1520" t="str">
            <v>Ajuste</v>
          </cell>
          <cell r="X1520">
            <v>22</v>
          </cell>
          <cell r="Y1520">
            <v>22</v>
          </cell>
        </row>
        <row r="1521">
          <cell r="U1521" t="str">
            <v>L104420</v>
          </cell>
          <cell r="V1521" t="str">
            <v>PRTZ UND</v>
          </cell>
          <cell r="W1521" t="str">
            <v>Ajuste</v>
          </cell>
          <cell r="X1521">
            <v>38</v>
          </cell>
          <cell r="Y1521">
            <v>38</v>
          </cell>
        </row>
        <row r="1522">
          <cell r="U1522" t="str">
            <v>L104486</v>
          </cell>
          <cell r="V1522" t="str">
            <v>PRTZ UND</v>
          </cell>
          <cell r="W1522" t="str">
            <v>Ajuste</v>
          </cell>
          <cell r="X1522">
            <v>32</v>
          </cell>
          <cell r="Y1522">
            <v>32</v>
          </cell>
        </row>
        <row r="1523">
          <cell r="U1523" t="str">
            <v>L104494</v>
          </cell>
          <cell r="V1523" t="str">
            <v>PRTZ UND</v>
          </cell>
          <cell r="W1523" t="str">
            <v>Ajuste</v>
          </cell>
          <cell r="X1523">
            <v>16</v>
          </cell>
          <cell r="Y1523">
            <v>16</v>
          </cell>
        </row>
        <row r="1524">
          <cell r="U1524" t="str">
            <v>L104674</v>
          </cell>
          <cell r="V1524" t="str">
            <v>PRTZ UND</v>
          </cell>
          <cell r="W1524" t="str">
            <v>Ajuste</v>
          </cell>
          <cell r="X1524">
            <v>6</v>
          </cell>
          <cell r="Y1524">
            <v>6</v>
          </cell>
        </row>
        <row r="1525">
          <cell r="U1525" t="str">
            <v>L104682</v>
          </cell>
          <cell r="V1525" t="str">
            <v>PRTZ UND</v>
          </cell>
          <cell r="W1525" t="str">
            <v>Ajuste</v>
          </cell>
          <cell r="X1525">
            <v>18</v>
          </cell>
          <cell r="Y1525">
            <v>18</v>
          </cell>
        </row>
        <row r="1526">
          <cell r="U1526" t="str">
            <v>L104781</v>
          </cell>
          <cell r="V1526" t="str">
            <v>PRTZ UND</v>
          </cell>
          <cell r="W1526" t="str">
            <v>Ajuste</v>
          </cell>
          <cell r="X1526">
            <v>36</v>
          </cell>
          <cell r="Y1526">
            <v>36</v>
          </cell>
        </row>
        <row r="1527">
          <cell r="U1527" t="str">
            <v>L104785</v>
          </cell>
          <cell r="V1527" t="str">
            <v>PRTZ UND</v>
          </cell>
          <cell r="W1527" t="str">
            <v>Ajuste</v>
          </cell>
          <cell r="X1527">
            <v>20</v>
          </cell>
          <cell r="Y1527">
            <v>20</v>
          </cell>
        </row>
        <row r="1528">
          <cell r="U1528" t="str">
            <v>L104827</v>
          </cell>
          <cell r="V1528" t="str">
            <v>PRTZ UND</v>
          </cell>
          <cell r="W1528" t="str">
            <v>Ajuste</v>
          </cell>
          <cell r="X1528">
            <v>24</v>
          </cell>
          <cell r="Y1528">
            <v>24</v>
          </cell>
        </row>
        <row r="1529">
          <cell r="U1529" t="str">
            <v>L104835</v>
          </cell>
          <cell r="V1529" t="str">
            <v>PRTZ UND</v>
          </cell>
          <cell r="W1529" t="str">
            <v>Ajuste</v>
          </cell>
          <cell r="X1529">
            <v>14</v>
          </cell>
          <cell r="Y1529">
            <v>14</v>
          </cell>
        </row>
        <row r="1530">
          <cell r="U1530" t="str">
            <v>L104695</v>
          </cell>
          <cell r="V1530" t="str">
            <v>PRTZ UND</v>
          </cell>
          <cell r="W1530" t="str">
            <v>Ajuste</v>
          </cell>
          <cell r="X1530">
            <v>9</v>
          </cell>
          <cell r="Y1530">
            <v>9</v>
          </cell>
        </row>
        <row r="1531">
          <cell r="U1531" t="str">
            <v>L103882</v>
          </cell>
          <cell r="V1531" t="str">
            <v>PTD 1 kg</v>
          </cell>
          <cell r="W1531" t="str">
            <v>Ajuste</v>
          </cell>
          <cell r="X1531">
            <v>156</v>
          </cell>
          <cell r="Y1531">
            <v>156</v>
          </cell>
        </row>
        <row r="1532">
          <cell r="U1532" t="str">
            <v>L103884</v>
          </cell>
          <cell r="V1532" t="str">
            <v>PTD 1 kg</v>
          </cell>
          <cell r="W1532" t="str">
            <v>Ajuste</v>
          </cell>
          <cell r="X1532">
            <v>24</v>
          </cell>
          <cell r="Y1532">
            <v>24</v>
          </cell>
        </row>
        <row r="1533">
          <cell r="U1533" t="str">
            <v>L103886</v>
          </cell>
          <cell r="V1533" t="str">
            <v>PTD 1 kg</v>
          </cell>
          <cell r="W1533" t="str">
            <v>Ajuste</v>
          </cell>
          <cell r="X1533">
            <v>12</v>
          </cell>
          <cell r="Y1533">
            <v>12</v>
          </cell>
        </row>
        <row r="1534">
          <cell r="U1534" t="str">
            <v>L103925</v>
          </cell>
          <cell r="V1534" t="str">
            <v>PTD 1 kg</v>
          </cell>
          <cell r="W1534" t="str">
            <v>Ajuste</v>
          </cell>
          <cell r="X1534">
            <v>48</v>
          </cell>
          <cell r="Y1534">
            <v>48</v>
          </cell>
        </row>
        <row r="1535">
          <cell r="U1535" t="str">
            <v>L103928</v>
          </cell>
          <cell r="V1535" t="str">
            <v>PTD 1 kg</v>
          </cell>
          <cell r="W1535" t="str">
            <v>Ajuste</v>
          </cell>
          <cell r="X1535">
            <v>46</v>
          </cell>
          <cell r="Y1535">
            <v>46</v>
          </cell>
        </row>
        <row r="1536">
          <cell r="U1536" t="str">
            <v>L103929</v>
          </cell>
          <cell r="V1536" t="str">
            <v>PTD 1 kg</v>
          </cell>
          <cell r="W1536" t="str">
            <v>Ajuste</v>
          </cell>
          <cell r="X1536">
            <v>12</v>
          </cell>
          <cell r="Y1536">
            <v>12</v>
          </cell>
        </row>
        <row r="1537">
          <cell r="U1537" t="str">
            <v>L103930</v>
          </cell>
          <cell r="V1537" t="str">
            <v>PTD 1 kg</v>
          </cell>
          <cell r="W1537" t="str">
            <v>Ajuste</v>
          </cell>
          <cell r="X1537">
            <v>12</v>
          </cell>
          <cell r="Y1537">
            <v>12</v>
          </cell>
        </row>
        <row r="1538">
          <cell r="U1538" t="str">
            <v>L103953</v>
          </cell>
          <cell r="V1538" t="str">
            <v>PTD 1 kg</v>
          </cell>
          <cell r="W1538" t="str">
            <v>Ajuste</v>
          </cell>
          <cell r="X1538">
            <v>24</v>
          </cell>
          <cell r="Y1538">
            <v>24</v>
          </cell>
        </row>
        <row r="1539">
          <cell r="U1539" t="str">
            <v>L104243</v>
          </cell>
          <cell r="V1539" t="str">
            <v>PTD 1 kg</v>
          </cell>
          <cell r="W1539" t="str">
            <v>Ajuste</v>
          </cell>
          <cell r="X1539">
            <v>48</v>
          </cell>
          <cell r="Y1539">
            <v>48</v>
          </cell>
        </row>
        <row r="1540">
          <cell r="U1540" t="str">
            <v>L104360</v>
          </cell>
          <cell r="V1540" t="str">
            <v>PTD 1 kg</v>
          </cell>
          <cell r="W1540" t="str">
            <v>Ajuste</v>
          </cell>
          <cell r="X1540">
            <v>24</v>
          </cell>
          <cell r="Y1540">
            <v>24</v>
          </cell>
        </row>
        <row r="1541">
          <cell r="U1541" t="str">
            <v>L104361</v>
          </cell>
          <cell r="V1541" t="str">
            <v>PTD 1 kg</v>
          </cell>
          <cell r="W1541" t="str">
            <v>Ajuste</v>
          </cell>
          <cell r="X1541">
            <v>30</v>
          </cell>
          <cell r="Y1541">
            <v>30</v>
          </cell>
        </row>
        <row r="1542">
          <cell r="U1542" t="str">
            <v>L104362</v>
          </cell>
          <cell r="V1542" t="str">
            <v>PTD 1 kg</v>
          </cell>
          <cell r="W1542" t="str">
            <v>Ajuste</v>
          </cell>
          <cell r="X1542">
            <v>24</v>
          </cell>
          <cell r="Y1542">
            <v>24</v>
          </cell>
        </row>
        <row r="1543">
          <cell r="U1543" t="str">
            <v>L103883</v>
          </cell>
          <cell r="V1543" t="str">
            <v>PTD 2 kg</v>
          </cell>
          <cell r="W1543" t="str">
            <v>Ajuste</v>
          </cell>
          <cell r="X1543">
            <v>12</v>
          </cell>
          <cell r="Y1543">
            <v>24</v>
          </cell>
        </row>
        <row r="1544">
          <cell r="U1544" t="str">
            <v>L103885</v>
          </cell>
          <cell r="V1544" t="str">
            <v>PTD 2 kg</v>
          </cell>
          <cell r="W1544" t="str">
            <v>Ajuste</v>
          </cell>
          <cell r="X1544">
            <v>12</v>
          </cell>
          <cell r="Y1544">
            <v>24</v>
          </cell>
        </row>
        <row r="1545">
          <cell r="U1545" t="str">
            <v>L103926</v>
          </cell>
          <cell r="V1545" t="str">
            <v>PTD 2 kg</v>
          </cell>
          <cell r="W1545" t="str">
            <v>Ajuste</v>
          </cell>
          <cell r="X1545">
            <v>12</v>
          </cell>
          <cell r="Y1545">
            <v>24</v>
          </cell>
        </row>
        <row r="1546">
          <cell r="U1546" t="str">
            <v>L103927</v>
          </cell>
          <cell r="V1546" t="str">
            <v>PTD 2 kg</v>
          </cell>
          <cell r="W1546" t="str">
            <v>Ajuste</v>
          </cell>
          <cell r="X1546">
            <v>12</v>
          </cell>
          <cell r="Y1546">
            <v>24</v>
          </cell>
        </row>
        <row r="1547">
          <cell r="U1547" t="str">
            <v>L103931</v>
          </cell>
          <cell r="V1547" t="str">
            <v>PTD 2 kg</v>
          </cell>
          <cell r="W1547" t="str">
            <v>Ajuste</v>
          </cell>
          <cell r="X1547">
            <v>36</v>
          </cell>
          <cell r="Y1547">
            <v>72</v>
          </cell>
        </row>
        <row r="1548">
          <cell r="U1548" t="str">
            <v>L103952</v>
          </cell>
          <cell r="V1548" t="str">
            <v>PTD 2 kg</v>
          </cell>
          <cell r="W1548" t="str">
            <v>Ajuste</v>
          </cell>
          <cell r="X1548">
            <v>24</v>
          </cell>
          <cell r="Y1548">
            <v>48</v>
          </cell>
        </row>
        <row r="1549">
          <cell r="U1549" t="str">
            <v>L104241</v>
          </cell>
          <cell r="V1549" t="str">
            <v>PTD 2 kg</v>
          </cell>
          <cell r="W1549" t="str">
            <v>Ajuste</v>
          </cell>
          <cell r="X1549">
            <v>28</v>
          </cell>
          <cell r="Y1549">
            <v>56</v>
          </cell>
        </row>
        <row r="1550">
          <cell r="U1550" t="str">
            <v>L104297</v>
          </cell>
          <cell r="V1550" t="str">
            <v>PTD 2 kg</v>
          </cell>
          <cell r="W1550" t="str">
            <v>Ajuste</v>
          </cell>
          <cell r="X1550">
            <v>564</v>
          </cell>
          <cell r="Y1550">
            <v>1128</v>
          </cell>
        </row>
        <row r="1551">
          <cell r="U1551" t="str">
            <v>L104297</v>
          </cell>
          <cell r="V1551" t="str">
            <v>PV PTD 2 kg</v>
          </cell>
          <cell r="W1551" t="str">
            <v>Ajuste</v>
          </cell>
          <cell r="X1551">
            <v>308</v>
          </cell>
          <cell r="Y1551">
            <v>616</v>
          </cell>
        </row>
        <row r="1552">
          <cell r="U1552" t="str">
            <v>L104606</v>
          </cell>
          <cell r="V1552" t="str">
            <v>PTD 2 kg</v>
          </cell>
          <cell r="W1552" t="str">
            <v>Ajuste</v>
          </cell>
          <cell r="X1552">
            <v>4</v>
          </cell>
          <cell r="Y1552">
            <v>8</v>
          </cell>
        </row>
        <row r="1553">
          <cell r="U1553" t="str">
            <v>L104094</v>
          </cell>
          <cell r="V1553" t="str">
            <v>PTM -3kg- Caja</v>
          </cell>
          <cell r="W1553" t="str">
            <v>Ajuste</v>
          </cell>
          <cell r="X1553">
            <v>2</v>
          </cell>
          <cell r="Y1553">
            <v>6</v>
          </cell>
        </row>
        <row r="1554">
          <cell r="U1554" t="str">
            <v>L104405</v>
          </cell>
          <cell r="V1554" t="str">
            <v>PTM -3kg- Caja</v>
          </cell>
          <cell r="W1554" t="str">
            <v>Ajuste</v>
          </cell>
          <cell r="X1554">
            <v>16</v>
          </cell>
          <cell r="Y1554">
            <v>48</v>
          </cell>
        </row>
        <row r="1555">
          <cell r="U1555" t="str">
            <v>L103844</v>
          </cell>
          <cell r="V1555" t="str">
            <v>PTO 1kg</v>
          </cell>
          <cell r="W1555" t="str">
            <v>Ajuste</v>
          </cell>
          <cell r="X1555">
            <v>2</v>
          </cell>
          <cell r="Y1555">
            <v>2</v>
          </cell>
        </row>
        <row r="1556">
          <cell r="U1556" t="str">
            <v>L104220</v>
          </cell>
          <cell r="V1556" t="str">
            <v>PTO 1kg</v>
          </cell>
          <cell r="W1556" t="str">
            <v>Ajuste</v>
          </cell>
          <cell r="X1556">
            <v>4</v>
          </cell>
          <cell r="Y1556">
            <v>4</v>
          </cell>
        </row>
        <row r="1557">
          <cell r="U1557" t="str">
            <v>L103991</v>
          </cell>
          <cell r="V1557" t="str">
            <v>PTV 16 a 22kg</v>
          </cell>
          <cell r="W1557" t="str">
            <v>Ajuste</v>
          </cell>
          <cell r="X1557">
            <v>430</v>
          </cell>
          <cell r="Y1557">
            <v>8170</v>
          </cell>
        </row>
        <row r="1558">
          <cell r="U1558" t="str">
            <v>L103991</v>
          </cell>
          <cell r="V1558" t="str">
            <v>DIV PTV 16 a 22kg</v>
          </cell>
          <cell r="W1558" t="str">
            <v>Ajuste</v>
          </cell>
          <cell r="X1558">
            <v>32</v>
          </cell>
          <cell r="Y1558">
            <v>608</v>
          </cell>
        </row>
        <row r="1559">
          <cell r="U1559" t="str">
            <v>L103991</v>
          </cell>
          <cell r="V1559" t="str">
            <v>PV PTV 16 a 22kg</v>
          </cell>
          <cell r="W1559" t="str">
            <v>Ajuste</v>
          </cell>
          <cell r="X1559">
            <v>263</v>
          </cell>
          <cell r="Y1559">
            <v>4997</v>
          </cell>
        </row>
        <row r="1560">
          <cell r="U1560" t="str">
            <v>L104741</v>
          </cell>
          <cell r="V1560" t="str">
            <v>PTV 2kg</v>
          </cell>
          <cell r="W1560" t="str">
            <v>Ajuste</v>
          </cell>
          <cell r="X1560">
            <v>2</v>
          </cell>
          <cell r="Y1560">
            <v>4</v>
          </cell>
        </row>
        <row r="1561">
          <cell r="U1561" t="str">
            <v>L104265</v>
          </cell>
          <cell r="V1561" t="str">
            <v>PTV 5kg</v>
          </cell>
          <cell r="W1561" t="str">
            <v>Ajuste</v>
          </cell>
          <cell r="X1561">
            <v>794</v>
          </cell>
          <cell r="Y1561">
            <v>3970</v>
          </cell>
        </row>
        <row r="1562">
          <cell r="U1562" t="str">
            <v>L104706</v>
          </cell>
          <cell r="V1562" t="str">
            <v>PV ARZ 5Kg</v>
          </cell>
          <cell r="W1562" t="str">
            <v>Ajuste</v>
          </cell>
          <cell r="X1562">
            <v>136</v>
          </cell>
          <cell r="Y1562">
            <v>680</v>
          </cell>
        </row>
        <row r="1563">
          <cell r="U1563" t="str">
            <v>L104634</v>
          </cell>
          <cell r="V1563" t="str">
            <v>PV CRV 1kg</v>
          </cell>
          <cell r="W1563" t="str">
            <v>Ajuste</v>
          </cell>
          <cell r="X1563">
            <v>4</v>
          </cell>
          <cell r="Y1563">
            <v>4</v>
          </cell>
        </row>
        <row r="1564">
          <cell r="U1564" t="str">
            <v>L104913</v>
          </cell>
          <cell r="V1564" t="str">
            <v>PV GTA 2kg-CAJA</v>
          </cell>
          <cell r="W1564" t="str">
            <v>Ajuste</v>
          </cell>
          <cell r="X1564">
            <v>10</v>
          </cell>
          <cell r="Y1564">
            <v>20</v>
          </cell>
        </row>
        <row r="1565">
          <cell r="U1565" t="str">
            <v>PB2026-1</v>
          </cell>
          <cell r="V1565" t="str">
            <v>PV MZL 3kg</v>
          </cell>
          <cell r="W1565" t="str">
            <v>Ajuste</v>
          </cell>
          <cell r="X1565">
            <v>2</v>
          </cell>
          <cell r="Y1565">
            <v>0</v>
          </cell>
        </row>
        <row r="1566">
          <cell r="U1566" t="str">
            <v>L104676</v>
          </cell>
          <cell r="V1566" t="str">
            <v>PV PAN 2kg</v>
          </cell>
          <cell r="W1566" t="str">
            <v>Ajuste</v>
          </cell>
          <cell r="X1566">
            <v>2</v>
          </cell>
          <cell r="Y1566">
            <v>4</v>
          </cell>
        </row>
        <row r="1567">
          <cell r="U1567" t="str">
            <v>L104685</v>
          </cell>
          <cell r="V1567" t="str">
            <v>PV PAN 2kg</v>
          </cell>
          <cell r="W1567" t="str">
            <v>Ajuste</v>
          </cell>
          <cell r="X1567">
            <v>10</v>
          </cell>
          <cell r="Y1567">
            <v>20</v>
          </cell>
        </row>
        <row r="1568">
          <cell r="U1568" t="str">
            <v>L104710</v>
          </cell>
          <cell r="V1568" t="str">
            <v>PV PAN 2kg</v>
          </cell>
          <cell r="W1568" t="str">
            <v>Ajuste</v>
          </cell>
          <cell r="X1568">
            <v>4</v>
          </cell>
          <cell r="Y1568">
            <v>8</v>
          </cell>
        </row>
        <row r="1569">
          <cell r="U1569" t="str">
            <v>L104717</v>
          </cell>
          <cell r="V1569" t="str">
            <v>PV PAN 2kg</v>
          </cell>
          <cell r="W1569" t="str">
            <v>Ajuste</v>
          </cell>
          <cell r="X1569">
            <v>6</v>
          </cell>
          <cell r="Y1569">
            <v>12</v>
          </cell>
        </row>
        <row r="1570">
          <cell r="U1570" t="str">
            <v>L104722</v>
          </cell>
          <cell r="V1570" t="str">
            <v>PV PAN 2kg</v>
          </cell>
          <cell r="W1570" t="str">
            <v>Ajuste</v>
          </cell>
          <cell r="X1570">
            <v>6</v>
          </cell>
          <cell r="Y1570">
            <v>12</v>
          </cell>
        </row>
        <row r="1571">
          <cell r="U1571" t="str">
            <v>L104776</v>
          </cell>
          <cell r="V1571" t="str">
            <v>PV PAN 2kg</v>
          </cell>
          <cell r="W1571" t="str">
            <v>Ajuste</v>
          </cell>
          <cell r="X1571">
            <v>10</v>
          </cell>
          <cell r="Y1571">
            <v>20</v>
          </cell>
        </row>
        <row r="1572">
          <cell r="U1572" t="str">
            <v>L104793</v>
          </cell>
          <cell r="V1572" t="str">
            <v>PV PAN 2kg</v>
          </cell>
          <cell r="W1572" t="str">
            <v>Ajuste</v>
          </cell>
          <cell r="X1572">
            <v>30</v>
          </cell>
          <cell r="Y1572">
            <v>60</v>
          </cell>
        </row>
        <row r="1573">
          <cell r="U1573" t="str">
            <v>L104826</v>
          </cell>
          <cell r="V1573" t="str">
            <v>PV PAN 2kg</v>
          </cell>
          <cell r="W1573" t="str">
            <v>Ajuste</v>
          </cell>
          <cell r="X1573">
            <v>2</v>
          </cell>
          <cell r="Y1573">
            <v>4</v>
          </cell>
        </row>
        <row r="1574">
          <cell r="U1574" t="str">
            <v>L104829</v>
          </cell>
          <cell r="V1574" t="str">
            <v>PV PAN 2kg</v>
          </cell>
          <cell r="W1574" t="str">
            <v>Ajuste</v>
          </cell>
          <cell r="X1574">
            <v>8</v>
          </cell>
          <cell r="Y1574">
            <v>16</v>
          </cell>
        </row>
        <row r="1575">
          <cell r="U1575" t="str">
            <v>L104837</v>
          </cell>
          <cell r="V1575" t="str">
            <v>PV PAN 2kg</v>
          </cell>
          <cell r="W1575" t="str">
            <v>Ajuste</v>
          </cell>
          <cell r="X1575">
            <v>2</v>
          </cell>
          <cell r="Y1575">
            <v>4</v>
          </cell>
        </row>
        <row r="1576">
          <cell r="U1576" t="str">
            <v>L104777</v>
          </cell>
          <cell r="V1576" t="str">
            <v>PV PASTV 2kg</v>
          </cell>
          <cell r="W1576" t="str">
            <v>Ajuste</v>
          </cell>
          <cell r="X1576">
            <v>10</v>
          </cell>
          <cell r="Y1576">
            <v>20</v>
          </cell>
        </row>
        <row r="1577">
          <cell r="U1577" t="str">
            <v>L104784</v>
          </cell>
          <cell r="V1577" t="str">
            <v>PV PASTV 2kg</v>
          </cell>
          <cell r="W1577" t="str">
            <v>Ajuste</v>
          </cell>
          <cell r="X1577">
            <v>24</v>
          </cell>
          <cell r="Y1577">
            <v>48</v>
          </cell>
        </row>
        <row r="1578">
          <cell r="U1578" t="str">
            <v>L104825</v>
          </cell>
          <cell r="V1578" t="str">
            <v>PV PASTV 2kg</v>
          </cell>
          <cell r="W1578" t="str">
            <v>Ajuste</v>
          </cell>
          <cell r="X1578">
            <v>26</v>
          </cell>
          <cell r="Y1578">
            <v>52</v>
          </cell>
        </row>
        <row r="1579">
          <cell r="U1579" t="str">
            <v>L104828</v>
          </cell>
          <cell r="V1579" t="str">
            <v>PV PASTV 2kg</v>
          </cell>
          <cell r="W1579" t="str">
            <v>Ajuste</v>
          </cell>
          <cell r="X1579">
            <v>12</v>
          </cell>
          <cell r="Y1579">
            <v>24</v>
          </cell>
        </row>
        <row r="1580">
          <cell r="U1580" t="str">
            <v>L104836</v>
          </cell>
          <cell r="V1580" t="str">
            <v>PV PASTV 2kg</v>
          </cell>
          <cell r="W1580" t="str">
            <v>Ajuste</v>
          </cell>
          <cell r="X1580">
            <v>8</v>
          </cell>
          <cell r="Y1580">
            <v>16</v>
          </cell>
        </row>
        <row r="1581">
          <cell r="U1581" t="str">
            <v>L104672</v>
          </cell>
          <cell r="V1581" t="str">
            <v>PV PASTV 3kg</v>
          </cell>
          <cell r="W1581" t="str">
            <v>Ajuste</v>
          </cell>
          <cell r="X1581">
            <v>16</v>
          </cell>
          <cell r="Y1581">
            <v>48</v>
          </cell>
        </row>
        <row r="1582">
          <cell r="U1582" t="str">
            <v>L104683</v>
          </cell>
          <cell r="V1582" t="str">
            <v>PV PASTV 3kg</v>
          </cell>
          <cell r="W1582" t="str">
            <v>Ajuste</v>
          </cell>
          <cell r="X1582">
            <v>24</v>
          </cell>
          <cell r="Y1582">
            <v>72</v>
          </cell>
        </row>
        <row r="1583">
          <cell r="U1583" t="str">
            <v>L104714</v>
          </cell>
          <cell r="V1583" t="str">
            <v>PV PASTV 3kg</v>
          </cell>
          <cell r="W1583" t="str">
            <v>Ajuste</v>
          </cell>
          <cell r="X1583">
            <v>28</v>
          </cell>
          <cell r="Y1583">
            <v>84</v>
          </cell>
        </row>
        <row r="1584">
          <cell r="U1584" t="str">
            <v>L104778</v>
          </cell>
          <cell r="V1584" t="str">
            <v>PV PASTV 3kg</v>
          </cell>
          <cell r="W1584" t="str">
            <v>Ajuste</v>
          </cell>
          <cell r="X1584">
            <v>16</v>
          </cell>
          <cell r="Y1584">
            <v>48</v>
          </cell>
        </row>
        <row r="1585">
          <cell r="U1585" t="str">
            <v>L104783</v>
          </cell>
          <cell r="V1585" t="str">
            <v>PV PASTV 3kg</v>
          </cell>
          <cell r="W1585" t="str">
            <v>Ajuste</v>
          </cell>
          <cell r="X1585">
            <v>36</v>
          </cell>
          <cell r="Y1585">
            <v>108</v>
          </cell>
        </row>
        <row r="1586">
          <cell r="U1586" t="str">
            <v>L104824</v>
          </cell>
          <cell r="V1586" t="str">
            <v>PV PASTV 3kg</v>
          </cell>
          <cell r="W1586" t="str">
            <v>Ajuste</v>
          </cell>
          <cell r="X1586">
            <v>2</v>
          </cell>
          <cell r="Y1586">
            <v>6</v>
          </cell>
        </row>
        <row r="1587">
          <cell r="U1587" t="str">
            <v>L104673</v>
          </cell>
          <cell r="V1587" t="str">
            <v>PV PASTV 4kg</v>
          </cell>
          <cell r="W1587" t="str">
            <v>Ajuste</v>
          </cell>
          <cell r="X1587">
            <v>14</v>
          </cell>
          <cell r="Y1587">
            <v>56</v>
          </cell>
        </row>
        <row r="1588">
          <cell r="U1588" t="str">
            <v>L104716</v>
          </cell>
          <cell r="V1588" t="str">
            <v>PV PASTV 4kg</v>
          </cell>
          <cell r="W1588" t="str">
            <v>Ajuste</v>
          </cell>
          <cell r="X1588">
            <v>2</v>
          </cell>
          <cell r="Y1588">
            <v>8</v>
          </cell>
        </row>
        <row r="1589">
          <cell r="U1589" t="str">
            <v>L104782</v>
          </cell>
          <cell r="V1589" t="str">
            <v>PV PASTV 4kg</v>
          </cell>
          <cell r="W1589" t="str">
            <v>Ajuste</v>
          </cell>
          <cell r="X1589">
            <v>2</v>
          </cell>
          <cell r="Y1589">
            <v>8</v>
          </cell>
        </row>
        <row r="1590">
          <cell r="U1590" t="str">
            <v>L104412</v>
          </cell>
          <cell r="V1590" t="str">
            <v>PV PASTV 6kg</v>
          </cell>
          <cell r="W1590" t="str">
            <v>Ajuste</v>
          </cell>
          <cell r="X1590">
            <v>2</v>
          </cell>
          <cell r="Y1590">
            <v>12</v>
          </cell>
        </row>
        <row r="1591">
          <cell r="U1591" t="str">
            <v>L104881</v>
          </cell>
          <cell r="V1591" t="str">
            <v>PV PNALT 3kg</v>
          </cell>
          <cell r="W1591" t="str">
            <v>Ajuste</v>
          </cell>
          <cell r="X1591">
            <v>48</v>
          </cell>
          <cell r="Y1591">
            <v>144</v>
          </cell>
        </row>
        <row r="1592">
          <cell r="U1592" t="str">
            <v>L104918</v>
          </cell>
          <cell r="V1592" t="str">
            <v>PV SNK 1Kg</v>
          </cell>
          <cell r="W1592" t="str">
            <v>Ajuste</v>
          </cell>
          <cell r="X1592">
            <v>8</v>
          </cell>
          <cell r="Y1592">
            <v>8</v>
          </cell>
        </row>
        <row r="1593">
          <cell r="U1593" t="str">
            <v>L104356</v>
          </cell>
          <cell r="V1593" t="str">
            <v>PV YGT GR 6X32oz-CAJA</v>
          </cell>
          <cell r="W1593" t="str">
            <v>Ajuste</v>
          </cell>
          <cell r="X1593">
            <v>1200</v>
          </cell>
          <cell r="Y1593">
            <v>6527.9999999999936</v>
          </cell>
        </row>
        <row r="1594">
          <cell r="U1594" t="str">
            <v>L104195</v>
          </cell>
          <cell r="V1594" t="str">
            <v>QSC 3kg</v>
          </cell>
          <cell r="W1594" t="str">
            <v>Ajuste</v>
          </cell>
          <cell r="X1594">
            <v>2</v>
          </cell>
          <cell r="Y1594">
            <v>6</v>
          </cell>
        </row>
        <row r="1595">
          <cell r="U1595" t="str">
            <v>L104194</v>
          </cell>
          <cell r="V1595" t="str">
            <v>QSC 6kg</v>
          </cell>
          <cell r="W1595" t="str">
            <v>Ajuste</v>
          </cell>
          <cell r="X1595">
            <v>190</v>
          </cell>
          <cell r="Y1595">
            <v>1140</v>
          </cell>
        </row>
        <row r="1596">
          <cell r="U1596" t="str">
            <v>L104011</v>
          </cell>
          <cell r="V1596" t="str">
            <v>QSV 1.5kg</v>
          </cell>
          <cell r="W1596" t="str">
            <v>Ajuste</v>
          </cell>
          <cell r="X1596">
            <v>138</v>
          </cell>
          <cell r="Y1596">
            <v>207</v>
          </cell>
        </row>
        <row r="1597">
          <cell r="U1597" t="str">
            <v>L104012</v>
          </cell>
          <cell r="V1597" t="str">
            <v>QSV 1.5kg</v>
          </cell>
          <cell r="W1597" t="str">
            <v>Ajuste</v>
          </cell>
          <cell r="X1597">
            <v>2</v>
          </cell>
          <cell r="Y1597">
            <v>3</v>
          </cell>
        </row>
        <row r="1598">
          <cell r="U1598" t="str">
            <v>L104001</v>
          </cell>
          <cell r="V1598" t="str">
            <v>QSV 1kg</v>
          </cell>
          <cell r="W1598" t="str">
            <v>Ajuste</v>
          </cell>
          <cell r="X1598">
            <v>72</v>
          </cell>
          <cell r="Y1598">
            <v>72</v>
          </cell>
        </row>
        <row r="1599">
          <cell r="U1599" t="str">
            <v>L103788</v>
          </cell>
          <cell r="V1599" t="str">
            <v>SAL 1kg-PAQUETE</v>
          </cell>
          <cell r="W1599" t="str">
            <v>Ajuste</v>
          </cell>
          <cell r="X1599">
            <v>34</v>
          </cell>
          <cell r="Y1599">
            <v>34</v>
          </cell>
        </row>
        <row r="1600">
          <cell r="U1600" t="str">
            <v>L103985</v>
          </cell>
          <cell r="V1600" t="str">
            <v>SAL 1kg-PAQUETE</v>
          </cell>
          <cell r="W1600" t="str">
            <v>Ajuste</v>
          </cell>
          <cell r="X1600">
            <v>128</v>
          </cell>
          <cell r="Y1600">
            <v>128</v>
          </cell>
        </row>
        <row r="1601">
          <cell r="U1601" t="str">
            <v>L104048</v>
          </cell>
          <cell r="V1601" t="str">
            <v>SAL 1kg-PAQUETE</v>
          </cell>
          <cell r="W1601" t="str">
            <v>Ajuste</v>
          </cell>
          <cell r="X1601">
            <v>6</v>
          </cell>
          <cell r="Y1601">
            <v>6</v>
          </cell>
        </row>
        <row r="1602">
          <cell r="U1602" t="str">
            <v>L103986</v>
          </cell>
          <cell r="V1602" t="str">
            <v>SAL 2kg-PAQUETE</v>
          </cell>
          <cell r="W1602" t="str">
            <v>Ajuste</v>
          </cell>
          <cell r="X1602">
            <v>2</v>
          </cell>
          <cell r="Y1602">
            <v>4</v>
          </cell>
        </row>
        <row r="1603">
          <cell r="U1603" t="str">
            <v>L104623</v>
          </cell>
          <cell r="V1603" t="str">
            <v>SAL 2kg-PAQUETE</v>
          </cell>
          <cell r="W1603" t="str">
            <v>Ajuste</v>
          </cell>
          <cell r="X1603">
            <v>84</v>
          </cell>
          <cell r="Y1603">
            <v>168</v>
          </cell>
        </row>
        <row r="1604">
          <cell r="U1604" t="str">
            <v>L104644</v>
          </cell>
          <cell r="V1604" t="str">
            <v>SAL 2kg-PAQUETE</v>
          </cell>
          <cell r="W1604" t="str">
            <v>Ajuste</v>
          </cell>
          <cell r="X1604">
            <v>12</v>
          </cell>
          <cell r="Y1604">
            <v>24</v>
          </cell>
        </row>
        <row r="1605">
          <cell r="U1605" t="str">
            <v>L104871</v>
          </cell>
          <cell r="V1605" t="str">
            <v>SAL 2kg-PAQUETE</v>
          </cell>
          <cell r="W1605" t="str">
            <v>Ajuste</v>
          </cell>
          <cell r="X1605">
            <v>10</v>
          </cell>
          <cell r="Y1605">
            <v>20</v>
          </cell>
        </row>
        <row r="1606">
          <cell r="U1606" t="str">
            <v>L104929</v>
          </cell>
          <cell r="V1606" t="str">
            <v>SAL 2kg-PAQUETE</v>
          </cell>
          <cell r="W1606" t="str">
            <v>Ajuste</v>
          </cell>
          <cell r="X1606">
            <v>1530</v>
          </cell>
          <cell r="Y1606">
            <v>3060</v>
          </cell>
        </row>
        <row r="1607">
          <cell r="U1607" t="str">
            <v>L104260</v>
          </cell>
          <cell r="V1607" t="str">
            <v>SAL 5kg-PAQUETE</v>
          </cell>
          <cell r="W1607" t="str">
            <v>Ajuste</v>
          </cell>
          <cell r="X1607">
            <v>1151</v>
          </cell>
          <cell r="Y1607">
            <v>5755</v>
          </cell>
        </row>
        <row r="1608">
          <cell r="U1608" t="str">
            <v>L104071</v>
          </cell>
          <cell r="V1608" t="str">
            <v>SAV 2kg-CAJA</v>
          </cell>
          <cell r="W1608" t="str">
            <v>Ajuste</v>
          </cell>
          <cell r="X1608">
            <v>4</v>
          </cell>
          <cell r="Y1608">
            <v>8</v>
          </cell>
        </row>
        <row r="1609">
          <cell r="U1609" t="str">
            <v>L104387</v>
          </cell>
          <cell r="V1609" t="str">
            <v>SAV 3kg</v>
          </cell>
          <cell r="W1609" t="str">
            <v>Ajuste</v>
          </cell>
          <cell r="X1609">
            <v>10</v>
          </cell>
          <cell r="Y1609">
            <v>30</v>
          </cell>
        </row>
        <row r="1610">
          <cell r="U1610" t="str">
            <v>L104389</v>
          </cell>
          <cell r="V1610" t="str">
            <v>SAV 3kg</v>
          </cell>
          <cell r="W1610" t="str">
            <v>Ajuste</v>
          </cell>
          <cell r="X1610">
            <v>6</v>
          </cell>
          <cell r="Y1610">
            <v>18</v>
          </cell>
        </row>
        <row r="1611">
          <cell r="U1611" t="str">
            <v>L104391</v>
          </cell>
          <cell r="V1611" t="str">
            <v>SAV 3kg</v>
          </cell>
          <cell r="W1611" t="str">
            <v>Ajuste</v>
          </cell>
          <cell r="X1611">
            <v>10</v>
          </cell>
          <cell r="Y1611">
            <v>30</v>
          </cell>
        </row>
        <row r="1612">
          <cell r="U1612" t="str">
            <v>L104392</v>
          </cell>
          <cell r="V1612" t="str">
            <v>SAV 3kg</v>
          </cell>
          <cell r="W1612" t="str">
            <v>Ajuste</v>
          </cell>
          <cell r="X1612">
            <v>6</v>
          </cell>
          <cell r="Y1612">
            <v>18</v>
          </cell>
        </row>
        <row r="1613">
          <cell r="U1613" t="str">
            <v>L104681</v>
          </cell>
          <cell r="V1613" t="str">
            <v>SAV 3kg</v>
          </cell>
          <cell r="W1613" t="str">
            <v>Ajuste</v>
          </cell>
          <cell r="X1613">
            <v>12</v>
          </cell>
          <cell r="Y1613">
            <v>36</v>
          </cell>
        </row>
        <row r="1614">
          <cell r="U1614" t="str">
            <v>L104799</v>
          </cell>
          <cell r="V1614" t="str">
            <v>SBC 2kg</v>
          </cell>
          <cell r="W1614" t="str">
            <v>Ajuste</v>
          </cell>
          <cell r="X1614">
            <v>1854</v>
          </cell>
          <cell r="Y1614">
            <v>3708</v>
          </cell>
        </row>
        <row r="1615">
          <cell r="U1615" t="str">
            <v>L104799</v>
          </cell>
          <cell r="V1615" t="str">
            <v>PV SBC 2kg</v>
          </cell>
          <cell r="W1615" t="str">
            <v>Ajuste</v>
          </cell>
          <cell r="X1615">
            <v>164</v>
          </cell>
          <cell r="Y1615">
            <v>328</v>
          </cell>
        </row>
        <row r="1616">
          <cell r="U1616" t="str">
            <v>L104399</v>
          </cell>
          <cell r="V1616" t="str">
            <v>SBC 2kg</v>
          </cell>
          <cell r="W1616" t="str">
            <v>Ajuste</v>
          </cell>
          <cell r="X1616">
            <v>10</v>
          </cell>
          <cell r="Y1616">
            <v>20</v>
          </cell>
        </row>
        <row r="1617">
          <cell r="U1617" t="str">
            <v>L104578</v>
          </cell>
          <cell r="V1617" t="str">
            <v>SCL 2kg-CAJA</v>
          </cell>
          <cell r="W1617" t="str">
            <v>Ajuste</v>
          </cell>
          <cell r="X1617">
            <v>4</v>
          </cell>
          <cell r="Y1617">
            <v>8</v>
          </cell>
        </row>
        <row r="1618">
          <cell r="U1618" t="str">
            <v>L104577</v>
          </cell>
          <cell r="V1618" t="str">
            <v>SDA 3Kg</v>
          </cell>
          <cell r="W1618" t="str">
            <v>Ajuste</v>
          </cell>
          <cell r="X1618">
            <v>10</v>
          </cell>
          <cell r="Y1618">
            <v>30</v>
          </cell>
        </row>
        <row r="1619">
          <cell r="U1619" t="str">
            <v>L104924</v>
          </cell>
          <cell r="V1619" t="str">
            <v>SDO</v>
          </cell>
          <cell r="W1619" t="str">
            <v>Ajuste</v>
          </cell>
          <cell r="X1619">
            <v>12</v>
          </cell>
          <cell r="Y1619">
            <v>48</v>
          </cell>
        </row>
        <row r="1620">
          <cell r="U1620" t="str">
            <v>L104261</v>
          </cell>
          <cell r="V1620" t="str">
            <v>SDR 2Kg-UNIDAD</v>
          </cell>
          <cell r="W1620" t="str">
            <v>Ajuste</v>
          </cell>
          <cell r="X1620">
            <v>296</v>
          </cell>
          <cell r="Y1620">
            <v>592</v>
          </cell>
        </row>
        <row r="1621">
          <cell r="U1621" t="str">
            <v>L103842</v>
          </cell>
          <cell r="V1621" t="str">
            <v>SDR 3kg-CAJA</v>
          </cell>
          <cell r="W1621" t="str">
            <v>Ajuste</v>
          </cell>
          <cell r="X1621">
            <v>4</v>
          </cell>
          <cell r="Y1621">
            <v>12</v>
          </cell>
        </row>
        <row r="1622">
          <cell r="U1622" t="str">
            <v>L103847</v>
          </cell>
          <cell r="V1622" t="str">
            <v>SDR 3kg-CAJA</v>
          </cell>
          <cell r="W1622" t="str">
            <v>Ajuste</v>
          </cell>
          <cell r="X1622">
            <v>2</v>
          </cell>
          <cell r="Y1622">
            <v>6</v>
          </cell>
        </row>
        <row r="1623">
          <cell r="U1623" t="str">
            <v>L104263</v>
          </cell>
          <cell r="V1623" t="str">
            <v>SDR 3kg-CAJA</v>
          </cell>
          <cell r="W1623" t="str">
            <v>Ajuste</v>
          </cell>
          <cell r="X1623">
            <v>140</v>
          </cell>
          <cell r="Y1623">
            <v>420</v>
          </cell>
        </row>
        <row r="1624">
          <cell r="U1624" t="str">
            <v>L104262</v>
          </cell>
          <cell r="V1624" t="str">
            <v>SDR 5kg</v>
          </cell>
          <cell r="W1624" t="str">
            <v>Ajuste</v>
          </cell>
          <cell r="X1624">
            <v>32</v>
          </cell>
          <cell r="Y1624">
            <v>160</v>
          </cell>
        </row>
        <row r="1625">
          <cell r="U1625" t="str">
            <v>L104357</v>
          </cell>
          <cell r="V1625" t="str">
            <v>SDR 9kg-CAJA</v>
          </cell>
          <cell r="W1625" t="str">
            <v>Ajuste</v>
          </cell>
          <cell r="X1625">
            <v>82</v>
          </cell>
          <cell r="Y1625">
            <v>738</v>
          </cell>
        </row>
        <row r="1626">
          <cell r="U1626" t="str">
            <v>L104098</v>
          </cell>
          <cell r="V1626" t="str">
            <v>SDS 2kg</v>
          </cell>
          <cell r="W1626" t="str">
            <v>Ajuste</v>
          </cell>
          <cell r="X1626">
            <v>4</v>
          </cell>
          <cell r="Y1626">
            <v>8</v>
          </cell>
        </row>
        <row r="1627">
          <cell r="U1627" t="str">
            <v>L104065</v>
          </cell>
          <cell r="V1627" t="str">
            <v>SDS 3kg-CAJA</v>
          </cell>
          <cell r="W1627" t="str">
            <v>Ajuste</v>
          </cell>
          <cell r="X1627">
            <v>8</v>
          </cell>
          <cell r="Y1627">
            <v>24</v>
          </cell>
        </row>
        <row r="1628">
          <cell r="U1628" t="str">
            <v>L104309</v>
          </cell>
          <cell r="V1628" t="str">
            <v>SNK 1.5kg-CAJA</v>
          </cell>
          <cell r="W1628" t="str">
            <v>Ajuste</v>
          </cell>
          <cell r="X1628">
            <v>8</v>
          </cell>
          <cell r="Y1628">
            <v>12</v>
          </cell>
        </row>
        <row r="1629">
          <cell r="U1629" t="str">
            <v>L104310</v>
          </cell>
          <cell r="V1629" t="str">
            <v>SNK 1.5kg-CAJA</v>
          </cell>
          <cell r="W1629" t="str">
            <v>Ajuste</v>
          </cell>
          <cell r="X1629">
            <v>16</v>
          </cell>
          <cell r="Y1629">
            <v>24</v>
          </cell>
        </row>
        <row r="1630">
          <cell r="U1630" t="str">
            <v>L104311</v>
          </cell>
          <cell r="V1630" t="str">
            <v>SNK 1.5kg-CAJA</v>
          </cell>
          <cell r="W1630" t="str">
            <v>Ajuste</v>
          </cell>
          <cell r="X1630">
            <v>6</v>
          </cell>
          <cell r="Y1630">
            <v>9</v>
          </cell>
        </row>
        <row r="1631">
          <cell r="U1631" t="str">
            <v>L104707</v>
          </cell>
          <cell r="V1631" t="str">
            <v>SNK 1.5kg-CAJA</v>
          </cell>
          <cell r="W1631" t="str">
            <v>Ajuste</v>
          </cell>
          <cell r="X1631">
            <v>198</v>
          </cell>
          <cell r="Y1631">
            <v>297</v>
          </cell>
        </row>
        <row r="1632">
          <cell r="U1632" t="str">
            <v>L104707</v>
          </cell>
          <cell r="V1632" t="str">
            <v>PV SNK 1.5kg</v>
          </cell>
          <cell r="W1632" t="str">
            <v>Ajuste</v>
          </cell>
          <cell r="X1632">
            <v>20</v>
          </cell>
          <cell r="Y1632">
            <v>30</v>
          </cell>
        </row>
        <row r="1633">
          <cell r="U1633" t="str">
            <v>L104312</v>
          </cell>
          <cell r="V1633" t="str">
            <v>SNK 1Kg-CAJA</v>
          </cell>
          <cell r="W1633" t="str">
            <v>Ajuste</v>
          </cell>
          <cell r="X1633">
            <v>2</v>
          </cell>
          <cell r="Y1633">
            <v>2</v>
          </cell>
        </row>
        <row r="1634">
          <cell r="U1634" t="str">
            <v>L104713</v>
          </cell>
          <cell r="V1634" t="str">
            <v>SNK 1Kg-CAJA</v>
          </cell>
          <cell r="W1634" t="str">
            <v>Ajuste</v>
          </cell>
          <cell r="X1634">
            <v>80</v>
          </cell>
          <cell r="Y1634">
            <v>80</v>
          </cell>
        </row>
        <row r="1635">
          <cell r="U1635" t="str">
            <v>L104914</v>
          </cell>
          <cell r="V1635" t="str">
            <v>SNK 1Kg-CAJA</v>
          </cell>
          <cell r="W1635" t="str">
            <v>Ajuste</v>
          </cell>
          <cell r="X1635">
            <v>8</v>
          </cell>
          <cell r="Y1635">
            <v>8</v>
          </cell>
        </row>
        <row r="1636">
          <cell r="U1636" t="str">
            <v>L104313</v>
          </cell>
          <cell r="V1636" t="str">
            <v>SNK 2kg-CAJA</v>
          </cell>
          <cell r="W1636" t="str">
            <v>Ajuste</v>
          </cell>
          <cell r="X1636">
            <v>8</v>
          </cell>
          <cell r="Y1636">
            <v>16</v>
          </cell>
        </row>
        <row r="1637">
          <cell r="U1637" t="str">
            <v>L104314</v>
          </cell>
          <cell r="V1637" t="str">
            <v>SNK 2kg-CAJA</v>
          </cell>
          <cell r="W1637" t="str">
            <v>Ajuste</v>
          </cell>
          <cell r="X1637">
            <v>10</v>
          </cell>
          <cell r="Y1637">
            <v>20</v>
          </cell>
        </row>
        <row r="1638">
          <cell r="U1638" t="str">
            <v>L104315</v>
          </cell>
          <cell r="V1638" t="str">
            <v>SNK 2kg-CAJA</v>
          </cell>
          <cell r="W1638" t="str">
            <v>Ajuste</v>
          </cell>
          <cell r="X1638">
            <v>12</v>
          </cell>
          <cell r="Y1638">
            <v>24</v>
          </cell>
        </row>
        <row r="1639">
          <cell r="U1639" t="str">
            <v>L104316</v>
          </cell>
          <cell r="V1639" t="str">
            <v>SNK 2kg-CAJA</v>
          </cell>
          <cell r="W1639" t="str">
            <v>Ajuste</v>
          </cell>
          <cell r="X1639">
            <v>6</v>
          </cell>
          <cell r="Y1639">
            <v>12</v>
          </cell>
        </row>
        <row r="1640">
          <cell r="U1640" t="str">
            <v>L104317</v>
          </cell>
          <cell r="V1640" t="str">
            <v>SNK 2kg-CAJA</v>
          </cell>
          <cell r="W1640" t="str">
            <v>Ajuste</v>
          </cell>
          <cell r="X1640">
            <v>8</v>
          </cell>
          <cell r="Y1640">
            <v>16</v>
          </cell>
        </row>
        <row r="1641">
          <cell r="U1641" t="str">
            <v>L104718</v>
          </cell>
          <cell r="V1641" t="str">
            <v>SNK 3.5kg-CAJA</v>
          </cell>
          <cell r="W1641" t="str">
            <v>Ajuste</v>
          </cell>
          <cell r="X1641">
            <v>50</v>
          </cell>
          <cell r="Y1641">
            <v>175</v>
          </cell>
        </row>
        <row r="1642">
          <cell r="U1642" t="str">
            <v>L104306</v>
          </cell>
          <cell r="V1642" t="str">
            <v>SNK 3kg-CAJA</v>
          </cell>
          <cell r="W1642" t="str">
            <v>Ajuste</v>
          </cell>
          <cell r="X1642">
            <v>4</v>
          </cell>
          <cell r="Y1642">
            <v>12</v>
          </cell>
        </row>
        <row r="1643">
          <cell r="U1643" t="str">
            <v>L104307</v>
          </cell>
          <cell r="V1643" t="str">
            <v>SNK 3kg-CAJA</v>
          </cell>
          <cell r="W1643" t="str">
            <v>Ajuste</v>
          </cell>
          <cell r="X1643">
            <v>2</v>
          </cell>
          <cell r="Y1643">
            <v>6</v>
          </cell>
        </row>
        <row r="1644">
          <cell r="U1644" t="str">
            <v>L104308</v>
          </cell>
          <cell r="V1644" t="str">
            <v>SNK 3kg-CAJA</v>
          </cell>
          <cell r="W1644" t="str">
            <v>Ajuste</v>
          </cell>
          <cell r="X1644">
            <v>2</v>
          </cell>
          <cell r="Y1644">
            <v>6</v>
          </cell>
        </row>
        <row r="1645">
          <cell r="U1645" t="str">
            <v>L104452</v>
          </cell>
          <cell r="V1645" t="str">
            <v>SNK 3kg-CAJA</v>
          </cell>
          <cell r="W1645" t="str">
            <v>Ajuste</v>
          </cell>
          <cell r="X1645">
            <v>30</v>
          </cell>
          <cell r="Y1645">
            <v>90</v>
          </cell>
        </row>
        <row r="1646">
          <cell r="U1646" t="str">
            <v>L104712</v>
          </cell>
          <cell r="V1646" t="str">
            <v>SNK 4.5kg-CAJA</v>
          </cell>
          <cell r="W1646" t="str">
            <v>Ajuste</v>
          </cell>
          <cell r="X1646">
            <v>30</v>
          </cell>
          <cell r="Y1646">
            <v>135</v>
          </cell>
        </row>
        <row r="1647">
          <cell r="U1647" t="str">
            <v>L103765</v>
          </cell>
          <cell r="V1647" t="str">
            <v>SNK 4kg-CAJA</v>
          </cell>
          <cell r="W1647" t="str">
            <v>Ajuste</v>
          </cell>
          <cell r="X1647">
            <v>24</v>
          </cell>
          <cell r="Y1647">
            <v>96</v>
          </cell>
        </row>
        <row r="1648">
          <cell r="U1648" t="str">
            <v>L104719</v>
          </cell>
          <cell r="V1648" t="str">
            <v>SNK 5kg-CAJA</v>
          </cell>
          <cell r="W1648" t="str">
            <v>Ajuste</v>
          </cell>
          <cell r="X1648">
            <v>50</v>
          </cell>
          <cell r="Y1648">
            <v>250</v>
          </cell>
        </row>
        <row r="1649">
          <cell r="U1649" t="str">
            <v>L103820</v>
          </cell>
          <cell r="V1649" t="str">
            <v>SNKSL 1kg</v>
          </cell>
          <cell r="W1649" t="str">
            <v>Ajuste</v>
          </cell>
          <cell r="X1649">
            <v>234</v>
          </cell>
          <cell r="Y1649">
            <v>234</v>
          </cell>
        </row>
        <row r="1650">
          <cell r="U1650" t="str">
            <v>L104819</v>
          </cell>
          <cell r="V1650" t="str">
            <v>SNKSL 1kg</v>
          </cell>
          <cell r="W1650" t="str">
            <v>Ajuste</v>
          </cell>
          <cell r="X1650">
            <v>8</v>
          </cell>
          <cell r="Y1650">
            <v>8</v>
          </cell>
        </row>
        <row r="1651">
          <cell r="U1651" t="str">
            <v>L103819</v>
          </cell>
          <cell r="V1651" t="str">
            <v>SNKSL 2kg</v>
          </cell>
          <cell r="W1651" t="str">
            <v>Ajuste</v>
          </cell>
          <cell r="X1651">
            <v>852</v>
          </cell>
          <cell r="Y1651">
            <v>1704</v>
          </cell>
        </row>
        <row r="1652">
          <cell r="U1652" t="str">
            <v>L104453</v>
          </cell>
          <cell r="V1652" t="str">
            <v>SPAV 1kg-CAJA</v>
          </cell>
          <cell r="W1652" t="str">
            <v>Ajuste</v>
          </cell>
          <cell r="X1652">
            <v>16</v>
          </cell>
          <cell r="Y1652">
            <v>16</v>
          </cell>
        </row>
        <row r="1653">
          <cell r="U1653" t="str">
            <v>L104596</v>
          </cell>
          <cell r="V1653" t="str">
            <v>SPAV 1kg-CAJA</v>
          </cell>
          <cell r="W1653" t="str">
            <v>Ajuste</v>
          </cell>
          <cell r="X1653">
            <v>2</v>
          </cell>
          <cell r="Y1653">
            <v>2</v>
          </cell>
        </row>
        <row r="1654">
          <cell r="U1654" t="str">
            <v>L104844</v>
          </cell>
          <cell r="V1654" t="str">
            <v>SPAV 1kg-CAJA</v>
          </cell>
          <cell r="W1654" t="str">
            <v>Ajuste</v>
          </cell>
          <cell r="X1654">
            <v>84</v>
          </cell>
          <cell r="Y1654">
            <v>84</v>
          </cell>
        </row>
        <row r="1655">
          <cell r="U1655" t="str">
            <v>L104152</v>
          </cell>
          <cell r="V1655" t="str">
            <v>SPAV 2kg-CAJA</v>
          </cell>
          <cell r="W1655" t="str">
            <v>Ajuste</v>
          </cell>
          <cell r="X1655">
            <v>610</v>
          </cell>
          <cell r="Y1655">
            <v>1220</v>
          </cell>
        </row>
        <row r="1656">
          <cell r="U1656" t="str">
            <v>L104328</v>
          </cell>
          <cell r="V1656" t="str">
            <v>SPAV 2kg-CAJA</v>
          </cell>
          <cell r="W1656" t="str">
            <v>Ajuste</v>
          </cell>
          <cell r="X1656">
            <v>146</v>
          </cell>
          <cell r="Y1656">
            <v>292</v>
          </cell>
        </row>
        <row r="1657">
          <cell r="U1657" t="str">
            <v>L104922</v>
          </cell>
          <cell r="V1657" t="str">
            <v>SPAV 3kg-CAJA</v>
          </cell>
          <cell r="W1657" t="str">
            <v>Ajuste</v>
          </cell>
          <cell r="X1657">
            <v>4</v>
          </cell>
          <cell r="Y1657">
            <v>12</v>
          </cell>
        </row>
        <row r="1658">
          <cell r="U1658" t="str">
            <v>L104010</v>
          </cell>
          <cell r="V1658" t="str">
            <v>SPAV 5kg-CAJA</v>
          </cell>
          <cell r="W1658" t="str">
            <v>Ajuste</v>
          </cell>
          <cell r="X1658">
            <v>100</v>
          </cell>
          <cell r="Y1658">
            <v>500</v>
          </cell>
        </row>
        <row r="1659">
          <cell r="U1659" t="str">
            <v>L104876</v>
          </cell>
          <cell r="V1659" t="str">
            <v>SPT 36x90ml-CAJA</v>
          </cell>
          <cell r="W1659" t="str">
            <v>Ajuste</v>
          </cell>
          <cell r="X1659">
            <v>131</v>
          </cell>
          <cell r="Y1659">
            <v>1004.7699999999998</v>
          </cell>
        </row>
        <row r="1660">
          <cell r="U1660" t="str">
            <v>L104887</v>
          </cell>
          <cell r="V1660" t="str">
            <v>SPT 3kg-CAJA</v>
          </cell>
          <cell r="W1660" t="str">
            <v>Ajuste</v>
          </cell>
          <cell r="X1660">
            <v>2</v>
          </cell>
          <cell r="Y1660">
            <v>6</v>
          </cell>
        </row>
        <row r="1661">
          <cell r="U1661" t="str">
            <v>L104653</v>
          </cell>
          <cell r="V1661" t="str">
            <v>SPVL 3kg</v>
          </cell>
          <cell r="W1661" t="str">
            <v>Ajuste</v>
          </cell>
          <cell r="X1661">
            <v>84</v>
          </cell>
          <cell r="Y1661">
            <v>252</v>
          </cell>
        </row>
        <row r="1662">
          <cell r="U1662" t="str">
            <v>L104654</v>
          </cell>
          <cell r="V1662" t="str">
            <v>SPVL 3kg</v>
          </cell>
          <cell r="W1662" t="str">
            <v>Ajuste</v>
          </cell>
          <cell r="X1662">
            <v>4</v>
          </cell>
          <cell r="Y1662">
            <v>12</v>
          </cell>
        </row>
        <row r="1663">
          <cell r="U1663" t="str">
            <v>L103789</v>
          </cell>
          <cell r="V1663" t="str">
            <v>SRD 1kg-CAJA</v>
          </cell>
          <cell r="W1663" t="str">
            <v>Ajuste</v>
          </cell>
          <cell r="X1663">
            <v>6</v>
          </cell>
          <cell r="Y1663">
            <v>6</v>
          </cell>
        </row>
        <row r="1664">
          <cell r="U1664" t="str">
            <v>L104583</v>
          </cell>
          <cell r="V1664" t="str">
            <v>SRD 5kg-CAJA</v>
          </cell>
          <cell r="W1664" t="str">
            <v>Ajuste</v>
          </cell>
          <cell r="X1664">
            <v>2</v>
          </cell>
          <cell r="Y1664">
            <v>10</v>
          </cell>
        </row>
        <row r="1665">
          <cell r="U1665" t="str">
            <v>L104398</v>
          </cell>
          <cell r="V1665" t="str">
            <v>srp 1.5kg - caja</v>
          </cell>
          <cell r="W1665" t="str">
            <v>Ajuste</v>
          </cell>
          <cell r="X1665">
            <v>2</v>
          </cell>
          <cell r="Y1665">
            <v>3</v>
          </cell>
        </row>
        <row r="1666">
          <cell r="U1666" t="str">
            <v>L104095</v>
          </cell>
          <cell r="V1666" t="str">
            <v>srpfv 2kg - caja</v>
          </cell>
          <cell r="W1666" t="str">
            <v>Ajuste</v>
          </cell>
          <cell r="X1666">
            <v>2</v>
          </cell>
          <cell r="Y1666">
            <v>4</v>
          </cell>
        </row>
        <row r="1667">
          <cell r="U1667" t="str">
            <v>L104686</v>
          </cell>
          <cell r="V1667" t="str">
            <v>SSY 2kg-CAJA</v>
          </cell>
          <cell r="W1667" t="str">
            <v>Ajuste</v>
          </cell>
          <cell r="X1667">
            <v>154</v>
          </cell>
          <cell r="Y1667">
            <v>308</v>
          </cell>
        </row>
        <row r="1668">
          <cell r="U1668" t="str">
            <v>L104376</v>
          </cell>
          <cell r="V1668" t="str">
            <v>STB - UNIDAD</v>
          </cell>
          <cell r="W1668" t="str">
            <v>Ajuste</v>
          </cell>
          <cell r="X1668">
            <v>16</v>
          </cell>
          <cell r="Y1668">
            <v>128</v>
          </cell>
        </row>
        <row r="1669">
          <cell r="U1669" t="str">
            <v>L104066</v>
          </cell>
          <cell r="V1669" t="str">
            <v>STM 1.5KG</v>
          </cell>
          <cell r="W1669" t="str">
            <v>Ajuste</v>
          </cell>
          <cell r="X1669">
            <v>4</v>
          </cell>
          <cell r="Y1669">
            <v>6</v>
          </cell>
        </row>
        <row r="1670">
          <cell r="U1670" t="str">
            <v>L104067</v>
          </cell>
          <cell r="V1670" t="str">
            <v>STM 1.5KG</v>
          </cell>
          <cell r="W1670" t="str">
            <v>Ajuste</v>
          </cell>
          <cell r="X1670">
            <v>10</v>
          </cell>
          <cell r="Y1670">
            <v>15</v>
          </cell>
        </row>
        <row r="1671">
          <cell r="U1671" t="str">
            <v>L104019</v>
          </cell>
          <cell r="V1671" t="str">
            <v>STM 2kg</v>
          </cell>
          <cell r="W1671" t="str">
            <v>Ajuste</v>
          </cell>
          <cell r="X1671">
            <v>2</v>
          </cell>
          <cell r="Y1671">
            <v>4</v>
          </cell>
        </row>
        <row r="1672">
          <cell r="U1672" t="str">
            <v>L104594</v>
          </cell>
          <cell r="V1672" t="str">
            <v>STM 2kg</v>
          </cell>
          <cell r="W1672" t="str">
            <v>Ajuste</v>
          </cell>
          <cell r="X1672">
            <v>22</v>
          </cell>
          <cell r="Y1672">
            <v>44</v>
          </cell>
        </row>
        <row r="1673">
          <cell r="U1673" t="str">
            <v>L104093</v>
          </cell>
          <cell r="V1673" t="str">
            <v>STM 3kg-CAJA</v>
          </cell>
          <cell r="W1673" t="str">
            <v>Ajuste</v>
          </cell>
          <cell r="X1673">
            <v>24</v>
          </cell>
          <cell r="Y1673">
            <v>72</v>
          </cell>
        </row>
        <row r="1674">
          <cell r="U1674" t="str">
            <v>L104404</v>
          </cell>
          <cell r="V1674" t="str">
            <v>STM 3kg-CAJA</v>
          </cell>
          <cell r="W1674" t="str">
            <v>Ajuste</v>
          </cell>
          <cell r="X1674">
            <v>14</v>
          </cell>
          <cell r="Y1674">
            <v>42</v>
          </cell>
        </row>
        <row r="1675">
          <cell r="U1675" t="str">
            <v>L104409</v>
          </cell>
          <cell r="V1675" t="str">
            <v>STM 3kg-CAJA</v>
          </cell>
          <cell r="W1675" t="str">
            <v>Ajuste</v>
          </cell>
          <cell r="X1675">
            <v>32</v>
          </cell>
          <cell r="Y1675">
            <v>96</v>
          </cell>
        </row>
        <row r="1676">
          <cell r="U1676" t="str">
            <v>L104667</v>
          </cell>
          <cell r="V1676" t="str">
            <v>STM 3kg-CAJA</v>
          </cell>
          <cell r="W1676" t="str">
            <v>Ajuste</v>
          </cell>
          <cell r="X1676">
            <v>32</v>
          </cell>
          <cell r="Y1676">
            <v>96</v>
          </cell>
        </row>
        <row r="1677">
          <cell r="U1677" t="str">
            <v>L103914</v>
          </cell>
          <cell r="V1677" t="str">
            <v>STM 48x200g-CAJA</v>
          </cell>
          <cell r="W1677" t="str">
            <v>Ajuste</v>
          </cell>
          <cell r="X1677">
            <v>448</v>
          </cell>
          <cell r="Y1677">
            <v>4838.4000000000115</v>
          </cell>
        </row>
        <row r="1678">
          <cell r="U1678" t="str">
            <v>l103974</v>
          </cell>
          <cell r="V1678" t="str">
            <v>STM 48x350g-CAJA</v>
          </cell>
          <cell r="W1678" t="str">
            <v>Ajuste</v>
          </cell>
          <cell r="X1678">
            <v>1068</v>
          </cell>
          <cell r="Y1678">
            <v>19224</v>
          </cell>
        </row>
        <row r="1679">
          <cell r="U1679" t="str">
            <v>l103974</v>
          </cell>
          <cell r="V1679" t="str">
            <v>STM 48x350g-CAJA</v>
          </cell>
          <cell r="W1679" t="str">
            <v>Dañado</v>
          </cell>
          <cell r="X1679">
            <v>1</v>
          </cell>
          <cell r="Y1679">
            <v>18</v>
          </cell>
        </row>
        <row r="1680">
          <cell r="U1680" t="str">
            <v>l103984</v>
          </cell>
          <cell r="V1680" t="str">
            <v>STM 4kg</v>
          </cell>
          <cell r="W1680" t="str">
            <v>Ajuste</v>
          </cell>
          <cell r="X1680">
            <v>60</v>
          </cell>
          <cell r="Y1680">
            <v>240</v>
          </cell>
        </row>
        <row r="1681">
          <cell r="U1681" t="str">
            <v>L103894</v>
          </cell>
          <cell r="V1681" t="str">
            <v>STM 5kg-CAJA</v>
          </cell>
          <cell r="W1681" t="str">
            <v>Ajuste</v>
          </cell>
          <cell r="X1681">
            <v>140</v>
          </cell>
          <cell r="Y1681">
            <v>700</v>
          </cell>
        </row>
        <row r="1682">
          <cell r="U1682" t="str">
            <v>L104699</v>
          </cell>
          <cell r="V1682" t="str">
            <v>Suavizante kg</v>
          </cell>
          <cell r="W1682" t="str">
            <v>Ajuste</v>
          </cell>
          <cell r="X1682">
            <v>68</v>
          </cell>
          <cell r="Y1682">
            <v>68</v>
          </cell>
        </row>
        <row r="1683">
          <cell r="U1683" t="str">
            <v>L104923</v>
          </cell>
          <cell r="V1683" t="str">
            <v>SZD 1kg-Caja</v>
          </cell>
          <cell r="W1683" t="str">
            <v>Ajuste</v>
          </cell>
          <cell r="X1683">
            <v>57</v>
          </cell>
          <cell r="Y1683">
            <v>57</v>
          </cell>
        </row>
        <row r="1684">
          <cell r="U1684" t="str">
            <v>L104840</v>
          </cell>
          <cell r="V1684" t="str">
            <v>SZD 2.5kg</v>
          </cell>
          <cell r="W1684" t="str">
            <v>Ajuste</v>
          </cell>
          <cell r="X1684">
            <v>280</v>
          </cell>
          <cell r="Y1684">
            <v>700</v>
          </cell>
        </row>
        <row r="1685">
          <cell r="U1685" t="str">
            <v>L104840</v>
          </cell>
          <cell r="V1685" t="str">
            <v>PV SZD 2.5kg</v>
          </cell>
          <cell r="W1685" t="str">
            <v>Ajuste</v>
          </cell>
          <cell r="X1685">
            <v>100</v>
          </cell>
          <cell r="Y1685">
            <v>250</v>
          </cell>
        </row>
        <row r="1686">
          <cell r="U1686" t="str">
            <v>L104663</v>
          </cell>
          <cell r="V1686" t="str">
            <v>SZD 3kg-Caja</v>
          </cell>
          <cell r="W1686" t="str">
            <v>Ajuste</v>
          </cell>
          <cell r="X1686">
            <v>6</v>
          </cell>
          <cell r="Y1686">
            <v>18</v>
          </cell>
        </row>
        <row r="1687">
          <cell r="U1687" t="str">
            <v>L104921</v>
          </cell>
          <cell r="V1687" t="str">
            <v>SZD 3kg-Caja</v>
          </cell>
          <cell r="W1687" t="str">
            <v>Ajuste</v>
          </cell>
          <cell r="X1687">
            <v>66</v>
          </cell>
          <cell r="Y1687">
            <v>198</v>
          </cell>
        </row>
        <row r="1688">
          <cell r="U1688" t="str">
            <v>L104921</v>
          </cell>
          <cell r="V1688" t="str">
            <v>PV SZD 3kg</v>
          </cell>
          <cell r="W1688" t="str">
            <v>Ajuste</v>
          </cell>
          <cell r="X1688">
            <v>24</v>
          </cell>
          <cell r="Y1688">
            <v>72</v>
          </cell>
        </row>
        <row r="1689">
          <cell r="U1689" t="str">
            <v>L104092</v>
          </cell>
          <cell r="V1689" t="str">
            <v>SZD 4kg-Caja</v>
          </cell>
          <cell r="W1689" t="str">
            <v>Ajuste</v>
          </cell>
          <cell r="X1689">
            <v>28</v>
          </cell>
          <cell r="Y1689">
            <v>112</v>
          </cell>
        </row>
        <row r="1690">
          <cell r="U1690" t="str">
            <v>L104020</v>
          </cell>
          <cell r="V1690" t="str">
            <v>SZD 5kg-Caja</v>
          </cell>
          <cell r="W1690" t="str">
            <v>Ajuste</v>
          </cell>
          <cell r="X1690">
            <v>22</v>
          </cell>
          <cell r="Y1690">
            <v>110</v>
          </cell>
        </row>
        <row r="1691">
          <cell r="U1691" t="str">
            <v>L104402</v>
          </cell>
          <cell r="V1691" t="str">
            <v>SZD 5kg-Caja</v>
          </cell>
          <cell r="W1691" t="str">
            <v>Ajuste</v>
          </cell>
          <cell r="X1691">
            <v>15</v>
          </cell>
          <cell r="Y1691">
            <v>75</v>
          </cell>
        </row>
        <row r="1692">
          <cell r="U1692" t="str">
            <v>L104403</v>
          </cell>
          <cell r="V1692" t="str">
            <v>SZD 5kg-Caja</v>
          </cell>
          <cell r="W1692" t="str">
            <v>Ajuste</v>
          </cell>
          <cell r="X1692">
            <v>6</v>
          </cell>
          <cell r="Y1692">
            <v>30</v>
          </cell>
        </row>
        <row r="1693">
          <cell r="U1693" t="str">
            <v>L104708</v>
          </cell>
          <cell r="V1693" t="str">
            <v>SZD 5kg-Caja</v>
          </cell>
          <cell r="W1693" t="str">
            <v>Ajuste</v>
          </cell>
          <cell r="X1693">
            <v>2140</v>
          </cell>
          <cell r="Y1693">
            <v>10700</v>
          </cell>
        </row>
        <row r="1694">
          <cell r="U1694" t="str">
            <v>L104708</v>
          </cell>
          <cell r="V1694" t="str">
            <v>PV SZD 5kg</v>
          </cell>
          <cell r="W1694" t="str">
            <v>Ajuste</v>
          </cell>
          <cell r="X1694">
            <v>132</v>
          </cell>
          <cell r="Y1694">
            <v>660</v>
          </cell>
        </row>
        <row r="1695">
          <cell r="U1695" t="str">
            <v>L103916</v>
          </cell>
          <cell r="V1695" t="str">
            <v>SZD 6kg-Caja</v>
          </cell>
          <cell r="W1695" t="str">
            <v>Ajuste</v>
          </cell>
          <cell r="X1695">
            <v>566</v>
          </cell>
          <cell r="Y1695">
            <v>3396</v>
          </cell>
        </row>
        <row r="1696">
          <cell r="U1696" t="str">
            <v>L104102</v>
          </cell>
          <cell r="V1696" t="str">
            <v>SZD 6kg-Caja</v>
          </cell>
          <cell r="W1696" t="str">
            <v>Ajuste</v>
          </cell>
          <cell r="X1696">
            <v>4</v>
          </cell>
          <cell r="Y1696">
            <v>24</v>
          </cell>
        </row>
        <row r="1697">
          <cell r="U1697" t="str">
            <v>L104841</v>
          </cell>
          <cell r="V1697" t="str">
            <v>SZD 6kg-Caja</v>
          </cell>
          <cell r="W1697" t="str">
            <v>Ajuste</v>
          </cell>
          <cell r="X1697">
            <v>408</v>
          </cell>
          <cell r="Y1697">
            <v>2448</v>
          </cell>
        </row>
        <row r="1698">
          <cell r="U1698" t="str">
            <v>L104841</v>
          </cell>
          <cell r="V1698" t="str">
            <v>PV SZD 6kg</v>
          </cell>
          <cell r="W1698" t="str">
            <v>Ajuste</v>
          </cell>
          <cell r="X1698">
            <v>208</v>
          </cell>
          <cell r="Y1698">
            <v>1248</v>
          </cell>
        </row>
        <row r="1699">
          <cell r="U1699" t="str">
            <v>L103987</v>
          </cell>
          <cell r="V1699" t="str">
            <v>SZD 7kg - CAJA</v>
          </cell>
          <cell r="W1699" t="str">
            <v>Ajuste</v>
          </cell>
          <cell r="X1699">
            <v>60</v>
          </cell>
          <cell r="Y1699">
            <v>420</v>
          </cell>
        </row>
        <row r="1700">
          <cell r="U1700" t="str">
            <v>L104928</v>
          </cell>
          <cell r="V1700" t="str">
            <v>TCN 6KG-CAJA</v>
          </cell>
          <cell r="W1700" t="str">
            <v>Ajuste</v>
          </cell>
          <cell r="X1700">
            <v>200</v>
          </cell>
          <cell r="Y1700">
            <v>1200</v>
          </cell>
        </row>
        <row r="1701">
          <cell r="U1701" t="str">
            <v>L104928</v>
          </cell>
          <cell r="V1701" t="str">
            <v>PV TCN 6KG-CAJA</v>
          </cell>
          <cell r="W1701" t="str">
            <v>Ajuste</v>
          </cell>
          <cell r="X1701">
            <v>156</v>
          </cell>
          <cell r="Y1701">
            <v>936</v>
          </cell>
        </row>
        <row r="1702">
          <cell r="U1702" t="str">
            <v>L104649</v>
          </cell>
          <cell r="V1702" t="str">
            <v>TPVPE 1Kg</v>
          </cell>
          <cell r="W1702" t="str">
            <v>Ajuste</v>
          </cell>
          <cell r="X1702">
            <v>22</v>
          </cell>
          <cell r="Y1702">
            <v>22</v>
          </cell>
        </row>
        <row r="1703">
          <cell r="U1703" t="str">
            <v>L104650</v>
          </cell>
          <cell r="V1703" t="str">
            <v>TPVPE 1Kg</v>
          </cell>
          <cell r="W1703" t="str">
            <v>Ajuste</v>
          </cell>
          <cell r="X1703">
            <v>16</v>
          </cell>
          <cell r="Y1703">
            <v>16</v>
          </cell>
        </row>
        <row r="1704">
          <cell r="U1704" t="str">
            <v>L104919</v>
          </cell>
          <cell r="V1704" t="str">
            <v>VM 3kg-CAJA</v>
          </cell>
          <cell r="W1704" t="str">
            <v>Ajuste</v>
          </cell>
          <cell r="X1704">
            <v>2</v>
          </cell>
          <cell r="Y1704">
            <v>6</v>
          </cell>
        </row>
        <row r="1705">
          <cell r="U1705" t="str">
            <v>L103780</v>
          </cell>
          <cell r="V1705" t="str">
            <v>VM 5kg-CAJA</v>
          </cell>
          <cell r="W1705" t="str">
            <v>Ajuste</v>
          </cell>
          <cell r="X1705">
            <v>22</v>
          </cell>
          <cell r="Y1705">
            <v>110</v>
          </cell>
        </row>
        <row r="1706">
          <cell r="U1706" t="str">
            <v>L104042</v>
          </cell>
          <cell r="V1706" t="str">
            <v>VM 5kg-CAJA</v>
          </cell>
          <cell r="W1706" t="str">
            <v>Ajuste</v>
          </cell>
          <cell r="X1706">
            <v>8</v>
          </cell>
          <cell r="Y1706">
            <v>40</v>
          </cell>
        </row>
        <row r="1707">
          <cell r="U1707" t="str">
            <v>L104573</v>
          </cell>
          <cell r="V1707" t="str">
            <v>VM 5kg-CAJA</v>
          </cell>
          <cell r="W1707" t="str">
            <v>Ajuste</v>
          </cell>
          <cell r="X1707">
            <v>9</v>
          </cell>
          <cell r="Y1707">
            <v>45</v>
          </cell>
        </row>
        <row r="1708">
          <cell r="U1708" t="str">
            <v>L104585</v>
          </cell>
          <cell r="V1708" t="str">
            <v>VM 5kg-CAJA</v>
          </cell>
          <cell r="W1708" t="str">
            <v>Ajuste</v>
          </cell>
          <cell r="X1708">
            <v>11</v>
          </cell>
          <cell r="Y1708">
            <v>55</v>
          </cell>
        </row>
        <row r="1709">
          <cell r="U1709" t="str">
            <v>L104640</v>
          </cell>
          <cell r="V1709" t="str">
            <v>VM 5kg-CAJA</v>
          </cell>
          <cell r="W1709" t="str">
            <v>Ajuste</v>
          </cell>
          <cell r="X1709">
            <v>2</v>
          </cell>
          <cell r="Y1709">
            <v>10</v>
          </cell>
        </row>
        <row r="1710">
          <cell r="U1710" t="str">
            <v>L104808</v>
          </cell>
          <cell r="V1710" t="str">
            <v>VM 5kg-CAJA</v>
          </cell>
          <cell r="W1710" t="str">
            <v>Ajuste</v>
          </cell>
          <cell r="X1710">
            <v>2</v>
          </cell>
          <cell r="Y1710">
            <v>10</v>
          </cell>
        </row>
        <row r="1711">
          <cell r="U1711" t="str">
            <v>L104774</v>
          </cell>
          <cell r="V1711" t="str">
            <v>VNG 2KG</v>
          </cell>
          <cell r="W1711" t="str">
            <v>Ajuste</v>
          </cell>
          <cell r="X1711">
            <v>2</v>
          </cell>
          <cell r="Y1711">
            <v>4</v>
          </cell>
        </row>
        <row r="1712">
          <cell r="U1712" t="str">
            <v>L104395</v>
          </cell>
          <cell r="V1712" t="str">
            <v>VNG 3KG</v>
          </cell>
          <cell r="W1712" t="str">
            <v>Ajuste</v>
          </cell>
          <cell r="X1712">
            <v>32</v>
          </cell>
          <cell r="Y1712">
            <v>96</v>
          </cell>
        </row>
        <row r="1713">
          <cell r="U1713" t="str">
            <v>L104668</v>
          </cell>
          <cell r="V1713" t="str">
            <v>VNG 3KG</v>
          </cell>
          <cell r="W1713" t="str">
            <v>Ajuste</v>
          </cell>
          <cell r="X1713">
            <v>10</v>
          </cell>
          <cell r="Y1713">
            <v>30</v>
          </cell>
        </row>
        <row r="1714">
          <cell r="U1714" t="str">
            <v>L105850</v>
          </cell>
          <cell r="V1714" t="str">
            <v>ACC 3kg</v>
          </cell>
          <cell r="W1714" t="str">
            <v>Ajuste</v>
          </cell>
          <cell r="X1714">
            <v>6</v>
          </cell>
          <cell r="Y1714">
            <v>18</v>
          </cell>
        </row>
        <row r="1715">
          <cell r="U1715" t="str">
            <v>L105519</v>
          </cell>
          <cell r="V1715" t="str">
            <v>ACE 1KG-CAJA</v>
          </cell>
          <cell r="W1715" t="str">
            <v>Ajuste</v>
          </cell>
          <cell r="X1715">
            <v>60</v>
          </cell>
          <cell r="Y1715">
            <v>60</v>
          </cell>
        </row>
        <row r="1716">
          <cell r="U1716" t="str">
            <v>L105873</v>
          </cell>
          <cell r="V1716" t="str">
            <v>ACE 1KG-CAJA</v>
          </cell>
          <cell r="W1716" t="str">
            <v>Ajuste</v>
          </cell>
          <cell r="X1716">
            <v>13</v>
          </cell>
          <cell r="Y1716">
            <v>13</v>
          </cell>
        </row>
        <row r="1717">
          <cell r="U1717" t="str">
            <v>L105539</v>
          </cell>
          <cell r="V1717" t="str">
            <v>ACT 2kg</v>
          </cell>
          <cell r="W1717" t="str">
            <v>Ajuste</v>
          </cell>
          <cell r="X1717">
            <v>8</v>
          </cell>
          <cell r="Y1717">
            <v>16.559999999999999</v>
          </cell>
        </row>
        <row r="1718">
          <cell r="U1718" t="str">
            <v>L105861</v>
          </cell>
          <cell r="V1718" t="str">
            <v>ACT 3kg</v>
          </cell>
          <cell r="W1718" t="str">
            <v>Ajuste</v>
          </cell>
          <cell r="X1718">
            <v>1</v>
          </cell>
          <cell r="Y1718">
            <v>3</v>
          </cell>
        </row>
        <row r="1719">
          <cell r="U1719" t="str">
            <v>L105052</v>
          </cell>
          <cell r="V1719" t="str">
            <v>ACT 5kg</v>
          </cell>
          <cell r="W1719" t="str">
            <v>Ajuste</v>
          </cell>
          <cell r="X1719">
            <v>2</v>
          </cell>
          <cell r="Y1719">
            <v>10</v>
          </cell>
        </row>
        <row r="1720">
          <cell r="U1720" t="str">
            <v>L105396</v>
          </cell>
          <cell r="V1720" t="str">
            <v>ACT 5kg</v>
          </cell>
          <cell r="W1720" t="str">
            <v>Ajuste</v>
          </cell>
          <cell r="X1720">
            <v>1</v>
          </cell>
          <cell r="Y1720">
            <v>5</v>
          </cell>
        </row>
        <row r="1721">
          <cell r="U1721" t="str">
            <v>L105737</v>
          </cell>
          <cell r="V1721" t="str">
            <v>ADP 1kg</v>
          </cell>
          <cell r="W1721" t="str">
            <v>Ajuste</v>
          </cell>
          <cell r="X1721">
            <v>62</v>
          </cell>
          <cell r="Y1721">
            <v>62</v>
          </cell>
        </row>
        <row r="1722">
          <cell r="U1722" t="str">
            <v>L105738</v>
          </cell>
          <cell r="V1722" t="str">
            <v>ADP 1kg</v>
          </cell>
          <cell r="W1722" t="str">
            <v>Ajuste</v>
          </cell>
          <cell r="X1722">
            <v>182</v>
          </cell>
          <cell r="Y1722">
            <v>182</v>
          </cell>
        </row>
        <row r="1723">
          <cell r="U1723" t="str">
            <v>L105739</v>
          </cell>
          <cell r="V1723" t="str">
            <v>ADP 1kg</v>
          </cell>
          <cell r="W1723" t="str">
            <v>Ajuste</v>
          </cell>
          <cell r="X1723">
            <v>20</v>
          </cell>
          <cell r="Y1723">
            <v>20</v>
          </cell>
        </row>
        <row r="1724">
          <cell r="U1724" t="str">
            <v>L105740</v>
          </cell>
          <cell r="V1724" t="str">
            <v>ADP 1kg</v>
          </cell>
          <cell r="W1724" t="str">
            <v>Ajuste</v>
          </cell>
          <cell r="X1724">
            <v>2</v>
          </cell>
          <cell r="Y1724">
            <v>2</v>
          </cell>
        </row>
        <row r="1725">
          <cell r="U1725" t="str">
            <v>L105254</v>
          </cell>
          <cell r="V1725" t="str">
            <v>ADP 2Kg</v>
          </cell>
          <cell r="W1725" t="str">
            <v>Ajuste</v>
          </cell>
          <cell r="X1725">
            <v>2</v>
          </cell>
          <cell r="Y1725">
            <v>4</v>
          </cell>
        </row>
        <row r="1726">
          <cell r="U1726" t="str">
            <v>L105276</v>
          </cell>
          <cell r="V1726" t="str">
            <v>ADR 2kg</v>
          </cell>
          <cell r="W1726" t="str">
            <v>Ajuste</v>
          </cell>
          <cell r="X1726">
            <v>4</v>
          </cell>
          <cell r="Y1726">
            <v>8</v>
          </cell>
        </row>
        <row r="1727">
          <cell r="U1727" t="str">
            <v>L105455</v>
          </cell>
          <cell r="V1727" t="str">
            <v>ADR 3kg</v>
          </cell>
          <cell r="W1727" t="str">
            <v>Ajuste</v>
          </cell>
          <cell r="X1727">
            <v>140</v>
          </cell>
          <cell r="Y1727">
            <v>420</v>
          </cell>
        </row>
        <row r="1728">
          <cell r="U1728" t="str">
            <v>L105032</v>
          </cell>
          <cell r="V1728" t="str">
            <v>AGU 24X500ml-CAJA</v>
          </cell>
          <cell r="W1728" t="str">
            <v>Ajuste</v>
          </cell>
          <cell r="X1728">
            <v>2</v>
          </cell>
          <cell r="Y1728">
            <v>24</v>
          </cell>
        </row>
        <row r="1729">
          <cell r="U1729" t="str">
            <v>L105936</v>
          </cell>
          <cell r="V1729" t="str">
            <v>ALC 1GAL - UNIDAD</v>
          </cell>
          <cell r="W1729" t="str">
            <v>Ajuste</v>
          </cell>
          <cell r="X1729">
            <v>56</v>
          </cell>
          <cell r="Y1729">
            <v>211.68</v>
          </cell>
        </row>
        <row r="1730">
          <cell r="U1730" t="str">
            <v>L105212</v>
          </cell>
          <cell r="V1730" t="str">
            <v>APP 2Kg</v>
          </cell>
          <cell r="W1730" t="str">
            <v>Ajuste</v>
          </cell>
          <cell r="X1730">
            <v>4</v>
          </cell>
          <cell r="Y1730">
            <v>8</v>
          </cell>
        </row>
        <row r="1731">
          <cell r="U1731" t="str">
            <v>L105401</v>
          </cell>
          <cell r="V1731" t="str">
            <v>ARTVARHOG kg</v>
          </cell>
          <cell r="W1731" t="str">
            <v>Ajuste</v>
          </cell>
          <cell r="X1731">
            <v>8</v>
          </cell>
          <cell r="Y1731">
            <v>8</v>
          </cell>
        </row>
        <row r="1732">
          <cell r="U1732" t="str">
            <v>L105534</v>
          </cell>
          <cell r="V1732" t="str">
            <v>ARZ 2 kg-Unidad</v>
          </cell>
          <cell r="W1732" t="str">
            <v>Ajuste</v>
          </cell>
          <cell r="X1732">
            <v>72</v>
          </cell>
          <cell r="Y1732">
            <v>144</v>
          </cell>
        </row>
        <row r="1733">
          <cell r="U1733" t="str">
            <v>L104975</v>
          </cell>
          <cell r="V1733" t="str">
            <v>ARZ AY 5Kg</v>
          </cell>
          <cell r="W1733" t="str">
            <v>Ajuste</v>
          </cell>
          <cell r="X1733">
            <v>594</v>
          </cell>
          <cell r="Y1733">
            <v>2970</v>
          </cell>
        </row>
        <row r="1734">
          <cell r="U1734" t="str">
            <v>L105247</v>
          </cell>
          <cell r="V1734" t="str">
            <v>ARZEPF 5kg (CAJA)</v>
          </cell>
          <cell r="W1734" t="str">
            <v>Ajuste</v>
          </cell>
          <cell r="X1734">
            <v>251</v>
          </cell>
          <cell r="Y1734">
            <v>1255</v>
          </cell>
        </row>
        <row r="1735">
          <cell r="U1735" t="str">
            <v>L105965</v>
          </cell>
          <cell r="V1735" t="str">
            <v>ARZEPF 5kg (CAJA)</v>
          </cell>
          <cell r="W1735" t="str">
            <v>Ajuste</v>
          </cell>
          <cell r="X1735">
            <v>393</v>
          </cell>
          <cell r="Y1735">
            <v>1965</v>
          </cell>
        </row>
        <row r="1736">
          <cell r="U1736" t="str">
            <v>L105855</v>
          </cell>
          <cell r="V1736" t="str">
            <v>ARZEPF14kg (CAJA)</v>
          </cell>
          <cell r="W1736" t="str">
            <v>Ajuste</v>
          </cell>
          <cell r="X1736">
            <v>100</v>
          </cell>
          <cell r="Y1736">
            <v>1400</v>
          </cell>
        </row>
        <row r="1737">
          <cell r="U1737" t="str">
            <v>L105035</v>
          </cell>
          <cell r="V1737" t="str">
            <v>ATN 1kg-CAJA</v>
          </cell>
          <cell r="W1737" t="str">
            <v>Ajuste</v>
          </cell>
          <cell r="X1737">
            <v>22</v>
          </cell>
          <cell r="Y1737">
            <v>22</v>
          </cell>
        </row>
        <row r="1738">
          <cell r="U1738" t="str">
            <v>L105036</v>
          </cell>
          <cell r="V1738" t="str">
            <v>ATN 1kg-CAJA</v>
          </cell>
          <cell r="W1738" t="str">
            <v>Ajuste</v>
          </cell>
          <cell r="X1738">
            <v>4</v>
          </cell>
          <cell r="Y1738">
            <v>4</v>
          </cell>
        </row>
        <row r="1739">
          <cell r="U1739" t="str">
            <v>L105139</v>
          </cell>
          <cell r="V1739" t="str">
            <v>ATN 1kg-CAJA</v>
          </cell>
          <cell r="W1739" t="str">
            <v>Ajuste</v>
          </cell>
          <cell r="X1739">
            <v>6</v>
          </cell>
          <cell r="Y1739">
            <v>6</v>
          </cell>
        </row>
        <row r="1740">
          <cell r="U1740" t="str">
            <v>L105386</v>
          </cell>
          <cell r="V1740" t="str">
            <v>ATN 1kg-CAJA</v>
          </cell>
          <cell r="W1740" t="str">
            <v>Ajuste</v>
          </cell>
          <cell r="X1740">
            <v>10</v>
          </cell>
          <cell r="Y1740">
            <v>10</v>
          </cell>
        </row>
        <row r="1741">
          <cell r="U1741" t="str">
            <v>L105795</v>
          </cell>
          <cell r="V1741" t="str">
            <v>ATN 1kg-CAJA</v>
          </cell>
          <cell r="W1741" t="str">
            <v>Ajuste</v>
          </cell>
          <cell r="X1741">
            <v>30</v>
          </cell>
          <cell r="Y1741">
            <v>30</v>
          </cell>
        </row>
        <row r="1742">
          <cell r="U1742" t="str">
            <v>L105796</v>
          </cell>
          <cell r="V1742" t="str">
            <v>ATN 1kg-CAJA</v>
          </cell>
          <cell r="W1742" t="str">
            <v>Ajuste</v>
          </cell>
          <cell r="X1742">
            <v>36</v>
          </cell>
          <cell r="Y1742">
            <v>36</v>
          </cell>
        </row>
        <row r="1743">
          <cell r="U1743" t="str">
            <v>L105797</v>
          </cell>
          <cell r="V1743" t="str">
            <v>ATN 1kg-CAJA</v>
          </cell>
          <cell r="W1743" t="str">
            <v>Ajuste</v>
          </cell>
          <cell r="X1743">
            <v>14</v>
          </cell>
          <cell r="Y1743">
            <v>14</v>
          </cell>
        </row>
        <row r="1744">
          <cell r="U1744" t="str">
            <v>L105540</v>
          </cell>
          <cell r="V1744" t="str">
            <v>AZC 2kg-PAQUETE</v>
          </cell>
          <cell r="W1744" t="str">
            <v>Ajuste</v>
          </cell>
          <cell r="X1744">
            <v>222</v>
          </cell>
          <cell r="Y1744">
            <v>444</v>
          </cell>
        </row>
        <row r="1745">
          <cell r="U1745" t="str">
            <v>L105540</v>
          </cell>
          <cell r="V1745" t="str">
            <v>AZC 2kg-PAQUETE</v>
          </cell>
          <cell r="W1745" t="str">
            <v>Uso del BAP</v>
          </cell>
          <cell r="X1745">
            <v>2</v>
          </cell>
          <cell r="Y1745">
            <v>4</v>
          </cell>
        </row>
        <row r="1746">
          <cell r="U1746" t="str">
            <v>L105063</v>
          </cell>
          <cell r="V1746" t="str">
            <v>AZC 2kg-PAQUETE</v>
          </cell>
          <cell r="W1746" t="str">
            <v>Ajuste</v>
          </cell>
          <cell r="X1746">
            <v>174</v>
          </cell>
          <cell r="Y1746">
            <v>348</v>
          </cell>
        </row>
        <row r="1747">
          <cell r="U1747" t="str">
            <v>L105318</v>
          </cell>
          <cell r="V1747" t="str">
            <v>AZC 2kg-PAQUETE</v>
          </cell>
          <cell r="W1747" t="str">
            <v>Ajuste</v>
          </cell>
          <cell r="X1747">
            <v>46</v>
          </cell>
          <cell r="Y1747">
            <v>92</v>
          </cell>
        </row>
        <row r="1748">
          <cell r="U1748" t="str">
            <v>L105665</v>
          </cell>
          <cell r="V1748" t="str">
            <v>AZC 2kg-PAQUETE</v>
          </cell>
          <cell r="W1748" t="str">
            <v>Ajuste</v>
          </cell>
          <cell r="X1748">
            <v>22</v>
          </cell>
          <cell r="Y1748">
            <v>44</v>
          </cell>
        </row>
        <row r="1749">
          <cell r="U1749" t="str">
            <v>L104971</v>
          </cell>
          <cell r="V1749" t="str">
            <v>BASP 5kg</v>
          </cell>
          <cell r="W1749" t="str">
            <v>Ajuste</v>
          </cell>
          <cell r="X1749">
            <v>132</v>
          </cell>
          <cell r="Y1749">
            <v>660</v>
          </cell>
        </row>
        <row r="1750">
          <cell r="U1750" t="str">
            <v>L104972</v>
          </cell>
          <cell r="V1750" t="str">
            <v>BASPAY 5kg</v>
          </cell>
          <cell r="W1750" t="str">
            <v>Ajuste</v>
          </cell>
          <cell r="X1750">
            <v>132</v>
          </cell>
          <cell r="Y1750">
            <v>660</v>
          </cell>
        </row>
        <row r="1751">
          <cell r="U1751" t="str">
            <v>L105251</v>
          </cell>
          <cell r="V1751" t="str">
            <v>BDP 5kg-CAJA</v>
          </cell>
          <cell r="W1751" t="str">
            <v>Ajuste</v>
          </cell>
          <cell r="X1751">
            <v>216</v>
          </cell>
          <cell r="Y1751">
            <v>1080</v>
          </cell>
        </row>
        <row r="1752">
          <cell r="U1752" t="str">
            <v>L105251</v>
          </cell>
          <cell r="V1752" t="str">
            <v>PV BDP 5kg</v>
          </cell>
          <cell r="W1752" t="str">
            <v>Ajuste</v>
          </cell>
          <cell r="X1752">
            <v>184</v>
          </cell>
          <cell r="Y1752">
            <v>920</v>
          </cell>
        </row>
        <row r="1753">
          <cell r="U1753" t="str">
            <v>L105251</v>
          </cell>
          <cell r="V1753" t="str">
            <v>PV BDP 5kg</v>
          </cell>
          <cell r="W1753" t="str">
            <v>Dañado</v>
          </cell>
          <cell r="X1753">
            <v>2</v>
          </cell>
          <cell r="Y1753">
            <v>10</v>
          </cell>
        </row>
        <row r="1754">
          <cell r="U1754" t="str">
            <v>L105377</v>
          </cell>
          <cell r="V1754" t="str">
            <v>BPB 1Kg-UNIDAD</v>
          </cell>
          <cell r="W1754" t="str">
            <v>Ajuste</v>
          </cell>
          <cell r="X1754">
            <v>14</v>
          </cell>
          <cell r="Y1754">
            <v>14</v>
          </cell>
        </row>
        <row r="1755">
          <cell r="U1755" t="str">
            <v>L105658</v>
          </cell>
          <cell r="V1755" t="str">
            <v>BPB 1Kg-UNIDAD</v>
          </cell>
          <cell r="W1755" t="str">
            <v>Ajuste</v>
          </cell>
          <cell r="X1755">
            <v>8</v>
          </cell>
          <cell r="Y1755">
            <v>8</v>
          </cell>
        </row>
        <row r="1756">
          <cell r="U1756" t="str">
            <v>L105656</v>
          </cell>
          <cell r="V1756" t="str">
            <v>BPB 3Kg-UNIDAD</v>
          </cell>
          <cell r="W1756" t="str">
            <v>Ajuste</v>
          </cell>
          <cell r="X1756">
            <v>10</v>
          </cell>
          <cell r="Y1756">
            <v>30</v>
          </cell>
        </row>
        <row r="1757">
          <cell r="U1757" t="str">
            <v>L105037</v>
          </cell>
          <cell r="V1757" t="str">
            <v>BPV 5kg</v>
          </cell>
          <cell r="W1757" t="str">
            <v>Ajuste</v>
          </cell>
          <cell r="X1757">
            <v>14</v>
          </cell>
          <cell r="Y1757">
            <v>70</v>
          </cell>
        </row>
        <row r="1758">
          <cell r="U1758" t="str">
            <v>L105159</v>
          </cell>
          <cell r="V1758" t="str">
            <v>BPV 5kg</v>
          </cell>
          <cell r="W1758" t="str">
            <v>Ajuste</v>
          </cell>
          <cell r="X1758">
            <v>4</v>
          </cell>
          <cell r="Y1758">
            <v>20</v>
          </cell>
        </row>
        <row r="1759">
          <cell r="U1759" t="str">
            <v>L105160</v>
          </cell>
          <cell r="V1759" t="str">
            <v>BPV 5kg</v>
          </cell>
          <cell r="W1759" t="str">
            <v>Ajuste</v>
          </cell>
          <cell r="X1759">
            <v>2</v>
          </cell>
          <cell r="Y1759">
            <v>10</v>
          </cell>
        </row>
        <row r="1760">
          <cell r="U1760" t="str">
            <v>L105161</v>
          </cell>
          <cell r="V1760" t="str">
            <v>BPV 5kg</v>
          </cell>
          <cell r="W1760" t="str">
            <v>Ajuste</v>
          </cell>
          <cell r="X1760">
            <v>4</v>
          </cell>
          <cell r="Y1760">
            <v>20</v>
          </cell>
        </row>
        <row r="1761">
          <cell r="U1761" t="str">
            <v>L105162</v>
          </cell>
          <cell r="V1761" t="str">
            <v>BPV 5kg</v>
          </cell>
          <cell r="W1761" t="str">
            <v>Ajuste</v>
          </cell>
          <cell r="X1761">
            <v>6</v>
          </cell>
          <cell r="Y1761">
            <v>30</v>
          </cell>
        </row>
        <row r="1762">
          <cell r="U1762" t="str">
            <v>L105388</v>
          </cell>
          <cell r="V1762" t="str">
            <v>BPV 5kg</v>
          </cell>
          <cell r="W1762" t="str">
            <v>Ajuste</v>
          </cell>
          <cell r="X1762">
            <v>14</v>
          </cell>
          <cell r="Y1762">
            <v>70</v>
          </cell>
        </row>
        <row r="1763">
          <cell r="U1763" t="str">
            <v>L105641</v>
          </cell>
          <cell r="V1763" t="str">
            <v>BPV 5kg</v>
          </cell>
          <cell r="W1763" t="str">
            <v>Ajuste</v>
          </cell>
          <cell r="X1763">
            <v>2</v>
          </cell>
          <cell r="Y1763">
            <v>10</v>
          </cell>
        </row>
        <row r="1764">
          <cell r="U1764" t="str">
            <v>L105642</v>
          </cell>
          <cell r="V1764" t="str">
            <v>BPV 5kg</v>
          </cell>
          <cell r="W1764" t="str">
            <v>Ajuste</v>
          </cell>
          <cell r="X1764">
            <v>2</v>
          </cell>
          <cell r="Y1764">
            <v>10</v>
          </cell>
        </row>
        <row r="1765">
          <cell r="U1765" t="str">
            <v>L105754</v>
          </cell>
          <cell r="V1765" t="str">
            <v>BPV 5kg</v>
          </cell>
          <cell r="W1765" t="str">
            <v>Ajuste</v>
          </cell>
          <cell r="X1765">
            <v>8</v>
          </cell>
          <cell r="Y1765">
            <v>40</v>
          </cell>
        </row>
        <row r="1766">
          <cell r="U1766" t="str">
            <v>L105932</v>
          </cell>
          <cell r="V1766" t="str">
            <v>BPV 5kg</v>
          </cell>
          <cell r="W1766" t="str">
            <v>Ajuste</v>
          </cell>
          <cell r="X1766">
            <v>8</v>
          </cell>
          <cell r="Y1766">
            <v>40</v>
          </cell>
        </row>
        <row r="1767">
          <cell r="U1767" t="str">
            <v>L105933</v>
          </cell>
          <cell r="V1767" t="str">
            <v>BPV 5kg</v>
          </cell>
          <cell r="W1767" t="str">
            <v>Ajuste</v>
          </cell>
          <cell r="X1767">
            <v>8</v>
          </cell>
          <cell r="Y1767">
            <v>40</v>
          </cell>
        </row>
        <row r="1768">
          <cell r="U1768" t="str">
            <v>L105934</v>
          </cell>
          <cell r="V1768" t="str">
            <v>BPV 5kg</v>
          </cell>
          <cell r="W1768" t="str">
            <v>Ajuste</v>
          </cell>
          <cell r="X1768">
            <v>2</v>
          </cell>
          <cell r="Y1768">
            <v>10</v>
          </cell>
        </row>
        <row r="1769">
          <cell r="U1769" t="str">
            <v>L104970</v>
          </cell>
          <cell r="V1769" t="str">
            <v>BPVAY 10kg</v>
          </cell>
          <cell r="W1769" t="str">
            <v>Ajuste</v>
          </cell>
          <cell r="X1769">
            <v>132</v>
          </cell>
          <cell r="Y1769">
            <v>1320</v>
          </cell>
        </row>
        <row r="1770">
          <cell r="U1770" t="str">
            <v>L106021</v>
          </cell>
          <cell r="V1770" t="str">
            <v>CAF 2kg</v>
          </cell>
          <cell r="W1770" t="str">
            <v>Ajuste</v>
          </cell>
          <cell r="X1770">
            <v>10</v>
          </cell>
          <cell r="Y1770">
            <v>20</v>
          </cell>
        </row>
        <row r="1771">
          <cell r="U1771" t="str">
            <v>L105663</v>
          </cell>
          <cell r="V1771" t="str">
            <v>CCHP 1kg</v>
          </cell>
          <cell r="W1771" t="str">
            <v>Ajuste</v>
          </cell>
          <cell r="X1771">
            <v>3</v>
          </cell>
          <cell r="Y1771">
            <v>3</v>
          </cell>
        </row>
        <row r="1772">
          <cell r="U1772" t="str">
            <v>L105663</v>
          </cell>
          <cell r="V1772" t="str">
            <v>CCHP 1kg</v>
          </cell>
          <cell r="W1772" t="str">
            <v>Uso del BAP</v>
          </cell>
          <cell r="X1772">
            <v>1</v>
          </cell>
          <cell r="Y1772">
            <v>1</v>
          </cell>
        </row>
        <row r="1773">
          <cell r="U1773" t="str">
            <v>L105860</v>
          </cell>
          <cell r="V1773" t="str">
            <v>CHP 3kg</v>
          </cell>
          <cell r="W1773" t="str">
            <v>Ajuste</v>
          </cell>
          <cell r="X1773">
            <v>8</v>
          </cell>
          <cell r="Y1773">
            <v>24</v>
          </cell>
        </row>
        <row r="1774">
          <cell r="U1774" t="str">
            <v>L105402</v>
          </cell>
          <cell r="V1774" t="str">
            <v>CHT 1kg - CAJA</v>
          </cell>
          <cell r="W1774" t="str">
            <v>Ajuste</v>
          </cell>
          <cell r="X1774">
            <v>780</v>
          </cell>
          <cell r="Y1774">
            <v>780</v>
          </cell>
        </row>
        <row r="1775">
          <cell r="U1775" t="str">
            <v>L105403</v>
          </cell>
          <cell r="V1775" t="str">
            <v>CHT 1kg - CAJA</v>
          </cell>
          <cell r="W1775" t="str">
            <v>Ajuste</v>
          </cell>
          <cell r="X1775">
            <v>54</v>
          </cell>
          <cell r="Y1775">
            <v>54</v>
          </cell>
        </row>
        <row r="1776">
          <cell r="U1776" t="str">
            <v>L105025</v>
          </cell>
          <cell r="V1776" t="str">
            <v>CJRC46-25UNI</v>
          </cell>
          <cell r="W1776" t="str">
            <v>Ajuste</v>
          </cell>
          <cell r="X1776">
            <v>192</v>
          </cell>
          <cell r="Y1776">
            <v>1497.6</v>
          </cell>
        </row>
        <row r="1777">
          <cell r="U1777" t="str">
            <v>L105060</v>
          </cell>
          <cell r="V1777" t="str">
            <v>CLX 2kg</v>
          </cell>
          <cell r="W1777" t="str">
            <v>Ajuste</v>
          </cell>
          <cell r="X1777">
            <v>10</v>
          </cell>
          <cell r="Y1777">
            <v>20</v>
          </cell>
        </row>
        <row r="1778">
          <cell r="U1778" t="str">
            <v>L105664</v>
          </cell>
          <cell r="V1778" t="str">
            <v>CLX 2kg</v>
          </cell>
          <cell r="W1778" t="str">
            <v>Ajuste</v>
          </cell>
          <cell r="X1778">
            <v>4</v>
          </cell>
          <cell r="Y1778">
            <v>8</v>
          </cell>
        </row>
        <row r="1779">
          <cell r="U1779" t="str">
            <v>L105638</v>
          </cell>
          <cell r="V1779" t="str">
            <v>CNPH 5Kg</v>
          </cell>
          <cell r="W1779" t="str">
            <v>Ajuste</v>
          </cell>
          <cell r="X1779">
            <v>200</v>
          </cell>
          <cell r="Y1779">
            <v>1000</v>
          </cell>
        </row>
        <row r="1780">
          <cell r="U1780" t="str">
            <v>L104976</v>
          </cell>
          <cell r="V1780" t="str">
            <v>CODV 2kg</v>
          </cell>
          <cell r="W1780" t="str">
            <v>Ajuste</v>
          </cell>
          <cell r="X1780">
            <v>80</v>
          </cell>
          <cell r="Y1780">
            <v>160</v>
          </cell>
        </row>
        <row r="1781">
          <cell r="U1781" t="str">
            <v>L105674</v>
          </cell>
          <cell r="V1781" t="str">
            <v>COSDC 3KG</v>
          </cell>
          <cell r="W1781" t="str">
            <v>Ajuste</v>
          </cell>
          <cell r="X1781">
            <v>492</v>
          </cell>
          <cell r="Y1781">
            <v>1476</v>
          </cell>
        </row>
        <row r="1782">
          <cell r="U1782" t="str">
            <v>L105125</v>
          </cell>
          <cell r="V1782" t="str">
            <v>COSDC 3KG</v>
          </cell>
          <cell r="W1782" t="str">
            <v>Ajuste</v>
          </cell>
          <cell r="X1782">
            <v>888</v>
          </cell>
          <cell r="Y1782">
            <v>2664</v>
          </cell>
        </row>
        <row r="1783">
          <cell r="U1783" t="str">
            <v>L105939</v>
          </cell>
          <cell r="V1783" t="str">
            <v>CRAVCH 3kg</v>
          </cell>
          <cell r="W1783" t="str">
            <v>Ajuste</v>
          </cell>
          <cell r="X1783">
            <v>6</v>
          </cell>
          <cell r="Y1783">
            <v>18</v>
          </cell>
        </row>
        <row r="1784">
          <cell r="U1784" t="str">
            <v>L105153</v>
          </cell>
          <cell r="V1784" t="str">
            <v>CRV 1.5kg</v>
          </cell>
          <cell r="W1784" t="str">
            <v>Ajuste</v>
          </cell>
          <cell r="X1784">
            <v>2</v>
          </cell>
          <cell r="Y1784">
            <v>3</v>
          </cell>
        </row>
        <row r="1785">
          <cell r="U1785" t="str">
            <v>L105154</v>
          </cell>
          <cell r="V1785" t="str">
            <v>CRV 1kg</v>
          </cell>
          <cell r="W1785" t="str">
            <v>Ajuste</v>
          </cell>
          <cell r="X1785">
            <v>2</v>
          </cell>
          <cell r="Y1785">
            <v>2</v>
          </cell>
        </row>
        <row r="1786">
          <cell r="U1786" t="str">
            <v>L105158</v>
          </cell>
          <cell r="V1786" t="str">
            <v>CRV 1kg</v>
          </cell>
          <cell r="W1786" t="str">
            <v>Ajuste</v>
          </cell>
          <cell r="X1786">
            <v>2</v>
          </cell>
          <cell r="Y1786">
            <v>2</v>
          </cell>
        </row>
        <row r="1787">
          <cell r="U1787" t="str">
            <v>L105373</v>
          </cell>
          <cell r="V1787" t="str">
            <v>CRV 1kg</v>
          </cell>
          <cell r="W1787" t="str">
            <v>Ajuste</v>
          </cell>
          <cell r="X1787">
            <v>2</v>
          </cell>
          <cell r="Y1787">
            <v>2</v>
          </cell>
        </row>
        <row r="1788">
          <cell r="U1788" t="str">
            <v>L105374</v>
          </cell>
          <cell r="V1788" t="str">
            <v>CRV 1kg</v>
          </cell>
          <cell r="W1788" t="str">
            <v>Ajuste</v>
          </cell>
          <cell r="X1788">
            <v>2</v>
          </cell>
          <cell r="Y1788">
            <v>2</v>
          </cell>
        </row>
        <row r="1789">
          <cell r="U1789" t="str">
            <v>L105575</v>
          </cell>
          <cell r="V1789" t="str">
            <v>CRV 1kg</v>
          </cell>
          <cell r="W1789" t="str">
            <v>Ajuste</v>
          </cell>
          <cell r="X1789">
            <v>18</v>
          </cell>
          <cell r="Y1789">
            <v>18</v>
          </cell>
        </row>
        <row r="1790">
          <cell r="U1790" t="str">
            <v>L105576</v>
          </cell>
          <cell r="V1790" t="str">
            <v>CRV 1kg</v>
          </cell>
          <cell r="W1790" t="str">
            <v>Ajuste</v>
          </cell>
          <cell r="X1790">
            <v>10</v>
          </cell>
          <cell r="Y1790">
            <v>10</v>
          </cell>
        </row>
        <row r="1791">
          <cell r="U1791" t="str">
            <v>L105577</v>
          </cell>
          <cell r="V1791" t="str">
            <v>CRV 1kg</v>
          </cell>
          <cell r="W1791" t="str">
            <v>Ajuste</v>
          </cell>
          <cell r="X1791">
            <v>2</v>
          </cell>
          <cell r="Y1791">
            <v>2</v>
          </cell>
        </row>
        <row r="1792">
          <cell r="U1792" t="str">
            <v>L105578</v>
          </cell>
          <cell r="V1792" t="str">
            <v>CRV 1kg</v>
          </cell>
          <cell r="W1792" t="str">
            <v>Ajuste</v>
          </cell>
          <cell r="X1792">
            <v>10</v>
          </cell>
          <cell r="Y1792">
            <v>10</v>
          </cell>
        </row>
        <row r="1793">
          <cell r="U1793" t="str">
            <v>L105579</v>
          </cell>
          <cell r="V1793" t="str">
            <v>CRV 1kg</v>
          </cell>
          <cell r="W1793" t="str">
            <v>Ajuste</v>
          </cell>
          <cell r="X1793">
            <v>12</v>
          </cell>
          <cell r="Y1793">
            <v>12</v>
          </cell>
        </row>
        <row r="1794">
          <cell r="U1794" t="str">
            <v>L105580</v>
          </cell>
          <cell r="V1794" t="str">
            <v>CRV 1kg</v>
          </cell>
          <cell r="W1794" t="str">
            <v>Ajuste</v>
          </cell>
          <cell r="X1794">
            <v>16</v>
          </cell>
          <cell r="Y1794">
            <v>16</v>
          </cell>
        </row>
        <row r="1795">
          <cell r="U1795" t="str">
            <v>L105581</v>
          </cell>
          <cell r="V1795" t="str">
            <v>CRV 1kg</v>
          </cell>
          <cell r="W1795" t="str">
            <v>Ajuste</v>
          </cell>
          <cell r="X1795">
            <v>96</v>
          </cell>
          <cell r="Y1795">
            <v>96</v>
          </cell>
        </row>
        <row r="1796">
          <cell r="U1796" t="str">
            <v>L105582</v>
          </cell>
          <cell r="V1796" t="str">
            <v>CRV 1kg</v>
          </cell>
          <cell r="W1796" t="str">
            <v>Ajuste</v>
          </cell>
          <cell r="X1796">
            <v>12</v>
          </cell>
          <cell r="Y1796">
            <v>12</v>
          </cell>
        </row>
        <row r="1797">
          <cell r="U1797" t="str">
            <v>L105583</v>
          </cell>
          <cell r="V1797" t="str">
            <v>CRV 1kg</v>
          </cell>
          <cell r="W1797" t="str">
            <v>Ajuste</v>
          </cell>
          <cell r="X1797">
            <v>8</v>
          </cell>
          <cell r="Y1797">
            <v>8</v>
          </cell>
        </row>
        <row r="1798">
          <cell r="U1798" t="str">
            <v>L105587</v>
          </cell>
          <cell r="V1798" t="str">
            <v>CRV 1kg</v>
          </cell>
          <cell r="W1798" t="str">
            <v>Ajuste</v>
          </cell>
          <cell r="X1798">
            <v>6</v>
          </cell>
          <cell r="Y1798">
            <v>6</v>
          </cell>
        </row>
        <row r="1799">
          <cell r="U1799" t="str">
            <v>L105589</v>
          </cell>
          <cell r="V1799" t="str">
            <v>CRV 1kg</v>
          </cell>
          <cell r="W1799" t="str">
            <v>Ajuste</v>
          </cell>
          <cell r="X1799">
            <v>2</v>
          </cell>
          <cell r="Y1799">
            <v>2</v>
          </cell>
        </row>
        <row r="1800">
          <cell r="U1800" t="str">
            <v>L105590</v>
          </cell>
          <cell r="V1800" t="str">
            <v>CRV 1kg</v>
          </cell>
          <cell r="W1800" t="str">
            <v>Ajuste</v>
          </cell>
          <cell r="X1800">
            <v>2</v>
          </cell>
          <cell r="Y1800">
            <v>2</v>
          </cell>
        </row>
        <row r="1801">
          <cell r="U1801" t="str">
            <v>L105908</v>
          </cell>
          <cell r="V1801" t="str">
            <v>CRV 1kg</v>
          </cell>
          <cell r="W1801" t="str">
            <v>Ajuste</v>
          </cell>
          <cell r="X1801">
            <v>2</v>
          </cell>
          <cell r="Y1801">
            <v>2</v>
          </cell>
        </row>
        <row r="1802">
          <cell r="U1802" t="str">
            <v>L105155</v>
          </cell>
          <cell r="V1802" t="str">
            <v>CRV 2kg-CAJA</v>
          </cell>
          <cell r="W1802" t="str">
            <v>Ajuste</v>
          </cell>
          <cell r="X1802">
            <v>2</v>
          </cell>
          <cell r="Y1802">
            <v>4</v>
          </cell>
        </row>
        <row r="1803">
          <cell r="U1803" t="str">
            <v>L105156</v>
          </cell>
          <cell r="V1803" t="str">
            <v>CRV 2kg-CAJA</v>
          </cell>
          <cell r="W1803" t="str">
            <v>Ajuste</v>
          </cell>
          <cell r="X1803">
            <v>2</v>
          </cell>
          <cell r="Y1803">
            <v>4</v>
          </cell>
        </row>
        <row r="1804">
          <cell r="U1804" t="str">
            <v>L105157</v>
          </cell>
          <cell r="V1804" t="str">
            <v>CRV 2kg-CAJA</v>
          </cell>
          <cell r="W1804" t="str">
            <v>Ajuste</v>
          </cell>
          <cell r="X1804">
            <v>2</v>
          </cell>
          <cell r="Y1804">
            <v>4</v>
          </cell>
        </row>
        <row r="1805">
          <cell r="U1805" t="str">
            <v>L105217</v>
          </cell>
          <cell r="V1805" t="str">
            <v>CRV 2kg-CAJA</v>
          </cell>
          <cell r="W1805" t="str">
            <v>Ajuste</v>
          </cell>
          <cell r="X1805">
            <v>2</v>
          </cell>
          <cell r="Y1805">
            <v>4</v>
          </cell>
        </row>
        <row r="1806">
          <cell r="U1806" t="str">
            <v>L105313</v>
          </cell>
          <cell r="V1806" t="str">
            <v>CRV 2kg-CAJA</v>
          </cell>
          <cell r="W1806" t="str">
            <v>Ajuste</v>
          </cell>
          <cell r="X1806">
            <v>6</v>
          </cell>
          <cell r="Y1806">
            <v>12</v>
          </cell>
        </row>
        <row r="1807">
          <cell r="U1807" t="str">
            <v>L105314</v>
          </cell>
          <cell r="V1807" t="str">
            <v>CRV 2kg-CAJA</v>
          </cell>
          <cell r="W1807" t="str">
            <v>Ajuste</v>
          </cell>
          <cell r="X1807">
            <v>10</v>
          </cell>
          <cell r="Y1807">
            <v>20</v>
          </cell>
        </row>
        <row r="1808">
          <cell r="U1808" t="str">
            <v>L105390</v>
          </cell>
          <cell r="V1808" t="str">
            <v>CRV 2kg-CAJA</v>
          </cell>
          <cell r="W1808" t="str">
            <v>Ajuste</v>
          </cell>
          <cell r="X1808">
            <v>2</v>
          </cell>
          <cell r="Y1808">
            <v>4</v>
          </cell>
        </row>
        <row r="1809">
          <cell r="U1809" t="str">
            <v>L105391</v>
          </cell>
          <cell r="V1809" t="str">
            <v>CRV 2kg-CAJA</v>
          </cell>
          <cell r="W1809" t="str">
            <v>Ajuste</v>
          </cell>
          <cell r="X1809">
            <v>3</v>
          </cell>
          <cell r="Y1809">
            <v>6</v>
          </cell>
        </row>
        <row r="1810">
          <cell r="U1810" t="str">
            <v>L105584</v>
          </cell>
          <cell r="V1810" t="str">
            <v>CRV 2kg-CAJA</v>
          </cell>
          <cell r="W1810" t="str">
            <v>Ajuste</v>
          </cell>
          <cell r="X1810">
            <v>2</v>
          </cell>
          <cell r="Y1810">
            <v>4</v>
          </cell>
        </row>
        <row r="1811">
          <cell r="U1811" t="str">
            <v>L105585</v>
          </cell>
          <cell r="V1811" t="str">
            <v>CRV 2kg-CAJA</v>
          </cell>
          <cell r="W1811" t="str">
            <v>Ajuste</v>
          </cell>
          <cell r="X1811">
            <v>2</v>
          </cell>
          <cell r="Y1811">
            <v>4</v>
          </cell>
        </row>
        <row r="1812">
          <cell r="U1812" t="str">
            <v>L105586</v>
          </cell>
          <cell r="V1812" t="str">
            <v>CRV 2kg-CAJA</v>
          </cell>
          <cell r="W1812" t="str">
            <v>Ajuste</v>
          </cell>
          <cell r="X1812">
            <v>4</v>
          </cell>
          <cell r="Y1812">
            <v>8</v>
          </cell>
        </row>
        <row r="1813">
          <cell r="U1813" t="str">
            <v>L105588</v>
          </cell>
          <cell r="V1813" t="str">
            <v>CRV 2kg-CAJA</v>
          </cell>
          <cell r="W1813" t="str">
            <v>Ajuste</v>
          </cell>
          <cell r="X1813">
            <v>2</v>
          </cell>
          <cell r="Y1813">
            <v>4</v>
          </cell>
        </row>
        <row r="1814">
          <cell r="U1814" t="str">
            <v>L105045</v>
          </cell>
          <cell r="V1814" t="str">
            <v>CTF 3Kg-CAJA</v>
          </cell>
          <cell r="W1814" t="str">
            <v>Ajuste</v>
          </cell>
          <cell r="X1814">
            <v>8</v>
          </cell>
          <cell r="Y1814">
            <v>24</v>
          </cell>
        </row>
        <row r="1815">
          <cell r="U1815" t="str">
            <v>L105164</v>
          </cell>
          <cell r="V1815" t="str">
            <v>CTF 3Kg-CAJA</v>
          </cell>
          <cell r="W1815" t="str">
            <v>Ajuste</v>
          </cell>
          <cell r="X1815">
            <v>8</v>
          </cell>
          <cell r="Y1815">
            <v>24</v>
          </cell>
        </row>
        <row r="1816">
          <cell r="U1816" t="str">
            <v>L105389</v>
          </cell>
          <cell r="V1816" t="str">
            <v>CTF 3Kg-CAJA</v>
          </cell>
          <cell r="W1816" t="str">
            <v>Ajuste</v>
          </cell>
          <cell r="X1816">
            <v>2</v>
          </cell>
          <cell r="Y1816">
            <v>6</v>
          </cell>
        </row>
        <row r="1817">
          <cell r="U1817" t="str">
            <v>L105906</v>
          </cell>
          <cell r="V1817" t="str">
            <v>CTF 3Kg-CAJA</v>
          </cell>
          <cell r="W1817" t="str">
            <v>Ajuste</v>
          </cell>
          <cell r="X1817">
            <v>2</v>
          </cell>
          <cell r="Y1817">
            <v>6</v>
          </cell>
        </row>
        <row r="1818">
          <cell r="U1818" t="str">
            <v>L105053</v>
          </cell>
          <cell r="V1818" t="str">
            <v>CTF 5Kg-CAJA</v>
          </cell>
          <cell r="W1818" t="str">
            <v>Ajuste</v>
          </cell>
          <cell r="X1818">
            <v>2</v>
          </cell>
          <cell r="Y1818">
            <v>10</v>
          </cell>
        </row>
        <row r="1819">
          <cell r="U1819" t="str">
            <v>L105783</v>
          </cell>
          <cell r="V1819" t="str">
            <v>DDP 2KG</v>
          </cell>
          <cell r="W1819" t="str">
            <v>Ajuste</v>
          </cell>
          <cell r="X1819">
            <v>263</v>
          </cell>
          <cell r="Y1819">
            <v>526</v>
          </cell>
        </row>
        <row r="1820">
          <cell r="U1820" t="str">
            <v>L106029</v>
          </cell>
          <cell r="V1820" t="str">
            <v>DIV ACT 3kg</v>
          </cell>
          <cell r="W1820" t="str">
            <v>Ajuste</v>
          </cell>
          <cell r="X1820">
            <v>12</v>
          </cell>
          <cell r="Y1820">
            <v>36</v>
          </cell>
        </row>
        <row r="1821">
          <cell r="U1821" t="str">
            <v>L105670</v>
          </cell>
          <cell r="V1821" t="str">
            <v>DIV Aderezo kg</v>
          </cell>
          <cell r="W1821" t="str">
            <v>Ajuste</v>
          </cell>
          <cell r="X1821">
            <v>6</v>
          </cell>
          <cell r="Y1821">
            <v>6</v>
          </cell>
        </row>
        <row r="1822">
          <cell r="U1822" t="str">
            <v>L105335</v>
          </cell>
          <cell r="V1822" t="str">
            <v>DIV ADR 2kg</v>
          </cell>
          <cell r="W1822" t="str">
            <v>Ajuste</v>
          </cell>
          <cell r="X1822">
            <v>2</v>
          </cell>
          <cell r="Y1822">
            <v>4</v>
          </cell>
        </row>
        <row r="1823">
          <cell r="U1823" t="str">
            <v>L105679</v>
          </cell>
          <cell r="V1823" t="str">
            <v>DIV ADR 2kg</v>
          </cell>
          <cell r="W1823" t="str">
            <v>Ajuste</v>
          </cell>
          <cell r="X1823">
            <v>18</v>
          </cell>
          <cell r="Y1823">
            <v>36</v>
          </cell>
        </row>
        <row r="1824">
          <cell r="U1824" t="str">
            <v>L105690</v>
          </cell>
          <cell r="V1824" t="str">
            <v>DIV ADR 2kg</v>
          </cell>
          <cell r="W1824" t="str">
            <v>Ajuste</v>
          </cell>
          <cell r="X1824">
            <v>5</v>
          </cell>
          <cell r="Y1824">
            <v>10</v>
          </cell>
        </row>
        <row r="1825">
          <cell r="U1825" t="str">
            <v>L106026</v>
          </cell>
          <cell r="V1825" t="str">
            <v>DIV ADR 2kg</v>
          </cell>
          <cell r="W1825" t="str">
            <v>Ajuste</v>
          </cell>
          <cell r="X1825">
            <v>2</v>
          </cell>
          <cell r="Y1825">
            <v>4</v>
          </cell>
        </row>
        <row r="1826">
          <cell r="U1826" t="str">
            <v>L104934</v>
          </cell>
          <cell r="V1826" t="str">
            <v>DIV ALP 7kg</v>
          </cell>
          <cell r="W1826" t="str">
            <v>Ajuste</v>
          </cell>
          <cell r="X1826">
            <v>6</v>
          </cell>
          <cell r="Y1826">
            <v>42</v>
          </cell>
        </row>
        <row r="1827">
          <cell r="U1827" t="str">
            <v>L105979</v>
          </cell>
          <cell r="V1827" t="str">
            <v>DIV AMCO 2kg</v>
          </cell>
          <cell r="W1827" t="str">
            <v>Ajuste</v>
          </cell>
          <cell r="X1827">
            <v>10</v>
          </cell>
          <cell r="Y1827">
            <v>20</v>
          </cell>
        </row>
        <row r="1828">
          <cell r="U1828" t="str">
            <v>L106019</v>
          </cell>
          <cell r="V1828" t="str">
            <v>DIV ARZ 2 kg</v>
          </cell>
          <cell r="W1828" t="str">
            <v>Ajuste</v>
          </cell>
          <cell r="X1828">
            <v>112</v>
          </cell>
          <cell r="Y1828">
            <v>224</v>
          </cell>
        </row>
        <row r="1829">
          <cell r="U1829" t="str">
            <v>L105591</v>
          </cell>
          <cell r="V1829" t="str">
            <v>DIV AZC 2kg</v>
          </cell>
          <cell r="W1829" t="str">
            <v>Ajuste</v>
          </cell>
          <cell r="X1829">
            <v>66</v>
          </cell>
          <cell r="Y1829">
            <v>132</v>
          </cell>
        </row>
        <row r="1830">
          <cell r="U1830" t="str">
            <v>L104951</v>
          </cell>
          <cell r="V1830" t="str">
            <v>DIV BASP 5kg</v>
          </cell>
          <cell r="W1830" t="str">
            <v>Ajuste</v>
          </cell>
          <cell r="X1830">
            <v>10</v>
          </cell>
          <cell r="Y1830">
            <v>50</v>
          </cell>
        </row>
        <row r="1831">
          <cell r="U1831" t="str">
            <v>L105688</v>
          </cell>
          <cell r="V1831" t="str">
            <v>DIV BPV 2kg</v>
          </cell>
          <cell r="W1831" t="str">
            <v>Ajuste</v>
          </cell>
          <cell r="X1831">
            <v>12</v>
          </cell>
          <cell r="Y1831">
            <v>24</v>
          </cell>
        </row>
        <row r="1832">
          <cell r="U1832" t="str">
            <v>L106024</v>
          </cell>
          <cell r="V1832" t="str">
            <v>DIV BPV 2kg</v>
          </cell>
          <cell r="W1832" t="str">
            <v>Ajuste</v>
          </cell>
          <cell r="X1832">
            <v>2</v>
          </cell>
          <cell r="Y1832">
            <v>4</v>
          </cell>
        </row>
        <row r="1833">
          <cell r="U1833" t="str">
            <v>L105081</v>
          </cell>
          <cell r="V1833" t="str">
            <v>DIV BPV 5kg</v>
          </cell>
          <cell r="W1833" t="str">
            <v>Ajuste</v>
          </cell>
          <cell r="X1833">
            <v>6</v>
          </cell>
          <cell r="Y1833">
            <v>30</v>
          </cell>
        </row>
        <row r="1834">
          <cell r="U1834" t="str">
            <v>L105349</v>
          </cell>
          <cell r="V1834" t="str">
            <v>DIV BPV 5kg</v>
          </cell>
          <cell r="W1834" t="str">
            <v>Ajuste</v>
          </cell>
          <cell r="X1834">
            <v>12</v>
          </cell>
          <cell r="Y1834">
            <v>60</v>
          </cell>
        </row>
        <row r="1835">
          <cell r="U1835" t="str">
            <v>L106023</v>
          </cell>
          <cell r="V1835" t="str">
            <v>DIV BPV 5kg</v>
          </cell>
          <cell r="W1835" t="str">
            <v>Ajuste</v>
          </cell>
          <cell r="X1835">
            <v>7</v>
          </cell>
          <cell r="Y1835">
            <v>35</v>
          </cell>
        </row>
        <row r="1836">
          <cell r="U1836" t="str">
            <v>L105676</v>
          </cell>
          <cell r="V1836" t="str">
            <v>DIV CHT 2kg</v>
          </cell>
          <cell r="W1836" t="str">
            <v>Ajuste</v>
          </cell>
          <cell r="X1836">
            <v>2</v>
          </cell>
          <cell r="Y1836">
            <v>4</v>
          </cell>
        </row>
        <row r="1837">
          <cell r="U1837" t="str">
            <v>L105331</v>
          </cell>
          <cell r="V1837" t="str">
            <v>DIV CHWM 2kg</v>
          </cell>
          <cell r="W1837" t="str">
            <v>Ajuste</v>
          </cell>
          <cell r="X1837">
            <v>8</v>
          </cell>
          <cell r="Y1837">
            <v>16</v>
          </cell>
        </row>
        <row r="1838">
          <cell r="U1838" t="str">
            <v>L105700</v>
          </cell>
          <cell r="V1838" t="str">
            <v>DIV CHWM 2kg</v>
          </cell>
          <cell r="W1838" t="str">
            <v>Ajuste</v>
          </cell>
          <cell r="X1838">
            <v>20</v>
          </cell>
          <cell r="Y1838">
            <v>40</v>
          </cell>
        </row>
        <row r="1839">
          <cell r="U1839" t="str">
            <v>L105094</v>
          </cell>
          <cell r="V1839" t="str">
            <v>DIV CLGRN 2kg</v>
          </cell>
          <cell r="W1839" t="str">
            <v>Ajuste</v>
          </cell>
          <cell r="X1839">
            <v>32</v>
          </cell>
          <cell r="Y1839">
            <v>64</v>
          </cell>
        </row>
        <row r="1840">
          <cell r="U1840" t="str">
            <v>L105507</v>
          </cell>
          <cell r="V1840" t="str">
            <v>DIV CLX 2kg</v>
          </cell>
          <cell r="W1840" t="str">
            <v>Ajuste</v>
          </cell>
          <cell r="X1840">
            <v>10</v>
          </cell>
          <cell r="Y1840">
            <v>20</v>
          </cell>
        </row>
        <row r="1841">
          <cell r="U1841" t="str">
            <v>L105869</v>
          </cell>
          <cell r="V1841" t="str">
            <v>DIV CNPH 4.5kg</v>
          </cell>
          <cell r="W1841" t="str">
            <v>Ajuste</v>
          </cell>
          <cell r="X1841">
            <v>200</v>
          </cell>
          <cell r="Y1841">
            <v>900</v>
          </cell>
        </row>
        <row r="1842">
          <cell r="U1842" t="str">
            <v>L105088</v>
          </cell>
          <cell r="V1842" t="str">
            <v>DIV COLBB 2kg</v>
          </cell>
          <cell r="W1842" t="str">
            <v>Ajuste</v>
          </cell>
          <cell r="X1842">
            <v>10</v>
          </cell>
          <cell r="Y1842">
            <v>20</v>
          </cell>
        </row>
        <row r="1843">
          <cell r="U1843" t="str">
            <v>L105857</v>
          </cell>
          <cell r="V1843" t="str">
            <v>DIV COSDC 14KG</v>
          </cell>
          <cell r="W1843" t="str">
            <v>Ajuste</v>
          </cell>
          <cell r="X1843">
            <v>50</v>
          </cell>
          <cell r="Y1843">
            <v>700</v>
          </cell>
        </row>
        <row r="1844">
          <cell r="U1844" t="str">
            <v>L105239</v>
          </cell>
          <cell r="V1844" t="str">
            <v>DIV CPVF 5kg</v>
          </cell>
          <cell r="W1844" t="str">
            <v>Ajuste</v>
          </cell>
          <cell r="X1844">
            <v>2</v>
          </cell>
          <cell r="Y1844">
            <v>10</v>
          </cell>
        </row>
        <row r="1845">
          <cell r="U1845" t="str">
            <v>L105662</v>
          </cell>
          <cell r="V1845" t="str">
            <v>DIV CRM 10kg</v>
          </cell>
          <cell r="W1845" t="str">
            <v>Ajuste</v>
          </cell>
          <cell r="X1845">
            <v>172</v>
          </cell>
          <cell r="Y1845">
            <v>1720</v>
          </cell>
        </row>
        <row r="1846">
          <cell r="U1846" t="str">
            <v>L105348</v>
          </cell>
          <cell r="V1846" t="str">
            <v>DIV CRM 2kg</v>
          </cell>
          <cell r="W1846" t="str">
            <v>Ajuste</v>
          </cell>
          <cell r="X1846">
            <v>38</v>
          </cell>
          <cell r="Y1846">
            <v>76</v>
          </cell>
        </row>
        <row r="1847">
          <cell r="U1847" t="str">
            <v>L105512</v>
          </cell>
          <cell r="V1847" t="str">
            <v>DIV CRV 1kg</v>
          </cell>
          <cell r="W1847" t="str">
            <v>Ajuste</v>
          </cell>
          <cell r="X1847">
            <v>2</v>
          </cell>
          <cell r="Y1847">
            <v>2</v>
          </cell>
        </row>
        <row r="1848">
          <cell r="U1848" t="str">
            <v>L105080</v>
          </cell>
          <cell r="V1848" t="str">
            <v>DIV CRV 2kg</v>
          </cell>
          <cell r="W1848" t="str">
            <v>Ajuste</v>
          </cell>
          <cell r="X1848">
            <v>2</v>
          </cell>
          <cell r="Y1848">
            <v>4</v>
          </cell>
        </row>
        <row r="1849">
          <cell r="U1849" t="str">
            <v>L106030</v>
          </cell>
          <cell r="V1849" t="str">
            <v>DIV CRV 2kg</v>
          </cell>
          <cell r="W1849" t="str">
            <v>Ajuste</v>
          </cell>
          <cell r="X1849">
            <v>2</v>
          </cell>
          <cell r="Y1849">
            <v>4</v>
          </cell>
        </row>
        <row r="1850">
          <cell r="U1850" t="str">
            <v>L104942</v>
          </cell>
          <cell r="V1850" t="str">
            <v>DIV DSDM 1kg</v>
          </cell>
          <cell r="W1850" t="str">
            <v>Ajuste</v>
          </cell>
          <cell r="X1850">
            <v>6</v>
          </cell>
          <cell r="Y1850">
            <v>6</v>
          </cell>
        </row>
        <row r="1851">
          <cell r="U1851" t="str">
            <v>L104944</v>
          </cell>
          <cell r="V1851" t="str">
            <v>DIV DSF 2Kg</v>
          </cell>
          <cell r="W1851" t="str">
            <v>Ajuste</v>
          </cell>
          <cell r="X1851">
            <v>194</v>
          </cell>
          <cell r="Y1851">
            <v>388</v>
          </cell>
        </row>
        <row r="1852">
          <cell r="U1852" t="str">
            <v>L105506</v>
          </cell>
          <cell r="V1852" t="str">
            <v>DIV DSF 2Kg</v>
          </cell>
          <cell r="W1852" t="str">
            <v>Ajuste</v>
          </cell>
          <cell r="X1852">
            <v>10</v>
          </cell>
          <cell r="Y1852">
            <v>20</v>
          </cell>
        </row>
        <row r="1853">
          <cell r="U1853" t="str">
            <v>L104952</v>
          </cell>
          <cell r="V1853" t="str">
            <v>DIV DSF 4kg</v>
          </cell>
          <cell r="W1853" t="str">
            <v>Ajuste</v>
          </cell>
          <cell r="X1853">
            <v>6</v>
          </cell>
          <cell r="Y1853">
            <v>24</v>
          </cell>
        </row>
        <row r="1854">
          <cell r="U1854" t="str">
            <v>l105510</v>
          </cell>
          <cell r="V1854" t="str">
            <v>DIV DTG Vr3kg</v>
          </cell>
          <cell r="W1854" t="str">
            <v>Ajuste</v>
          </cell>
          <cell r="X1854">
            <v>28</v>
          </cell>
          <cell r="Y1854">
            <v>84</v>
          </cell>
        </row>
        <row r="1855">
          <cell r="U1855" t="str">
            <v>L105263</v>
          </cell>
          <cell r="V1855" t="str">
            <v>DIV ECDP 5kg</v>
          </cell>
          <cell r="W1855" t="str">
            <v>Ajuste</v>
          </cell>
          <cell r="X1855">
            <v>6</v>
          </cell>
          <cell r="Y1855">
            <v>30</v>
          </cell>
        </row>
        <row r="1856">
          <cell r="U1856" t="str">
            <v>L105920</v>
          </cell>
          <cell r="V1856" t="str">
            <v>DIV ECDP 7kg</v>
          </cell>
          <cell r="W1856" t="str">
            <v>Ajuste</v>
          </cell>
          <cell r="X1856">
            <v>30</v>
          </cell>
          <cell r="Y1856">
            <v>210</v>
          </cell>
        </row>
        <row r="1857">
          <cell r="U1857" t="str">
            <v>L104945</v>
          </cell>
          <cell r="V1857" t="str">
            <v>DIV EGB 2kg</v>
          </cell>
          <cell r="W1857" t="str">
            <v>Ajuste</v>
          </cell>
          <cell r="X1857">
            <v>12</v>
          </cell>
          <cell r="Y1857">
            <v>24</v>
          </cell>
        </row>
        <row r="1858">
          <cell r="U1858" t="str">
            <v>L105993</v>
          </cell>
          <cell r="V1858" t="str">
            <v>DIV EMBV 2kg</v>
          </cell>
          <cell r="W1858" t="str">
            <v>Ajuste</v>
          </cell>
          <cell r="X1858">
            <v>2</v>
          </cell>
          <cell r="Y1858">
            <v>4</v>
          </cell>
        </row>
        <row r="1859">
          <cell r="U1859" t="str">
            <v>L105992</v>
          </cell>
          <cell r="V1859" t="str">
            <v>DIV EMBV 5kg</v>
          </cell>
          <cell r="W1859" t="str">
            <v>Ajuste</v>
          </cell>
          <cell r="X1859">
            <v>22</v>
          </cell>
          <cell r="Y1859">
            <v>110</v>
          </cell>
        </row>
        <row r="1860">
          <cell r="U1860" t="str">
            <v>L106001</v>
          </cell>
          <cell r="V1860" t="str">
            <v>DIV EMBV 5kg</v>
          </cell>
          <cell r="W1860" t="str">
            <v>Ajuste</v>
          </cell>
          <cell r="X1860">
            <v>8</v>
          </cell>
          <cell r="Y1860">
            <v>40</v>
          </cell>
        </row>
        <row r="1861">
          <cell r="U1861" t="str">
            <v>L105667</v>
          </cell>
          <cell r="V1861" t="str">
            <v>ESQPCD 8kg</v>
          </cell>
          <cell r="W1861" t="str">
            <v>Ajuste</v>
          </cell>
          <cell r="X1861">
            <v>154</v>
          </cell>
          <cell r="Y1861">
            <v>1232</v>
          </cell>
        </row>
        <row r="1862">
          <cell r="U1862" t="str">
            <v>L105667</v>
          </cell>
          <cell r="V1862" t="str">
            <v>DIV ESQPCD 8kg</v>
          </cell>
          <cell r="W1862" t="str">
            <v>Ajuste</v>
          </cell>
          <cell r="X1862">
            <v>238</v>
          </cell>
          <cell r="Y1862">
            <v>1904</v>
          </cell>
        </row>
        <row r="1863">
          <cell r="U1863" t="str">
            <v>L105333</v>
          </cell>
          <cell r="V1863" t="str">
            <v>DIV ESV 2kg</v>
          </cell>
          <cell r="W1863" t="str">
            <v>Ajuste</v>
          </cell>
          <cell r="X1863">
            <v>4</v>
          </cell>
          <cell r="Y1863">
            <v>8</v>
          </cell>
        </row>
        <row r="1864">
          <cell r="U1864" t="str">
            <v>L105238</v>
          </cell>
          <cell r="V1864" t="str">
            <v>DIV FRCONG 2kg</v>
          </cell>
          <cell r="W1864" t="str">
            <v>Ajuste</v>
          </cell>
          <cell r="X1864">
            <v>14</v>
          </cell>
          <cell r="Y1864">
            <v>28</v>
          </cell>
        </row>
        <row r="1865">
          <cell r="U1865" t="str">
            <v>L105976</v>
          </cell>
          <cell r="V1865" t="str">
            <v>DIV FRJ 2kg</v>
          </cell>
          <cell r="W1865" t="str">
            <v>Ajuste</v>
          </cell>
          <cell r="X1865">
            <v>4</v>
          </cell>
          <cell r="Y1865">
            <v>8</v>
          </cell>
        </row>
        <row r="1866">
          <cell r="U1866" t="str">
            <v>L104988</v>
          </cell>
          <cell r="V1866" t="str">
            <v>DIV FRUVER 10kg</v>
          </cell>
          <cell r="W1866" t="str">
            <v>Ajuste</v>
          </cell>
          <cell r="X1866">
            <v>8</v>
          </cell>
          <cell r="Y1866">
            <v>80</v>
          </cell>
        </row>
        <row r="1867">
          <cell r="U1867" t="str">
            <v>L104994</v>
          </cell>
          <cell r="V1867" t="str">
            <v>DIV FRUVER 10kg</v>
          </cell>
          <cell r="W1867" t="str">
            <v>Ajuste</v>
          </cell>
          <cell r="X1867">
            <v>8</v>
          </cell>
          <cell r="Y1867">
            <v>80</v>
          </cell>
        </row>
        <row r="1868">
          <cell r="U1868" t="str">
            <v>L105000</v>
          </cell>
          <cell r="V1868" t="str">
            <v>DIV FRUVER 10kg</v>
          </cell>
          <cell r="W1868" t="str">
            <v>Ajuste</v>
          </cell>
          <cell r="X1868">
            <v>6</v>
          </cell>
          <cell r="Y1868">
            <v>60</v>
          </cell>
        </row>
        <row r="1869">
          <cell r="U1869" t="str">
            <v>L105004</v>
          </cell>
          <cell r="V1869" t="str">
            <v>DIV FRUVER 10kg</v>
          </cell>
          <cell r="W1869" t="str">
            <v>Ajuste</v>
          </cell>
          <cell r="X1869">
            <v>24</v>
          </cell>
          <cell r="Y1869">
            <v>240</v>
          </cell>
        </row>
        <row r="1870">
          <cell r="U1870" t="str">
            <v>L105009</v>
          </cell>
          <cell r="V1870" t="str">
            <v>DIV FRUVER 10kg</v>
          </cell>
          <cell r="W1870" t="str">
            <v>Ajuste</v>
          </cell>
          <cell r="X1870">
            <v>12</v>
          </cell>
          <cell r="Y1870">
            <v>120</v>
          </cell>
        </row>
        <row r="1871">
          <cell r="U1871" t="str">
            <v>L105012</v>
          </cell>
          <cell r="V1871" t="str">
            <v>DIV FRUVER 10kg</v>
          </cell>
          <cell r="W1871" t="str">
            <v>Ajuste</v>
          </cell>
          <cell r="X1871">
            <v>6</v>
          </cell>
          <cell r="Y1871">
            <v>60</v>
          </cell>
        </row>
        <row r="1872">
          <cell r="U1872" t="str">
            <v>L105116</v>
          </cell>
          <cell r="V1872" t="str">
            <v>DIV FRUVER 10kg</v>
          </cell>
          <cell r="W1872" t="str">
            <v>Ajuste</v>
          </cell>
          <cell r="X1872">
            <v>16</v>
          </cell>
          <cell r="Y1872">
            <v>160</v>
          </cell>
        </row>
        <row r="1873">
          <cell r="U1873" t="str">
            <v>L105136</v>
          </cell>
          <cell r="V1873" t="str">
            <v>DIV FRUVER 10kg</v>
          </cell>
          <cell r="W1873" t="str">
            <v>Ajuste</v>
          </cell>
          <cell r="X1873">
            <v>16</v>
          </cell>
          <cell r="Y1873">
            <v>160</v>
          </cell>
        </row>
        <row r="1874">
          <cell r="U1874" t="str">
            <v>L105219</v>
          </cell>
          <cell r="V1874" t="str">
            <v>DIV FRUVER 10kg</v>
          </cell>
          <cell r="W1874" t="str">
            <v>Ajuste</v>
          </cell>
          <cell r="X1874">
            <v>4</v>
          </cell>
          <cell r="Y1874">
            <v>40</v>
          </cell>
        </row>
        <row r="1875">
          <cell r="U1875" t="str">
            <v>L105221</v>
          </cell>
          <cell r="V1875" t="str">
            <v>DIV FRUVER 10kg</v>
          </cell>
          <cell r="W1875" t="str">
            <v>Ajuste</v>
          </cell>
          <cell r="X1875">
            <v>6</v>
          </cell>
          <cell r="Y1875">
            <v>60</v>
          </cell>
        </row>
        <row r="1876">
          <cell r="U1876" t="str">
            <v>L105224</v>
          </cell>
          <cell r="V1876" t="str">
            <v>DIV FRUVER 10kg</v>
          </cell>
          <cell r="W1876" t="str">
            <v>Ajuste</v>
          </cell>
          <cell r="X1876">
            <v>8</v>
          </cell>
          <cell r="Y1876">
            <v>80</v>
          </cell>
        </row>
        <row r="1877">
          <cell r="U1877" t="str">
            <v>L105228</v>
          </cell>
          <cell r="V1877" t="str">
            <v>DIV FRUVER 10kg</v>
          </cell>
          <cell r="W1877" t="str">
            <v>Ajuste</v>
          </cell>
          <cell r="X1877">
            <v>10</v>
          </cell>
          <cell r="Y1877">
            <v>100</v>
          </cell>
        </row>
        <row r="1878">
          <cell r="U1878" t="str">
            <v>L105229</v>
          </cell>
          <cell r="V1878" t="str">
            <v>DIV FRUVER 10kg</v>
          </cell>
          <cell r="W1878" t="str">
            <v>Ajuste</v>
          </cell>
          <cell r="X1878">
            <v>10</v>
          </cell>
          <cell r="Y1878">
            <v>100</v>
          </cell>
        </row>
        <row r="1879">
          <cell r="U1879" t="str">
            <v>L105232</v>
          </cell>
          <cell r="V1879" t="str">
            <v>DIV FRUVER 10kg</v>
          </cell>
          <cell r="W1879" t="str">
            <v>Ajuste</v>
          </cell>
          <cell r="X1879">
            <v>20</v>
          </cell>
          <cell r="Y1879">
            <v>200</v>
          </cell>
        </row>
        <row r="1880">
          <cell r="U1880" t="str">
            <v>L105234</v>
          </cell>
          <cell r="V1880" t="str">
            <v>DIV FRUVER 10kg</v>
          </cell>
          <cell r="W1880" t="str">
            <v>Ajuste</v>
          </cell>
          <cell r="X1880">
            <v>22</v>
          </cell>
          <cell r="Y1880">
            <v>220</v>
          </cell>
        </row>
        <row r="1881">
          <cell r="U1881" t="str">
            <v>L105321</v>
          </cell>
          <cell r="V1881" t="str">
            <v>DIV FRUVER 10kg</v>
          </cell>
          <cell r="W1881" t="str">
            <v>Ajuste</v>
          </cell>
          <cell r="X1881">
            <v>30</v>
          </cell>
          <cell r="Y1881">
            <v>300</v>
          </cell>
        </row>
        <row r="1882">
          <cell r="U1882" t="str">
            <v>L105363</v>
          </cell>
          <cell r="V1882" t="str">
            <v>DIV FRUVER 10kg</v>
          </cell>
          <cell r="W1882" t="str">
            <v>Ajuste</v>
          </cell>
          <cell r="X1882">
            <v>6</v>
          </cell>
          <cell r="Y1882">
            <v>60</v>
          </cell>
        </row>
        <row r="1883">
          <cell r="U1883" t="str">
            <v>L105366</v>
          </cell>
          <cell r="V1883" t="str">
            <v>DIV FRUVER 10kg</v>
          </cell>
          <cell r="W1883" t="str">
            <v>Ajuste</v>
          </cell>
          <cell r="X1883">
            <v>6</v>
          </cell>
          <cell r="Y1883">
            <v>60</v>
          </cell>
        </row>
        <row r="1884">
          <cell r="U1884" t="str">
            <v>L105368</v>
          </cell>
          <cell r="V1884" t="str">
            <v>DIV FRUVER 10kg</v>
          </cell>
          <cell r="W1884" t="str">
            <v>Ajuste</v>
          </cell>
          <cell r="X1884">
            <v>10</v>
          </cell>
          <cell r="Y1884">
            <v>100</v>
          </cell>
        </row>
        <row r="1885">
          <cell r="U1885" t="str">
            <v>L105371</v>
          </cell>
          <cell r="V1885" t="str">
            <v>DIV FRUVER 10kg</v>
          </cell>
          <cell r="W1885" t="str">
            <v>Ajuste</v>
          </cell>
          <cell r="X1885">
            <v>14</v>
          </cell>
          <cell r="Y1885">
            <v>140</v>
          </cell>
        </row>
        <row r="1886">
          <cell r="U1886" t="str">
            <v>L105423</v>
          </cell>
          <cell r="V1886" t="str">
            <v>DIV FRUVER 10kg</v>
          </cell>
          <cell r="W1886" t="str">
            <v>Ajuste</v>
          </cell>
          <cell r="X1886">
            <v>50</v>
          </cell>
          <cell r="Y1886">
            <v>500</v>
          </cell>
        </row>
        <row r="1887">
          <cell r="U1887" t="str">
            <v>L105426</v>
          </cell>
          <cell r="V1887" t="str">
            <v>DIV FRUVER 10kg</v>
          </cell>
          <cell r="W1887" t="str">
            <v>Ajuste</v>
          </cell>
          <cell r="X1887">
            <v>6</v>
          </cell>
          <cell r="Y1887">
            <v>60</v>
          </cell>
        </row>
        <row r="1888">
          <cell r="U1888" t="str">
            <v>L105443</v>
          </cell>
          <cell r="V1888" t="str">
            <v>DIV FRUVER 10kg</v>
          </cell>
          <cell r="W1888" t="str">
            <v>Ajuste</v>
          </cell>
          <cell r="X1888">
            <v>14</v>
          </cell>
          <cell r="Y1888">
            <v>140</v>
          </cell>
        </row>
        <row r="1889">
          <cell r="U1889" t="str">
            <v>L105622</v>
          </cell>
          <cell r="V1889" t="str">
            <v>DIV FRUVER 10kg</v>
          </cell>
          <cell r="W1889" t="str">
            <v>Ajuste</v>
          </cell>
          <cell r="X1889">
            <v>36</v>
          </cell>
          <cell r="Y1889">
            <v>360</v>
          </cell>
        </row>
        <row r="1890">
          <cell r="U1890" t="str">
            <v>L105632</v>
          </cell>
          <cell r="V1890" t="str">
            <v>DIV FRUVER 10kg</v>
          </cell>
          <cell r="W1890" t="str">
            <v>Ajuste</v>
          </cell>
          <cell r="X1890">
            <v>10</v>
          </cell>
          <cell r="Y1890">
            <v>100</v>
          </cell>
        </row>
        <row r="1891">
          <cell r="U1891" t="str">
            <v>L105636</v>
          </cell>
          <cell r="V1891" t="str">
            <v>DIV FRUVER 10kg</v>
          </cell>
          <cell r="W1891" t="str">
            <v>Ajuste</v>
          </cell>
          <cell r="X1891">
            <v>6</v>
          </cell>
          <cell r="Y1891">
            <v>60</v>
          </cell>
        </row>
        <row r="1892">
          <cell r="U1892" t="str">
            <v>L105776</v>
          </cell>
          <cell r="V1892" t="str">
            <v>DIV FRUVER 10kg</v>
          </cell>
          <cell r="W1892" t="str">
            <v>Ajuste</v>
          </cell>
          <cell r="X1892">
            <v>16</v>
          </cell>
          <cell r="Y1892">
            <v>160</v>
          </cell>
        </row>
        <row r="1893">
          <cell r="U1893" t="str">
            <v>L105778</v>
          </cell>
          <cell r="V1893" t="str">
            <v>DIV FRUVER 10kg</v>
          </cell>
          <cell r="W1893" t="str">
            <v>Ajuste</v>
          </cell>
          <cell r="X1893">
            <v>18</v>
          </cell>
          <cell r="Y1893">
            <v>180</v>
          </cell>
        </row>
        <row r="1894">
          <cell r="U1894" t="str">
            <v>L105780</v>
          </cell>
          <cell r="V1894" t="str">
            <v>DIV FRUVER 10kg</v>
          </cell>
          <cell r="W1894" t="str">
            <v>Ajuste</v>
          </cell>
          <cell r="X1894">
            <v>4</v>
          </cell>
          <cell r="Y1894">
            <v>40</v>
          </cell>
        </row>
        <row r="1895">
          <cell r="U1895" t="str">
            <v>L105784</v>
          </cell>
          <cell r="V1895" t="str">
            <v>DIV FRUVER 10kg</v>
          </cell>
          <cell r="W1895" t="str">
            <v>Ajuste</v>
          </cell>
          <cell r="X1895">
            <v>24</v>
          </cell>
          <cell r="Y1895">
            <v>240</v>
          </cell>
        </row>
        <row r="1896">
          <cell r="U1896" t="str">
            <v>L105923</v>
          </cell>
          <cell r="V1896" t="str">
            <v>DIV FRUVER 10kg</v>
          </cell>
          <cell r="W1896" t="str">
            <v>Ajuste</v>
          </cell>
          <cell r="X1896">
            <v>38</v>
          </cell>
          <cell r="Y1896">
            <v>380</v>
          </cell>
        </row>
        <row r="1897">
          <cell r="U1897" t="str">
            <v>L105925</v>
          </cell>
          <cell r="V1897" t="str">
            <v>DIV FRUVER 10kg</v>
          </cell>
          <cell r="W1897" t="str">
            <v>Ajuste</v>
          </cell>
          <cell r="X1897">
            <v>12</v>
          </cell>
          <cell r="Y1897">
            <v>120</v>
          </cell>
        </row>
        <row r="1898">
          <cell r="U1898" t="str">
            <v>L105927</v>
          </cell>
          <cell r="V1898" t="str">
            <v>DIV FRUVER 10kg</v>
          </cell>
          <cell r="W1898" t="str">
            <v>Ajuste</v>
          </cell>
          <cell r="X1898">
            <v>20</v>
          </cell>
          <cell r="Y1898">
            <v>200</v>
          </cell>
        </row>
        <row r="1899">
          <cell r="U1899" t="str">
            <v>L105930</v>
          </cell>
          <cell r="V1899" t="str">
            <v>DIV FRUVER 10kg</v>
          </cell>
          <cell r="W1899" t="str">
            <v>Ajuste</v>
          </cell>
          <cell r="X1899">
            <v>6</v>
          </cell>
          <cell r="Y1899">
            <v>60</v>
          </cell>
        </row>
        <row r="1900">
          <cell r="U1900" t="str">
            <v>L105984</v>
          </cell>
          <cell r="V1900" t="str">
            <v>DIV FRUVER 10kg</v>
          </cell>
          <cell r="W1900" t="str">
            <v>Ajuste</v>
          </cell>
          <cell r="X1900">
            <v>14</v>
          </cell>
          <cell r="Y1900">
            <v>140</v>
          </cell>
        </row>
        <row r="1901">
          <cell r="U1901" t="str">
            <v>L105996</v>
          </cell>
          <cell r="V1901" t="str">
            <v>DIV FRUVER 10kg</v>
          </cell>
          <cell r="W1901" t="str">
            <v>Ajuste</v>
          </cell>
          <cell r="X1901">
            <v>14</v>
          </cell>
          <cell r="Y1901">
            <v>140</v>
          </cell>
        </row>
        <row r="1902">
          <cell r="U1902" t="str">
            <v>L106013</v>
          </cell>
          <cell r="V1902" t="str">
            <v>DIV FRUVER 10kg</v>
          </cell>
          <cell r="W1902" t="str">
            <v>Ajuste</v>
          </cell>
          <cell r="X1902">
            <v>10</v>
          </cell>
          <cell r="Y1902">
            <v>100</v>
          </cell>
        </row>
        <row r="1903">
          <cell r="U1903" t="str">
            <v>L106015</v>
          </cell>
          <cell r="V1903" t="str">
            <v>DIV FRUVER 10kg</v>
          </cell>
          <cell r="W1903" t="str">
            <v>Ajuste</v>
          </cell>
          <cell r="X1903">
            <v>10</v>
          </cell>
          <cell r="Y1903">
            <v>100</v>
          </cell>
        </row>
        <row r="1904">
          <cell r="U1904" t="str">
            <v>L106017</v>
          </cell>
          <cell r="V1904" t="str">
            <v>DIV FRUVER 10kg</v>
          </cell>
          <cell r="W1904" t="str">
            <v>Ajuste</v>
          </cell>
          <cell r="X1904">
            <v>10</v>
          </cell>
          <cell r="Y1904">
            <v>100</v>
          </cell>
        </row>
        <row r="1905">
          <cell r="U1905" t="str">
            <v>L105230</v>
          </cell>
          <cell r="V1905" t="str">
            <v>DIV FRUVER 5kg</v>
          </cell>
          <cell r="W1905" t="str">
            <v>Ajuste</v>
          </cell>
          <cell r="X1905">
            <v>2</v>
          </cell>
          <cell r="Y1905">
            <v>10</v>
          </cell>
        </row>
        <row r="1906">
          <cell r="U1906" t="str">
            <v>L105424</v>
          </cell>
          <cell r="V1906" t="str">
            <v>DIV FRUVER 5kg</v>
          </cell>
          <cell r="W1906" t="str">
            <v>Ajuste</v>
          </cell>
          <cell r="X1906">
            <v>4</v>
          </cell>
          <cell r="Y1906">
            <v>20</v>
          </cell>
        </row>
        <row r="1907">
          <cell r="U1907" t="str">
            <v>L105781</v>
          </cell>
          <cell r="V1907" t="str">
            <v>DIV FRUVER 5kg</v>
          </cell>
          <cell r="W1907" t="str">
            <v>Ajuste</v>
          </cell>
          <cell r="X1907">
            <v>8</v>
          </cell>
          <cell r="Y1907">
            <v>40</v>
          </cell>
        </row>
        <row r="1908">
          <cell r="U1908" t="str">
            <v>L105336</v>
          </cell>
          <cell r="V1908" t="str">
            <v>DIV GLDV 5kg</v>
          </cell>
          <cell r="W1908" t="str">
            <v>Ajuste</v>
          </cell>
          <cell r="X1908">
            <v>21</v>
          </cell>
          <cell r="Y1908">
            <v>105</v>
          </cell>
        </row>
        <row r="1909">
          <cell r="U1909" t="str">
            <v>L105701</v>
          </cell>
          <cell r="V1909" t="str">
            <v>DIV GLT 2kg</v>
          </cell>
          <cell r="W1909" t="str">
            <v>Ajuste</v>
          </cell>
          <cell r="X1909">
            <v>8</v>
          </cell>
          <cell r="Y1909">
            <v>16</v>
          </cell>
        </row>
        <row r="1910">
          <cell r="U1910" t="str">
            <v>L105677</v>
          </cell>
          <cell r="V1910" t="str">
            <v>DIV GLV 2kg</v>
          </cell>
          <cell r="W1910" t="str">
            <v>Ajuste</v>
          </cell>
          <cell r="X1910">
            <v>4</v>
          </cell>
          <cell r="Y1910">
            <v>8</v>
          </cell>
        </row>
        <row r="1911">
          <cell r="U1911" t="str">
            <v>L105504</v>
          </cell>
          <cell r="V1911" t="str">
            <v>DIV GUD 2kg</v>
          </cell>
          <cell r="W1911" t="str">
            <v>Ajuste</v>
          </cell>
          <cell r="X1911">
            <v>12</v>
          </cell>
          <cell r="Y1911">
            <v>24</v>
          </cell>
        </row>
        <row r="1912">
          <cell r="U1912" t="str">
            <v>L105975</v>
          </cell>
          <cell r="V1912" t="str">
            <v>DIV GUD 2kg</v>
          </cell>
          <cell r="W1912" t="str">
            <v>Ajuste</v>
          </cell>
          <cell r="X1912">
            <v>16</v>
          </cell>
          <cell r="Y1912">
            <v>32</v>
          </cell>
        </row>
        <row r="1913">
          <cell r="U1913" t="str">
            <v>L106022</v>
          </cell>
          <cell r="V1913" t="str">
            <v>DIV GUD 2kg</v>
          </cell>
          <cell r="W1913" t="str">
            <v>Ajuste</v>
          </cell>
          <cell r="X1913">
            <v>12</v>
          </cell>
          <cell r="Y1913">
            <v>24</v>
          </cell>
        </row>
        <row r="1914">
          <cell r="U1914" t="str">
            <v>l105272</v>
          </cell>
          <cell r="V1914" t="str">
            <v>HAV 25kg-Unidad</v>
          </cell>
          <cell r="W1914" t="str">
            <v>Ajuste</v>
          </cell>
          <cell r="X1914">
            <v>3</v>
          </cell>
          <cell r="Y1914">
            <v>75</v>
          </cell>
        </row>
        <row r="1915">
          <cell r="U1915" t="str">
            <v>l105272</v>
          </cell>
          <cell r="V1915" t="str">
            <v>DIV HAV 25kg</v>
          </cell>
          <cell r="W1915" t="str">
            <v>Ajuste</v>
          </cell>
          <cell r="X1915">
            <v>13</v>
          </cell>
          <cell r="Y1915">
            <v>325</v>
          </cell>
        </row>
        <row r="1916">
          <cell r="U1916" t="str">
            <v>L106031</v>
          </cell>
          <cell r="V1916" t="str">
            <v>DIV HAV 5kg</v>
          </cell>
          <cell r="W1916" t="str">
            <v>Ajuste</v>
          </cell>
          <cell r="X1916">
            <v>32</v>
          </cell>
          <cell r="Y1916">
            <v>160</v>
          </cell>
        </row>
        <row r="1917">
          <cell r="U1917" t="str">
            <v>L105859</v>
          </cell>
          <cell r="V1917" t="str">
            <v>DIV HAV 5kg</v>
          </cell>
          <cell r="W1917" t="str">
            <v>Ajuste</v>
          </cell>
          <cell r="X1917">
            <v>50</v>
          </cell>
          <cell r="Y1917">
            <v>250</v>
          </cell>
        </row>
        <row r="1918">
          <cell r="U1918" t="str">
            <v>L104967</v>
          </cell>
          <cell r="V1918" t="str">
            <v>DIV HDG 30UNI</v>
          </cell>
          <cell r="W1918" t="str">
            <v>Ajuste</v>
          </cell>
          <cell r="X1918">
            <v>36</v>
          </cell>
          <cell r="Y1918">
            <v>72</v>
          </cell>
        </row>
        <row r="1919">
          <cell r="U1919" t="str">
            <v>L105115</v>
          </cell>
          <cell r="V1919" t="str">
            <v>DIV HDG 30UNI</v>
          </cell>
          <cell r="W1919" t="str">
            <v>Ajuste</v>
          </cell>
          <cell r="X1919">
            <v>12</v>
          </cell>
          <cell r="Y1919">
            <v>24</v>
          </cell>
        </row>
        <row r="1920">
          <cell r="U1920" t="str">
            <v>L105875</v>
          </cell>
          <cell r="V1920" t="str">
            <v>DIV HDG 30UNI</v>
          </cell>
          <cell r="W1920" t="str">
            <v>Ajuste</v>
          </cell>
          <cell r="X1920">
            <v>16</v>
          </cell>
          <cell r="Y1920">
            <v>32</v>
          </cell>
        </row>
        <row r="1921">
          <cell r="U1921" t="str">
            <v>L105028</v>
          </cell>
          <cell r="V1921" t="str">
            <v>DIV HLD 473ml</v>
          </cell>
          <cell r="W1921" t="str">
            <v>Ajuste</v>
          </cell>
          <cell r="X1921">
            <v>852</v>
          </cell>
          <cell r="Y1921">
            <v>400.44</v>
          </cell>
        </row>
        <row r="1922">
          <cell r="U1922" t="str">
            <v>L105248</v>
          </cell>
          <cell r="V1922" t="str">
            <v>DIV HLD 473ml</v>
          </cell>
          <cell r="W1922" t="str">
            <v>Ajuste</v>
          </cell>
          <cell r="X1922">
            <v>2774</v>
          </cell>
          <cell r="Y1922">
            <v>1303.78</v>
          </cell>
        </row>
        <row r="1923">
          <cell r="U1923" t="str">
            <v>L105029</v>
          </cell>
          <cell r="V1923" t="str">
            <v>DIV HLD 900ml</v>
          </cell>
          <cell r="W1923" t="str">
            <v>Ajuste</v>
          </cell>
          <cell r="X1923">
            <v>154</v>
          </cell>
          <cell r="Y1923">
            <v>138.6</v>
          </cell>
        </row>
        <row r="1924">
          <cell r="U1924" t="str">
            <v>L105249</v>
          </cell>
          <cell r="V1924" t="str">
            <v>DIV HLD 900ml</v>
          </cell>
          <cell r="W1924" t="str">
            <v>Ajuste</v>
          </cell>
          <cell r="X1924">
            <v>234</v>
          </cell>
          <cell r="Y1924">
            <v>210.6</v>
          </cell>
        </row>
        <row r="1925">
          <cell r="U1925" t="str">
            <v>L104966</v>
          </cell>
          <cell r="V1925" t="str">
            <v>DIV HVG 25kg</v>
          </cell>
          <cell r="W1925" t="str">
            <v>Ajuste</v>
          </cell>
          <cell r="X1925">
            <v>8</v>
          </cell>
          <cell r="Y1925">
            <v>200</v>
          </cell>
        </row>
        <row r="1926">
          <cell r="U1926" t="str">
            <v>L104940</v>
          </cell>
          <cell r="V1926" t="str">
            <v>DIV JB 2kg</v>
          </cell>
          <cell r="W1926" t="str">
            <v>Ajuste</v>
          </cell>
          <cell r="X1926">
            <v>134</v>
          </cell>
          <cell r="Y1926">
            <v>268</v>
          </cell>
        </row>
        <row r="1927">
          <cell r="U1927" t="str">
            <v>L105500</v>
          </cell>
          <cell r="V1927" t="str">
            <v>DIV JGO 2kg</v>
          </cell>
          <cell r="W1927" t="str">
            <v>Ajuste</v>
          </cell>
          <cell r="X1927">
            <v>20</v>
          </cell>
          <cell r="Y1927">
            <v>40</v>
          </cell>
        </row>
        <row r="1928">
          <cell r="U1928" t="str">
            <v>L105501</v>
          </cell>
          <cell r="V1928" t="str">
            <v>DIV JGO 2kg</v>
          </cell>
          <cell r="W1928" t="str">
            <v>Ajuste</v>
          </cell>
          <cell r="X1928">
            <v>6</v>
          </cell>
          <cell r="Y1928">
            <v>12</v>
          </cell>
        </row>
        <row r="1929">
          <cell r="U1929" t="str">
            <v>L106033</v>
          </cell>
          <cell r="V1929" t="str">
            <v>DIV JGO 2kg</v>
          </cell>
          <cell r="W1929" t="str">
            <v>Ajuste</v>
          </cell>
          <cell r="X1929">
            <v>1180</v>
          </cell>
          <cell r="Y1929">
            <v>2360</v>
          </cell>
        </row>
        <row r="1930">
          <cell r="U1930" t="str">
            <v>L104953</v>
          </cell>
          <cell r="V1930" t="str">
            <v>DIV JLP 2kg</v>
          </cell>
          <cell r="W1930" t="str">
            <v>Ajuste</v>
          </cell>
          <cell r="X1930">
            <v>74</v>
          </cell>
          <cell r="Y1930">
            <v>148</v>
          </cell>
        </row>
        <row r="1931">
          <cell r="U1931" t="str">
            <v>L104943</v>
          </cell>
          <cell r="V1931" t="str">
            <v>DIV JLPL 2kg</v>
          </cell>
          <cell r="W1931" t="str">
            <v>Ajuste</v>
          </cell>
          <cell r="X1931">
            <v>244</v>
          </cell>
          <cell r="Y1931">
            <v>488</v>
          </cell>
        </row>
        <row r="1932">
          <cell r="U1932" t="str">
            <v>L105097</v>
          </cell>
          <cell r="V1932" t="str">
            <v>DIV JPM 2kg</v>
          </cell>
          <cell r="W1932" t="str">
            <v>Ajuste</v>
          </cell>
          <cell r="X1932">
            <v>4</v>
          </cell>
          <cell r="Y1932">
            <v>8</v>
          </cell>
        </row>
        <row r="1933">
          <cell r="U1933" t="str">
            <v>L105337</v>
          </cell>
          <cell r="V1933" t="str">
            <v>DIV KTP 2kg</v>
          </cell>
          <cell r="W1933" t="str">
            <v>Ajuste</v>
          </cell>
          <cell r="X1933">
            <v>2</v>
          </cell>
          <cell r="Y1933">
            <v>4</v>
          </cell>
        </row>
        <row r="1934">
          <cell r="U1934" t="str">
            <v>L105689</v>
          </cell>
          <cell r="V1934" t="str">
            <v>DIV KTP 2kg</v>
          </cell>
          <cell r="W1934" t="str">
            <v>Ajuste</v>
          </cell>
          <cell r="X1934">
            <v>4</v>
          </cell>
          <cell r="Y1934">
            <v>8</v>
          </cell>
        </row>
        <row r="1935">
          <cell r="U1935" t="str">
            <v>L104937</v>
          </cell>
          <cell r="V1935" t="str">
            <v>DIV KTPBBQ 24x397g</v>
          </cell>
          <cell r="W1935" t="str">
            <v>Ajuste</v>
          </cell>
          <cell r="X1935">
            <v>39</v>
          </cell>
          <cell r="Y1935">
            <v>390</v>
          </cell>
        </row>
        <row r="1936">
          <cell r="U1936" t="str">
            <v>L105497</v>
          </cell>
          <cell r="V1936" t="str">
            <v>LCH 48X315g-CAJA</v>
          </cell>
          <cell r="W1936" t="str">
            <v>Ajuste</v>
          </cell>
          <cell r="X1936">
            <v>241</v>
          </cell>
          <cell r="Y1936">
            <v>4338</v>
          </cell>
        </row>
        <row r="1937">
          <cell r="U1937" t="str">
            <v>L105497</v>
          </cell>
          <cell r="V1937" t="str">
            <v>DIV LCH 48X314g</v>
          </cell>
          <cell r="W1937" t="str">
            <v>Ajuste</v>
          </cell>
          <cell r="X1937">
            <v>135</v>
          </cell>
          <cell r="Y1937">
            <v>2430</v>
          </cell>
        </row>
        <row r="1938">
          <cell r="U1938" t="str">
            <v>L105685</v>
          </cell>
          <cell r="V1938" t="str">
            <v>DIV LCH 4kg</v>
          </cell>
          <cell r="W1938" t="str">
            <v>Ajuste</v>
          </cell>
          <cell r="X1938">
            <v>180</v>
          </cell>
          <cell r="Y1938">
            <v>720</v>
          </cell>
        </row>
        <row r="1939">
          <cell r="U1939" t="str">
            <v>L104935</v>
          </cell>
          <cell r="V1939" t="str">
            <v>DIV LCH 96X167g</v>
          </cell>
          <cell r="W1939" t="str">
            <v>Ajuste</v>
          </cell>
          <cell r="X1939">
            <v>990</v>
          </cell>
          <cell r="Y1939">
            <v>18810</v>
          </cell>
        </row>
        <row r="1940">
          <cell r="U1940" t="str">
            <v>l104969</v>
          </cell>
          <cell r="V1940" t="str">
            <v>DIV LCH EV 2kg</v>
          </cell>
          <cell r="W1940" t="str">
            <v>Ajuste</v>
          </cell>
          <cell r="X1940">
            <v>12</v>
          </cell>
          <cell r="Y1940">
            <v>24</v>
          </cell>
        </row>
        <row r="1941">
          <cell r="U1941" t="str">
            <v>L105980</v>
          </cell>
          <cell r="V1941" t="str">
            <v>DIV LPN 2kg-CAJA</v>
          </cell>
          <cell r="W1941" t="str">
            <v>Ajuste</v>
          </cell>
          <cell r="X1941">
            <v>2</v>
          </cell>
          <cell r="Y1941">
            <v>4</v>
          </cell>
        </row>
        <row r="1942">
          <cell r="U1942" t="str">
            <v>L106004</v>
          </cell>
          <cell r="V1942" t="str">
            <v>DIV LPN 2kg-CAJA</v>
          </cell>
          <cell r="W1942" t="str">
            <v>Ajuste</v>
          </cell>
          <cell r="X1942">
            <v>2</v>
          </cell>
          <cell r="Y1942">
            <v>4</v>
          </cell>
        </row>
        <row r="1943">
          <cell r="U1943" t="str">
            <v>L105678</v>
          </cell>
          <cell r="V1943" t="str">
            <v>DIV MAN 2Kg</v>
          </cell>
          <cell r="W1943" t="str">
            <v>Ajuste</v>
          </cell>
          <cell r="X1943">
            <v>6</v>
          </cell>
          <cell r="Y1943">
            <v>12</v>
          </cell>
        </row>
        <row r="1944">
          <cell r="U1944" t="str">
            <v>L105671</v>
          </cell>
          <cell r="V1944" t="str">
            <v>DIV mani</v>
          </cell>
          <cell r="W1944" t="str">
            <v>Ajuste</v>
          </cell>
          <cell r="X1944">
            <v>8</v>
          </cell>
          <cell r="Y1944">
            <v>8</v>
          </cell>
        </row>
        <row r="1945">
          <cell r="U1945" t="str">
            <v>L104931</v>
          </cell>
          <cell r="V1945" t="str">
            <v>DIV MEDP 6kg</v>
          </cell>
          <cell r="W1945" t="str">
            <v>Ajuste</v>
          </cell>
          <cell r="X1945">
            <v>58</v>
          </cell>
          <cell r="Y1945">
            <v>348</v>
          </cell>
        </row>
        <row r="1946">
          <cell r="U1946" t="str">
            <v>L105148</v>
          </cell>
          <cell r="V1946" t="str">
            <v>DIV MEDP 6kg</v>
          </cell>
          <cell r="W1946" t="str">
            <v>Ajuste</v>
          </cell>
          <cell r="X1946">
            <v>92</v>
          </cell>
          <cell r="Y1946">
            <v>552</v>
          </cell>
        </row>
        <row r="1947">
          <cell r="U1947" t="str">
            <v>L105266</v>
          </cell>
          <cell r="V1947" t="str">
            <v>DIV MEDP 6kg</v>
          </cell>
          <cell r="W1947" t="str">
            <v>Ajuste</v>
          </cell>
          <cell r="X1947">
            <v>6</v>
          </cell>
          <cell r="Y1947">
            <v>36</v>
          </cell>
        </row>
        <row r="1948">
          <cell r="U1948" t="str">
            <v>L105268</v>
          </cell>
          <cell r="V1948" t="str">
            <v>DIV Menestra kg</v>
          </cell>
          <cell r="W1948" t="str">
            <v>Ajuste</v>
          </cell>
          <cell r="X1948">
            <v>810</v>
          </cell>
          <cell r="Y1948">
            <v>810</v>
          </cell>
        </row>
        <row r="1949">
          <cell r="U1949" t="str">
            <v>L105268</v>
          </cell>
          <cell r="V1949" t="str">
            <v>DIV Menestra kg</v>
          </cell>
          <cell r="W1949" t="str">
            <v>Dañado</v>
          </cell>
          <cell r="X1949">
            <v>360</v>
          </cell>
          <cell r="Y1949">
            <v>360</v>
          </cell>
        </row>
        <row r="1950">
          <cell r="U1950" t="str">
            <v>L103845</v>
          </cell>
          <cell r="V1950" t="str">
            <v>DIV Menestra kg</v>
          </cell>
          <cell r="W1950" t="str">
            <v>Ajuste</v>
          </cell>
          <cell r="X1950">
            <v>200</v>
          </cell>
          <cell r="Y1950">
            <v>200</v>
          </cell>
        </row>
        <row r="1951">
          <cell r="U1951" t="str">
            <v>L104989</v>
          </cell>
          <cell r="V1951" t="str">
            <v>DIV MERMA DE FRUVER 1kg</v>
          </cell>
          <cell r="W1951" t="str">
            <v>Ajuste</v>
          </cell>
          <cell r="X1951">
            <v>24</v>
          </cell>
          <cell r="Y1951">
            <v>24</v>
          </cell>
        </row>
        <row r="1952">
          <cell r="U1952" t="str">
            <v>L104996</v>
          </cell>
          <cell r="V1952" t="str">
            <v>DIV MERMA DE FRUVER 1kg</v>
          </cell>
          <cell r="W1952" t="str">
            <v>Ajuste</v>
          </cell>
          <cell r="X1952">
            <v>28</v>
          </cell>
          <cell r="Y1952">
            <v>28</v>
          </cell>
        </row>
        <row r="1953">
          <cell r="U1953" t="str">
            <v>L105001</v>
          </cell>
          <cell r="V1953" t="str">
            <v>DIV MERMA DE FRUVER 1kg</v>
          </cell>
          <cell r="W1953" t="str">
            <v>Ajuste</v>
          </cell>
          <cell r="X1953">
            <v>32</v>
          </cell>
          <cell r="Y1953">
            <v>32</v>
          </cell>
        </row>
        <row r="1954">
          <cell r="U1954" t="str">
            <v>L105005</v>
          </cell>
          <cell r="V1954" t="str">
            <v>DIV MERMA DE FRUVER 1kg</v>
          </cell>
          <cell r="W1954" t="str">
            <v>Ajuste</v>
          </cell>
          <cell r="X1954">
            <v>72</v>
          </cell>
          <cell r="Y1954">
            <v>72</v>
          </cell>
        </row>
        <row r="1955">
          <cell r="U1955" t="str">
            <v>L105010</v>
          </cell>
          <cell r="V1955" t="str">
            <v>DIV MERMA DE FRUVER 1kg</v>
          </cell>
          <cell r="W1955" t="str">
            <v>Ajuste</v>
          </cell>
          <cell r="X1955">
            <v>28</v>
          </cell>
          <cell r="Y1955">
            <v>28</v>
          </cell>
        </row>
        <row r="1956">
          <cell r="U1956" t="str">
            <v>L105117</v>
          </cell>
          <cell r="V1956" t="str">
            <v>DIV MERMA DE FRUVER 1kg</v>
          </cell>
          <cell r="W1956" t="str">
            <v>Ajuste</v>
          </cell>
          <cell r="X1956">
            <v>60</v>
          </cell>
          <cell r="Y1956">
            <v>60</v>
          </cell>
        </row>
        <row r="1957">
          <cell r="U1957" t="str">
            <v>L105137</v>
          </cell>
          <cell r="V1957" t="str">
            <v>DIV MERMA DE FRUVER 1kg</v>
          </cell>
          <cell r="W1957" t="str">
            <v>Ajuste</v>
          </cell>
          <cell r="X1957">
            <v>30</v>
          </cell>
          <cell r="Y1957">
            <v>30</v>
          </cell>
        </row>
        <row r="1958">
          <cell r="U1958" t="str">
            <v>L105220</v>
          </cell>
          <cell r="V1958" t="str">
            <v>DIV MERMA DE FRUVER 1kg</v>
          </cell>
          <cell r="W1958" t="str">
            <v>Ajuste</v>
          </cell>
          <cell r="X1958">
            <v>10</v>
          </cell>
          <cell r="Y1958">
            <v>10</v>
          </cell>
        </row>
        <row r="1959">
          <cell r="U1959" t="str">
            <v>L105222</v>
          </cell>
          <cell r="V1959" t="str">
            <v>DIV MERMA DE FRUVER 1kg</v>
          </cell>
          <cell r="W1959" t="str">
            <v>Ajuste</v>
          </cell>
          <cell r="X1959">
            <v>12</v>
          </cell>
          <cell r="Y1959">
            <v>12</v>
          </cell>
        </row>
        <row r="1960">
          <cell r="U1960" t="str">
            <v>L105226</v>
          </cell>
          <cell r="V1960" t="str">
            <v>DIV MERMA DE FRUVER 1kg</v>
          </cell>
          <cell r="W1960" t="str">
            <v>Ajuste</v>
          </cell>
          <cell r="X1960">
            <v>2</v>
          </cell>
          <cell r="Y1960">
            <v>2</v>
          </cell>
        </row>
        <row r="1961">
          <cell r="U1961" t="str">
            <v>L105227</v>
          </cell>
          <cell r="V1961" t="str">
            <v>DIV MERMA DE FRUVER 1kg</v>
          </cell>
          <cell r="W1961" t="str">
            <v>Ajuste</v>
          </cell>
          <cell r="X1961">
            <v>24</v>
          </cell>
          <cell r="Y1961">
            <v>24</v>
          </cell>
        </row>
        <row r="1962">
          <cell r="U1962" t="str">
            <v>L105231</v>
          </cell>
          <cell r="V1962" t="str">
            <v>DIV MERMA DE FRUVER 1kg</v>
          </cell>
          <cell r="W1962" t="str">
            <v>Ajuste</v>
          </cell>
          <cell r="X1962">
            <v>26</v>
          </cell>
          <cell r="Y1962">
            <v>26</v>
          </cell>
        </row>
        <row r="1963">
          <cell r="U1963" t="str">
            <v>L105233</v>
          </cell>
          <cell r="V1963" t="str">
            <v>DIV MERMA DE FRUVER 1kg</v>
          </cell>
          <cell r="W1963" t="str">
            <v>Ajuste</v>
          </cell>
          <cell r="X1963">
            <v>64</v>
          </cell>
          <cell r="Y1963">
            <v>64</v>
          </cell>
        </row>
        <row r="1964">
          <cell r="U1964" t="str">
            <v>L105235</v>
          </cell>
          <cell r="V1964" t="str">
            <v>DIV MERMA DE FRUVER 1kg</v>
          </cell>
          <cell r="W1964" t="str">
            <v>Ajuste</v>
          </cell>
          <cell r="X1964">
            <v>24</v>
          </cell>
          <cell r="Y1964">
            <v>24</v>
          </cell>
        </row>
        <row r="1965">
          <cell r="U1965" t="str">
            <v>L105323</v>
          </cell>
          <cell r="V1965" t="str">
            <v>DIV MERMA DE FRUVER 1kg</v>
          </cell>
          <cell r="W1965" t="str">
            <v>Ajuste</v>
          </cell>
          <cell r="X1965">
            <v>68</v>
          </cell>
          <cell r="Y1965">
            <v>68</v>
          </cell>
        </row>
        <row r="1966">
          <cell r="U1966" t="str">
            <v>L105364</v>
          </cell>
          <cell r="V1966" t="str">
            <v>DIV MERMA DE FRUVER 1kg</v>
          </cell>
          <cell r="W1966" t="str">
            <v>Ajuste</v>
          </cell>
          <cell r="X1966">
            <v>40</v>
          </cell>
          <cell r="Y1966">
            <v>40</v>
          </cell>
        </row>
        <row r="1967">
          <cell r="U1967" t="str">
            <v>L105365</v>
          </cell>
          <cell r="V1967" t="str">
            <v>DIV MERMA DE FRUVER 1kg</v>
          </cell>
          <cell r="W1967" t="str">
            <v>Ajuste</v>
          </cell>
          <cell r="X1967">
            <v>20</v>
          </cell>
          <cell r="Y1967">
            <v>20</v>
          </cell>
        </row>
        <row r="1968">
          <cell r="U1968" t="str">
            <v>L105369</v>
          </cell>
          <cell r="V1968" t="str">
            <v>DIV MERMA DE FRUVER 1kg</v>
          </cell>
          <cell r="W1968" t="str">
            <v>Ajuste</v>
          </cell>
          <cell r="X1968">
            <v>48</v>
          </cell>
          <cell r="Y1968">
            <v>48</v>
          </cell>
        </row>
        <row r="1969">
          <cell r="U1969" t="str">
            <v>L105370</v>
          </cell>
          <cell r="V1969" t="str">
            <v>DIV MERMA DE FRUVER 1kg</v>
          </cell>
          <cell r="W1969" t="str">
            <v>Ajuste</v>
          </cell>
          <cell r="X1969">
            <v>72</v>
          </cell>
          <cell r="Y1969">
            <v>72</v>
          </cell>
        </row>
        <row r="1970">
          <cell r="U1970" t="str">
            <v>L105425</v>
          </cell>
          <cell r="V1970" t="str">
            <v>DIV MERMA DE FRUVER 1kg</v>
          </cell>
          <cell r="W1970" t="str">
            <v>Ajuste</v>
          </cell>
          <cell r="X1970">
            <v>180</v>
          </cell>
          <cell r="Y1970">
            <v>180</v>
          </cell>
        </row>
        <row r="1971">
          <cell r="U1971" t="str">
            <v>L105427</v>
          </cell>
          <cell r="V1971" t="str">
            <v>DIV MERMA DE FRUVER 1kg</v>
          </cell>
          <cell r="W1971" t="str">
            <v>Ajuste</v>
          </cell>
          <cell r="X1971">
            <v>20</v>
          </cell>
          <cell r="Y1971">
            <v>20</v>
          </cell>
        </row>
        <row r="1972">
          <cell r="U1972" t="str">
            <v>L105445</v>
          </cell>
          <cell r="V1972" t="str">
            <v>DIV MERMA DE FRUVER 1kg</v>
          </cell>
          <cell r="W1972" t="str">
            <v>Ajuste</v>
          </cell>
          <cell r="X1972">
            <v>10</v>
          </cell>
          <cell r="Y1972">
            <v>10</v>
          </cell>
        </row>
        <row r="1973">
          <cell r="U1973" t="str">
            <v>L105633</v>
          </cell>
          <cell r="V1973" t="str">
            <v>DIV MERMA DE FRUVER 1kg</v>
          </cell>
          <cell r="W1973" t="str">
            <v>Ajuste</v>
          </cell>
          <cell r="X1973">
            <v>30</v>
          </cell>
          <cell r="Y1973">
            <v>30</v>
          </cell>
        </row>
        <row r="1974">
          <cell r="U1974" t="str">
            <v>L105634</v>
          </cell>
          <cell r="V1974" t="str">
            <v>DIV MERMA DE FRUVER 1kg</v>
          </cell>
          <cell r="W1974" t="str">
            <v>Ajuste</v>
          </cell>
          <cell r="X1974">
            <v>36</v>
          </cell>
          <cell r="Y1974">
            <v>36</v>
          </cell>
        </row>
        <row r="1975">
          <cell r="U1975" t="str">
            <v>L105637</v>
          </cell>
          <cell r="V1975" t="str">
            <v>DIV MERMA DE FRUVER 1kg</v>
          </cell>
          <cell r="W1975" t="str">
            <v>Ajuste</v>
          </cell>
          <cell r="X1975">
            <v>16</v>
          </cell>
          <cell r="Y1975">
            <v>16</v>
          </cell>
        </row>
        <row r="1976">
          <cell r="U1976" t="str">
            <v>L105777</v>
          </cell>
          <cell r="V1976" t="str">
            <v>DIV MERMA DE FRUVER 1kg</v>
          </cell>
          <cell r="W1976" t="str">
            <v>Ajuste</v>
          </cell>
          <cell r="X1976">
            <v>20</v>
          </cell>
          <cell r="Y1976">
            <v>20</v>
          </cell>
        </row>
        <row r="1977">
          <cell r="U1977" t="str">
            <v>L105779</v>
          </cell>
          <cell r="V1977" t="str">
            <v>DIV MERMA DE FRUVER 1kg</v>
          </cell>
          <cell r="W1977" t="str">
            <v>Ajuste</v>
          </cell>
          <cell r="X1977">
            <v>98</v>
          </cell>
          <cell r="Y1977">
            <v>98</v>
          </cell>
        </row>
        <row r="1978">
          <cell r="U1978" t="str">
            <v>L105782</v>
          </cell>
          <cell r="V1978" t="str">
            <v>DIV MERMA DE FRUVER 1kg</v>
          </cell>
          <cell r="W1978" t="str">
            <v>Ajuste</v>
          </cell>
          <cell r="X1978">
            <v>38</v>
          </cell>
          <cell r="Y1978">
            <v>38</v>
          </cell>
        </row>
        <row r="1979">
          <cell r="U1979" t="str">
            <v>L105785</v>
          </cell>
          <cell r="V1979" t="str">
            <v>DIV MERMA DE FRUVER 1kg</v>
          </cell>
          <cell r="W1979" t="str">
            <v>Ajuste</v>
          </cell>
          <cell r="X1979">
            <v>116</v>
          </cell>
          <cell r="Y1979">
            <v>116</v>
          </cell>
        </row>
        <row r="1980">
          <cell r="U1980" t="str">
            <v>L105924</v>
          </cell>
          <cell r="V1980" t="str">
            <v>DIV MERMA DE FRUVER 1kg</v>
          </cell>
          <cell r="W1980" t="str">
            <v>Ajuste</v>
          </cell>
          <cell r="X1980">
            <v>110</v>
          </cell>
          <cell r="Y1980">
            <v>110</v>
          </cell>
        </row>
        <row r="1981">
          <cell r="U1981" t="str">
            <v>L105926</v>
          </cell>
          <cell r="V1981" t="str">
            <v>DIV MERMA DE FRUVER 1kg</v>
          </cell>
          <cell r="W1981" t="str">
            <v>Ajuste</v>
          </cell>
          <cell r="X1981">
            <v>100</v>
          </cell>
          <cell r="Y1981">
            <v>100</v>
          </cell>
        </row>
        <row r="1982">
          <cell r="U1982" t="str">
            <v>L105928</v>
          </cell>
          <cell r="V1982" t="str">
            <v>DIV MERMA DE FRUVER 1kg</v>
          </cell>
          <cell r="W1982" t="str">
            <v>Ajuste</v>
          </cell>
          <cell r="X1982">
            <v>106</v>
          </cell>
          <cell r="Y1982">
            <v>106</v>
          </cell>
        </row>
        <row r="1983">
          <cell r="U1983" t="str">
            <v>L105931</v>
          </cell>
          <cell r="V1983" t="str">
            <v>DIV MERMA DE FRUVER 1kg</v>
          </cell>
          <cell r="W1983" t="str">
            <v>Ajuste</v>
          </cell>
          <cell r="X1983">
            <v>10</v>
          </cell>
          <cell r="Y1983">
            <v>10</v>
          </cell>
        </row>
        <row r="1984">
          <cell r="U1984" t="str">
            <v>L105987</v>
          </cell>
          <cell r="V1984" t="str">
            <v>DIV MERMA DE FRUVER 1kg</v>
          </cell>
          <cell r="W1984" t="str">
            <v>Ajuste</v>
          </cell>
          <cell r="X1984">
            <v>16</v>
          </cell>
          <cell r="Y1984">
            <v>16</v>
          </cell>
        </row>
        <row r="1985">
          <cell r="U1985" t="str">
            <v>L106000</v>
          </cell>
          <cell r="V1985" t="str">
            <v>DIV MERMA DE FRUVER 1kg</v>
          </cell>
          <cell r="W1985" t="str">
            <v>Ajuste</v>
          </cell>
          <cell r="X1985">
            <v>8</v>
          </cell>
          <cell r="Y1985">
            <v>8</v>
          </cell>
        </row>
        <row r="1986">
          <cell r="U1986" t="str">
            <v>L106014</v>
          </cell>
          <cell r="V1986" t="str">
            <v>DIV MERMA DE FRUVER 1kg</v>
          </cell>
          <cell r="W1986" t="str">
            <v>Ajuste</v>
          </cell>
          <cell r="X1986">
            <v>10</v>
          </cell>
          <cell r="Y1986">
            <v>10</v>
          </cell>
        </row>
        <row r="1987">
          <cell r="U1987" t="str">
            <v>L106016</v>
          </cell>
          <cell r="V1987" t="str">
            <v>DIV MERMA DE FRUVER 1kg</v>
          </cell>
          <cell r="W1987" t="str">
            <v>Ajuste</v>
          </cell>
          <cell r="X1987">
            <v>10</v>
          </cell>
          <cell r="Y1987">
            <v>10</v>
          </cell>
        </row>
        <row r="1988">
          <cell r="U1988" t="str">
            <v>L106018</v>
          </cell>
          <cell r="V1988" t="str">
            <v>DIV MERMA DE FRUVER 1kg</v>
          </cell>
          <cell r="W1988" t="str">
            <v>Ajuste</v>
          </cell>
          <cell r="X1988">
            <v>10</v>
          </cell>
          <cell r="Y1988">
            <v>10</v>
          </cell>
        </row>
        <row r="1989">
          <cell r="U1989" t="str">
            <v>L105669</v>
          </cell>
          <cell r="V1989" t="str">
            <v>DIV Merma KG</v>
          </cell>
          <cell r="W1989" t="str">
            <v>Ajuste</v>
          </cell>
          <cell r="X1989">
            <v>6</v>
          </cell>
          <cell r="Y1989">
            <v>6</v>
          </cell>
        </row>
        <row r="1990">
          <cell r="U1990" t="str">
            <v>L106032</v>
          </cell>
          <cell r="V1990" t="str">
            <v>DIV Merma KG</v>
          </cell>
          <cell r="W1990" t="str">
            <v>Ajuste</v>
          </cell>
          <cell r="X1990">
            <v>10</v>
          </cell>
          <cell r="Y1990">
            <v>10</v>
          </cell>
        </row>
        <row r="1991">
          <cell r="U1991" t="str">
            <v>L105502</v>
          </cell>
          <cell r="V1991" t="str">
            <v>DIV MLCT 2kg</v>
          </cell>
          <cell r="W1991" t="str">
            <v>Ajuste</v>
          </cell>
          <cell r="X1991">
            <v>6</v>
          </cell>
          <cell r="Y1991">
            <v>12</v>
          </cell>
        </row>
        <row r="1992">
          <cell r="U1992" t="str">
            <v>L106025</v>
          </cell>
          <cell r="V1992" t="str">
            <v>DIV MLCT 2kg</v>
          </cell>
          <cell r="W1992" t="str">
            <v>Ajuste</v>
          </cell>
          <cell r="X1992">
            <v>2</v>
          </cell>
          <cell r="Y1992">
            <v>4</v>
          </cell>
        </row>
        <row r="1993">
          <cell r="U1993" t="str">
            <v>L106003</v>
          </cell>
          <cell r="V1993" t="str">
            <v>DIV MLNVAR 45-50kg</v>
          </cell>
          <cell r="W1993" t="str">
            <v>Ajuste</v>
          </cell>
          <cell r="X1993">
            <v>124</v>
          </cell>
          <cell r="Y1993">
            <v>5952</v>
          </cell>
        </row>
        <row r="1994">
          <cell r="U1994" t="str">
            <v>L106003</v>
          </cell>
          <cell r="V1994" t="str">
            <v>DIV MLNVAR 45-50kg</v>
          </cell>
          <cell r="W1994" t="str">
            <v>Reproceso</v>
          </cell>
          <cell r="X1994">
            <v>47</v>
          </cell>
          <cell r="Y1994">
            <v>2256</v>
          </cell>
        </row>
        <row r="1995">
          <cell r="U1995" t="str">
            <v>L106003</v>
          </cell>
          <cell r="V1995" t="str">
            <v>MLNVAR 10kg</v>
          </cell>
          <cell r="W1995" t="str">
            <v>Ajuste</v>
          </cell>
          <cell r="X1995">
            <v>450</v>
          </cell>
          <cell r="Y1995">
            <v>4500</v>
          </cell>
        </row>
        <row r="1996">
          <cell r="U1996" t="str">
            <v>L105972</v>
          </cell>
          <cell r="V1996" t="str">
            <v>DIV MNS 10kg</v>
          </cell>
          <cell r="W1996" t="str">
            <v>Ajuste</v>
          </cell>
          <cell r="X1996">
            <v>400</v>
          </cell>
          <cell r="Y1996">
            <v>4000</v>
          </cell>
        </row>
        <row r="1997">
          <cell r="U1997" t="str">
            <v>L105919</v>
          </cell>
          <cell r="V1997" t="str">
            <v>DIV MNS 10kg</v>
          </cell>
          <cell r="W1997" t="str">
            <v>Ajuste</v>
          </cell>
          <cell r="X1997">
            <v>5</v>
          </cell>
          <cell r="Y1997">
            <v>50</v>
          </cell>
        </row>
        <row r="1998">
          <cell r="U1998" t="str">
            <v>L105077</v>
          </cell>
          <cell r="V1998" t="str">
            <v>DIV MNS 2kg</v>
          </cell>
          <cell r="W1998" t="str">
            <v>Ajuste</v>
          </cell>
          <cell r="X1998">
            <v>6</v>
          </cell>
          <cell r="Y1998">
            <v>12</v>
          </cell>
        </row>
        <row r="1999">
          <cell r="U1999" t="str">
            <v>L105998</v>
          </cell>
          <cell r="V1999" t="str">
            <v>PTM 5kg-CAJA</v>
          </cell>
          <cell r="W1999" t="str">
            <v>Ajuste</v>
          </cell>
          <cell r="X1999">
            <v>91</v>
          </cell>
          <cell r="Y1999">
            <v>455</v>
          </cell>
        </row>
        <row r="2000">
          <cell r="U2000" t="str">
            <v>L105998</v>
          </cell>
          <cell r="V2000" t="str">
            <v>DIV MTQ 1kg</v>
          </cell>
          <cell r="W2000" t="str">
            <v>Ajuste</v>
          </cell>
          <cell r="X2000">
            <v>2</v>
          </cell>
          <cell r="Y2000">
            <v>2</v>
          </cell>
        </row>
        <row r="2001">
          <cell r="U2001" t="str">
            <v>L105145</v>
          </cell>
          <cell r="V2001" t="str">
            <v>DIV MXTCD 5kg</v>
          </cell>
          <cell r="W2001" t="str">
            <v>Ajuste</v>
          </cell>
          <cell r="X2001">
            <v>28</v>
          </cell>
          <cell r="Y2001">
            <v>140</v>
          </cell>
        </row>
        <row r="2002">
          <cell r="U2002" t="str">
            <v>L105334</v>
          </cell>
          <cell r="V2002" t="str">
            <v>DIV MYN 2kg</v>
          </cell>
          <cell r="W2002" t="str">
            <v>Ajuste</v>
          </cell>
          <cell r="X2002">
            <v>8</v>
          </cell>
          <cell r="Y2002">
            <v>16</v>
          </cell>
        </row>
        <row r="2003">
          <cell r="U2003" t="str">
            <v>L105675</v>
          </cell>
          <cell r="V2003" t="str">
            <v>DIV MYN 2kg</v>
          </cell>
          <cell r="W2003" t="str">
            <v>Ajuste</v>
          </cell>
          <cell r="X2003">
            <v>12</v>
          </cell>
          <cell r="Y2003">
            <v>24</v>
          </cell>
        </row>
        <row r="2004">
          <cell r="U2004" t="str">
            <v>L105702</v>
          </cell>
          <cell r="V2004" t="str">
            <v>DIV MYN 2kg</v>
          </cell>
          <cell r="W2004" t="str">
            <v>Ajuste</v>
          </cell>
          <cell r="X2004">
            <v>5</v>
          </cell>
          <cell r="Y2004">
            <v>10</v>
          </cell>
        </row>
        <row r="2005">
          <cell r="U2005" t="str">
            <v>L105673</v>
          </cell>
          <cell r="V2005" t="str">
            <v>DIV MYN 5kg</v>
          </cell>
          <cell r="W2005" t="str">
            <v>Ajuste</v>
          </cell>
          <cell r="X2005">
            <v>12</v>
          </cell>
          <cell r="Y2005">
            <v>60</v>
          </cell>
        </row>
        <row r="2006">
          <cell r="U2006" t="str">
            <v>L105503</v>
          </cell>
          <cell r="V2006" t="str">
            <v>DIV MZL 2kg</v>
          </cell>
          <cell r="W2006" t="str">
            <v>Ajuste</v>
          </cell>
          <cell r="X2006">
            <v>4</v>
          </cell>
          <cell r="Y2006">
            <v>8</v>
          </cell>
        </row>
        <row r="2007">
          <cell r="U2007" t="str">
            <v>L105977</v>
          </cell>
          <cell r="V2007" t="str">
            <v>DIV MZL 2kg</v>
          </cell>
          <cell r="W2007" t="str">
            <v>Ajuste</v>
          </cell>
          <cell r="X2007">
            <v>4</v>
          </cell>
          <cell r="Y2007">
            <v>8</v>
          </cell>
        </row>
        <row r="2008">
          <cell r="U2008" t="str">
            <v>L105343</v>
          </cell>
          <cell r="V2008" t="str">
            <v>DIV MZT 2kg</v>
          </cell>
          <cell r="W2008" t="str">
            <v>Ajuste</v>
          </cell>
          <cell r="X2008">
            <v>10</v>
          </cell>
          <cell r="Y2008">
            <v>20</v>
          </cell>
        </row>
        <row r="2009">
          <cell r="U2009" t="str">
            <v>L105705</v>
          </cell>
          <cell r="V2009" t="str">
            <v>DIV MZT 2kg</v>
          </cell>
          <cell r="W2009" t="str">
            <v>Ajuste</v>
          </cell>
          <cell r="X2009">
            <v>4</v>
          </cell>
          <cell r="Y2009">
            <v>8</v>
          </cell>
        </row>
        <row r="2010">
          <cell r="U2010" t="str">
            <v>L105014</v>
          </cell>
          <cell r="V2010" t="str">
            <v>DIV PASTV 2kg</v>
          </cell>
          <cell r="W2010" t="str">
            <v>Ajuste</v>
          </cell>
          <cell r="X2010">
            <v>20</v>
          </cell>
          <cell r="Y2010">
            <v>40</v>
          </cell>
        </row>
        <row r="2011">
          <cell r="U2011" t="str">
            <v>L105237</v>
          </cell>
          <cell r="V2011" t="str">
            <v>DIV PASTV 2kg</v>
          </cell>
          <cell r="W2011" t="str">
            <v>Ajuste</v>
          </cell>
          <cell r="X2011">
            <v>22</v>
          </cell>
          <cell r="Y2011">
            <v>44</v>
          </cell>
        </row>
        <row r="2012">
          <cell r="U2012" t="str">
            <v>L105322</v>
          </cell>
          <cell r="V2012" t="str">
            <v>DIV PASTV 2kg</v>
          </cell>
          <cell r="W2012" t="str">
            <v>Ajuste</v>
          </cell>
          <cell r="X2012">
            <v>34</v>
          </cell>
          <cell r="Y2012">
            <v>68</v>
          </cell>
        </row>
        <row r="2013">
          <cell r="U2013" t="str">
            <v>L105444</v>
          </cell>
          <cell r="V2013" t="str">
            <v>DIV PASTV 2kg</v>
          </cell>
          <cell r="W2013" t="str">
            <v>Ajuste</v>
          </cell>
          <cell r="X2013">
            <v>14</v>
          </cell>
          <cell r="Y2013">
            <v>28</v>
          </cell>
        </row>
        <row r="2014">
          <cell r="U2014" t="str">
            <v>L105983</v>
          </cell>
          <cell r="V2014" t="str">
            <v>DIV PASTV 2kg</v>
          </cell>
          <cell r="W2014" t="str">
            <v>Ajuste</v>
          </cell>
          <cell r="X2014">
            <v>16</v>
          </cell>
          <cell r="Y2014">
            <v>32</v>
          </cell>
        </row>
        <row r="2015">
          <cell r="U2015" t="str">
            <v>L105994</v>
          </cell>
          <cell r="V2015" t="str">
            <v>DIV PASTV 2kg</v>
          </cell>
          <cell r="W2015" t="str">
            <v>Ajuste</v>
          </cell>
          <cell r="X2015">
            <v>24</v>
          </cell>
          <cell r="Y2015">
            <v>48</v>
          </cell>
        </row>
        <row r="2016">
          <cell r="U2016" t="str">
            <v>L105020</v>
          </cell>
          <cell r="V2016" t="str">
            <v>DIV PASTV 6kg</v>
          </cell>
          <cell r="W2016" t="str">
            <v>Ajuste</v>
          </cell>
          <cell r="X2016">
            <v>2</v>
          </cell>
          <cell r="Y2016">
            <v>12</v>
          </cell>
        </row>
        <row r="2017">
          <cell r="U2017" t="str">
            <v>L105982</v>
          </cell>
          <cell r="V2017" t="str">
            <v>DIV PASTV 6kg</v>
          </cell>
          <cell r="W2017" t="str">
            <v>Ajuste</v>
          </cell>
          <cell r="X2017">
            <v>2</v>
          </cell>
          <cell r="Y2017">
            <v>12</v>
          </cell>
        </row>
        <row r="2018">
          <cell r="U2018" t="str">
            <v>L105999</v>
          </cell>
          <cell r="V2018" t="str">
            <v>DIV PASTV 6kg</v>
          </cell>
          <cell r="W2018" t="str">
            <v>Ajuste</v>
          </cell>
          <cell r="X2018">
            <v>6</v>
          </cell>
          <cell r="Y2018">
            <v>36</v>
          </cell>
        </row>
        <row r="2019">
          <cell r="U2019" t="str">
            <v>L104965</v>
          </cell>
          <cell r="V2019" t="str">
            <v>DIV PATDP 2.5KG</v>
          </cell>
          <cell r="W2019" t="str">
            <v>Ajuste</v>
          </cell>
          <cell r="X2019">
            <v>10</v>
          </cell>
          <cell r="Y2019">
            <v>25</v>
          </cell>
        </row>
        <row r="2020">
          <cell r="U2020" t="str">
            <v>L104964</v>
          </cell>
          <cell r="V2020" t="str">
            <v>DIV PCDP 7kg</v>
          </cell>
          <cell r="W2020" t="str">
            <v>Ajuste</v>
          </cell>
          <cell r="X2020">
            <v>16</v>
          </cell>
          <cell r="Y2020">
            <v>112</v>
          </cell>
        </row>
        <row r="2021">
          <cell r="U2021" t="str">
            <v>L105262</v>
          </cell>
          <cell r="V2021" t="str">
            <v>DIV PCDP 7kg</v>
          </cell>
          <cell r="W2021" t="str">
            <v>Ajuste</v>
          </cell>
          <cell r="X2021">
            <v>12</v>
          </cell>
          <cell r="Y2021">
            <v>84</v>
          </cell>
        </row>
        <row r="2022">
          <cell r="U2022" t="str">
            <v>L105706</v>
          </cell>
          <cell r="V2022" t="str">
            <v>DIV PCK 3kg</v>
          </cell>
          <cell r="W2022" t="str">
            <v>Ajuste</v>
          </cell>
          <cell r="X2022">
            <v>4</v>
          </cell>
          <cell r="Y2022">
            <v>12</v>
          </cell>
        </row>
        <row r="2023">
          <cell r="U2023" t="str">
            <v>L105265</v>
          </cell>
          <cell r="V2023" t="str">
            <v>DIV PCP 4kg</v>
          </cell>
          <cell r="W2023" t="str">
            <v>Ajuste</v>
          </cell>
          <cell r="X2023">
            <v>66</v>
          </cell>
          <cell r="Y2023">
            <v>264</v>
          </cell>
        </row>
        <row r="2024">
          <cell r="U2024" t="str">
            <v>L105265</v>
          </cell>
          <cell r="V2024" t="str">
            <v>DIV PCP 4kg</v>
          </cell>
          <cell r="W2024" t="str">
            <v>Dañado</v>
          </cell>
          <cell r="X2024">
            <v>4</v>
          </cell>
          <cell r="Y2024">
            <v>16</v>
          </cell>
        </row>
        <row r="2025">
          <cell r="U2025" t="str">
            <v>L105270</v>
          </cell>
          <cell r="V2025" t="str">
            <v>DIV PCP 4kg</v>
          </cell>
          <cell r="W2025" t="str">
            <v>Ajuste</v>
          </cell>
          <cell r="X2025">
            <v>14</v>
          </cell>
          <cell r="Y2025">
            <v>56</v>
          </cell>
        </row>
        <row r="2026">
          <cell r="U2026" t="str">
            <v>L105273</v>
          </cell>
          <cell r="V2026" t="str">
            <v>DIV PDA G</v>
          </cell>
          <cell r="W2026" t="str">
            <v>Ajuste</v>
          </cell>
          <cell r="X2026">
            <v>14</v>
          </cell>
          <cell r="Y2026">
            <v>78.399999999999991</v>
          </cell>
        </row>
        <row r="2027">
          <cell r="U2027" t="str">
            <v>L105271</v>
          </cell>
          <cell r="V2027" t="str">
            <v>DIV PDA M</v>
          </cell>
          <cell r="W2027" t="str">
            <v>Ajuste</v>
          </cell>
          <cell r="X2027">
            <v>16</v>
          </cell>
          <cell r="Y2027">
            <v>83.200000000000017</v>
          </cell>
        </row>
        <row r="2028">
          <cell r="U2028" t="str">
            <v>L104932</v>
          </cell>
          <cell r="V2028" t="str">
            <v>DIV PEC 11kg a 13kg</v>
          </cell>
          <cell r="W2028" t="str">
            <v>Ajuste</v>
          </cell>
          <cell r="X2028">
            <v>14</v>
          </cell>
          <cell r="Y2028">
            <v>168</v>
          </cell>
        </row>
        <row r="2029">
          <cell r="U2029" t="str">
            <v>L104933</v>
          </cell>
          <cell r="V2029" t="str">
            <v>DIV PEC 8KG</v>
          </cell>
          <cell r="W2029" t="str">
            <v>Ajuste</v>
          </cell>
          <cell r="X2029">
            <v>24</v>
          </cell>
          <cell r="Y2029">
            <v>192</v>
          </cell>
        </row>
        <row r="2030">
          <cell r="U2030" t="str">
            <v>L105267</v>
          </cell>
          <cell r="V2030" t="str">
            <v>DIV PEC 8KG</v>
          </cell>
          <cell r="W2030" t="str">
            <v>Ajuste</v>
          </cell>
          <cell r="X2030">
            <v>4</v>
          </cell>
          <cell r="Y2030">
            <v>32</v>
          </cell>
        </row>
        <row r="2031">
          <cell r="U2031" t="str">
            <v>L105303</v>
          </cell>
          <cell r="V2031" t="str">
            <v>DIV PEC 8KG</v>
          </cell>
          <cell r="W2031" t="str">
            <v>Ajuste</v>
          </cell>
          <cell r="X2031">
            <v>10</v>
          </cell>
          <cell r="Y2031">
            <v>80</v>
          </cell>
        </row>
        <row r="2032">
          <cell r="U2032" t="str">
            <v>L105508</v>
          </cell>
          <cell r="V2032" t="str">
            <v>DIV PH 1kg</v>
          </cell>
          <cell r="W2032" t="str">
            <v>Ajuste</v>
          </cell>
          <cell r="X2032">
            <v>12</v>
          </cell>
          <cell r="Y2032">
            <v>12</v>
          </cell>
        </row>
        <row r="2033">
          <cell r="U2033" t="str">
            <v>L105146</v>
          </cell>
          <cell r="V2033" t="str">
            <v>DIV PLLMC 13kg</v>
          </cell>
          <cell r="W2033" t="str">
            <v>Ajuste</v>
          </cell>
          <cell r="X2033">
            <v>8</v>
          </cell>
          <cell r="Y2033">
            <v>104</v>
          </cell>
        </row>
        <row r="2034">
          <cell r="U2034" t="str">
            <v>L105592</v>
          </cell>
          <cell r="V2034" t="str">
            <v>DIV PLLMC 13kg</v>
          </cell>
          <cell r="W2034" t="str">
            <v>Ajuste</v>
          </cell>
          <cell r="X2034">
            <v>16</v>
          </cell>
          <cell r="Y2034">
            <v>208</v>
          </cell>
        </row>
        <row r="2035">
          <cell r="U2035" t="str">
            <v>L105147</v>
          </cell>
          <cell r="V2035" t="str">
            <v>DIV PLLMC 8kg</v>
          </cell>
          <cell r="W2035" t="str">
            <v>Ajuste</v>
          </cell>
          <cell r="X2035">
            <v>8</v>
          </cell>
          <cell r="Y2035">
            <v>64</v>
          </cell>
        </row>
        <row r="2036">
          <cell r="U2036" t="str">
            <v>L105304</v>
          </cell>
          <cell r="V2036" t="str">
            <v>DIV PLLPM 5kg</v>
          </cell>
          <cell r="W2036" t="str">
            <v>Ajuste</v>
          </cell>
          <cell r="X2036">
            <v>2</v>
          </cell>
          <cell r="Y2036">
            <v>10</v>
          </cell>
        </row>
        <row r="2037">
          <cell r="U2037" t="str">
            <v>L105593</v>
          </cell>
          <cell r="V2037" t="str">
            <v>DIV PLLPM 5kg</v>
          </cell>
          <cell r="W2037" t="str">
            <v>Ajuste</v>
          </cell>
          <cell r="X2037">
            <v>54</v>
          </cell>
          <cell r="Y2037">
            <v>270</v>
          </cell>
        </row>
        <row r="2038">
          <cell r="U2038" t="str">
            <v>L105974</v>
          </cell>
          <cell r="V2038" t="str">
            <v>DIV PNALT 2kg</v>
          </cell>
          <cell r="W2038" t="str">
            <v>Ajuste</v>
          </cell>
          <cell r="X2038">
            <v>2</v>
          </cell>
          <cell r="Y2038">
            <v>4</v>
          </cell>
        </row>
        <row r="2039">
          <cell r="U2039" t="str">
            <v>L105142</v>
          </cell>
          <cell r="V2039" t="str">
            <v>DIV PP 5kg</v>
          </cell>
          <cell r="W2039" t="str">
            <v>Ajuste</v>
          </cell>
          <cell r="X2039">
            <v>94</v>
          </cell>
          <cell r="Y2039">
            <v>470</v>
          </cell>
        </row>
        <row r="2040">
          <cell r="U2040" t="str">
            <v>L105264</v>
          </cell>
          <cell r="V2040" t="str">
            <v>DIV PP 5kg</v>
          </cell>
          <cell r="W2040" t="str">
            <v>Ajuste</v>
          </cell>
          <cell r="X2040">
            <v>6</v>
          </cell>
          <cell r="Y2040">
            <v>30</v>
          </cell>
        </row>
        <row r="2041">
          <cell r="U2041" t="str">
            <v>L105324</v>
          </cell>
          <cell r="V2041" t="str">
            <v>DIV PP 5kg</v>
          </cell>
          <cell r="W2041" t="str">
            <v>Ajuste</v>
          </cell>
          <cell r="X2041">
            <v>6</v>
          </cell>
          <cell r="Y2041">
            <v>30</v>
          </cell>
        </row>
        <row r="2042">
          <cell r="U2042" t="str">
            <v>L105594</v>
          </cell>
          <cell r="V2042" t="str">
            <v>DIV PP 5kg</v>
          </cell>
          <cell r="W2042" t="str">
            <v>Ajuste</v>
          </cell>
          <cell r="X2042">
            <v>144</v>
          </cell>
          <cell r="Y2042">
            <v>720</v>
          </cell>
        </row>
        <row r="2043">
          <cell r="U2043" t="str">
            <v>L105775</v>
          </cell>
          <cell r="V2043" t="str">
            <v>DIV PP 5kg</v>
          </cell>
          <cell r="W2043" t="str">
            <v>Ajuste</v>
          </cell>
          <cell r="X2043">
            <v>66</v>
          </cell>
          <cell r="Y2043">
            <v>330</v>
          </cell>
        </row>
        <row r="2044">
          <cell r="U2044" t="str">
            <v>L105935</v>
          </cell>
          <cell r="V2044" t="str">
            <v>DIV PP 5kg</v>
          </cell>
          <cell r="W2044" t="str">
            <v>Ajuste</v>
          </cell>
          <cell r="X2044">
            <v>18</v>
          </cell>
          <cell r="Y2044">
            <v>90</v>
          </cell>
        </row>
        <row r="2045">
          <cell r="U2045" t="str">
            <v>L105013</v>
          </cell>
          <cell r="V2045" t="str">
            <v>DIV PRTZ UND</v>
          </cell>
          <cell r="W2045" t="str">
            <v>Ajuste</v>
          </cell>
          <cell r="X2045">
            <v>24</v>
          </cell>
          <cell r="Y2045">
            <v>24</v>
          </cell>
        </row>
        <row r="2046">
          <cell r="U2046" t="str">
            <v>L105981</v>
          </cell>
          <cell r="V2046" t="str">
            <v>DIV PRTZ UND</v>
          </cell>
          <cell r="W2046" t="str">
            <v>Ajuste</v>
          </cell>
          <cell r="X2046">
            <v>26</v>
          </cell>
          <cell r="Y2046">
            <v>26</v>
          </cell>
        </row>
        <row r="2047">
          <cell r="U2047" t="str">
            <v>L104941</v>
          </cell>
          <cell r="V2047" t="str">
            <v>DIV PTD 2 kg</v>
          </cell>
          <cell r="W2047" t="str">
            <v>Ajuste</v>
          </cell>
          <cell r="X2047">
            <v>278</v>
          </cell>
          <cell r="Y2047">
            <v>556</v>
          </cell>
        </row>
        <row r="2048">
          <cell r="U2048" t="str">
            <v>L106008</v>
          </cell>
          <cell r="V2048" t="str">
            <v>DIV PTLJH T32</v>
          </cell>
          <cell r="W2048" t="str">
            <v>Ajuste</v>
          </cell>
          <cell r="X2048">
            <v>4</v>
          </cell>
          <cell r="Y2048">
            <v>3.2</v>
          </cell>
        </row>
        <row r="2049">
          <cell r="U2049" t="str">
            <v>L106006</v>
          </cell>
          <cell r="V2049" t="str">
            <v>DIV PTLJH T34</v>
          </cell>
          <cell r="W2049" t="str">
            <v>Ajuste</v>
          </cell>
          <cell r="X2049">
            <v>2</v>
          </cell>
          <cell r="Y2049">
            <v>1.6</v>
          </cell>
        </row>
        <row r="2050">
          <cell r="U2050" t="str">
            <v>L106007</v>
          </cell>
          <cell r="V2050" t="str">
            <v>DIV PTLJH T36</v>
          </cell>
          <cell r="W2050" t="str">
            <v>Ajuste</v>
          </cell>
          <cell r="X2050">
            <v>4</v>
          </cell>
          <cell r="Y2050">
            <v>3.2</v>
          </cell>
        </row>
        <row r="2051">
          <cell r="U2051" t="str">
            <v>L106009</v>
          </cell>
          <cell r="V2051" t="str">
            <v>DIV PTLJM T8</v>
          </cell>
          <cell r="W2051" t="str">
            <v>Ajuste</v>
          </cell>
          <cell r="X2051">
            <v>8</v>
          </cell>
          <cell r="Y2051">
            <v>8</v>
          </cell>
        </row>
        <row r="2052">
          <cell r="U2052" t="str">
            <v>L105509</v>
          </cell>
          <cell r="V2052" t="str">
            <v>DIV PTO 1kg</v>
          </cell>
          <cell r="W2052" t="str">
            <v>Ajuste</v>
          </cell>
          <cell r="X2052">
            <v>6</v>
          </cell>
          <cell r="Y2052">
            <v>6</v>
          </cell>
        </row>
        <row r="2053">
          <cell r="U2053" t="str">
            <v>L105236</v>
          </cell>
          <cell r="V2053" t="str">
            <v>DIV QSO 5kg</v>
          </cell>
          <cell r="W2053" t="str">
            <v>Ajuste</v>
          </cell>
          <cell r="X2053">
            <v>22</v>
          </cell>
          <cell r="Y2053">
            <v>110</v>
          </cell>
        </row>
        <row r="2054">
          <cell r="U2054" t="str">
            <v>L105490</v>
          </cell>
          <cell r="V2054" t="str">
            <v>DIV QSO 5kg</v>
          </cell>
          <cell r="W2054" t="str">
            <v>Ajuste</v>
          </cell>
          <cell r="X2054">
            <v>6</v>
          </cell>
          <cell r="Y2054">
            <v>30</v>
          </cell>
        </row>
        <row r="2055">
          <cell r="U2055" t="str">
            <v>L106002</v>
          </cell>
          <cell r="V2055" t="str">
            <v>DIV QSO 5kg</v>
          </cell>
          <cell r="W2055" t="str">
            <v>Ajuste</v>
          </cell>
          <cell r="X2055">
            <v>20</v>
          </cell>
          <cell r="Y2055">
            <v>100</v>
          </cell>
        </row>
        <row r="2056">
          <cell r="U2056" t="str">
            <v>L105240</v>
          </cell>
          <cell r="V2056" t="str">
            <v>DIV QSV 1kg</v>
          </cell>
          <cell r="W2056" t="str">
            <v>Ajuste</v>
          </cell>
          <cell r="X2056">
            <v>2</v>
          </cell>
          <cell r="Y2056">
            <v>2</v>
          </cell>
        </row>
        <row r="2057">
          <cell r="U2057" t="str">
            <v>L105327</v>
          </cell>
          <cell r="V2057" t="str">
            <v>DIV QSV 2kg</v>
          </cell>
          <cell r="W2057" t="str">
            <v>Ajuste</v>
          </cell>
          <cell r="X2057">
            <v>26</v>
          </cell>
          <cell r="Y2057">
            <v>52</v>
          </cell>
        </row>
        <row r="2058">
          <cell r="U2058" t="str">
            <v>L105995</v>
          </cell>
          <cell r="V2058" t="str">
            <v>DIV QSV 2kg</v>
          </cell>
          <cell r="W2058" t="str">
            <v>Ajuste</v>
          </cell>
          <cell r="X2058">
            <v>12</v>
          </cell>
          <cell r="Y2058">
            <v>24</v>
          </cell>
        </row>
        <row r="2059">
          <cell r="U2059" t="str">
            <v>L105491</v>
          </cell>
          <cell r="V2059" t="str">
            <v>DIV QSV 3kg</v>
          </cell>
          <cell r="W2059" t="str">
            <v>Ajuste</v>
          </cell>
          <cell r="X2059">
            <v>2</v>
          </cell>
          <cell r="Y2059">
            <v>6</v>
          </cell>
        </row>
        <row r="2060">
          <cell r="U2060" t="str">
            <v>L106005</v>
          </cell>
          <cell r="V2060" t="str">
            <v>DIV RIPM 1 - PAQUETE</v>
          </cell>
          <cell r="W2060" t="str">
            <v>Ajuste</v>
          </cell>
          <cell r="X2060">
            <v>24</v>
          </cell>
          <cell r="Y2060">
            <v>12</v>
          </cell>
        </row>
        <row r="2061">
          <cell r="U2061" t="str">
            <v>L106010</v>
          </cell>
          <cell r="V2061" t="str">
            <v>DIV RPBV - UNIDAD</v>
          </cell>
          <cell r="W2061" t="str">
            <v>Ajuste</v>
          </cell>
          <cell r="X2061">
            <v>2</v>
          </cell>
          <cell r="Y2061">
            <v>0.6</v>
          </cell>
        </row>
        <row r="2062">
          <cell r="U2062" t="str">
            <v>L105661</v>
          </cell>
          <cell r="V2062" t="str">
            <v>DIV RTZPCDO 5kg</v>
          </cell>
          <cell r="W2062" t="str">
            <v>Ajuste</v>
          </cell>
          <cell r="X2062">
            <v>102</v>
          </cell>
          <cell r="Y2062">
            <v>510</v>
          </cell>
        </row>
        <row r="2063">
          <cell r="U2063" t="str">
            <v>L106028</v>
          </cell>
          <cell r="V2063" t="str">
            <v>DIV SAING 2kg</v>
          </cell>
          <cell r="W2063" t="str">
            <v>Ajuste</v>
          </cell>
          <cell r="X2063">
            <v>6</v>
          </cell>
          <cell r="Y2063">
            <v>12</v>
          </cell>
        </row>
        <row r="2064">
          <cell r="U2064" t="str">
            <v>L105711</v>
          </cell>
          <cell r="V2064" t="str">
            <v>DIV SAL 3kg</v>
          </cell>
          <cell r="W2064" t="str">
            <v>Ajuste</v>
          </cell>
          <cell r="X2064">
            <v>30</v>
          </cell>
          <cell r="Y2064">
            <v>90</v>
          </cell>
        </row>
        <row r="2065">
          <cell r="U2065" t="str">
            <v>L105672</v>
          </cell>
          <cell r="V2065" t="str">
            <v>DIV Salsa de Tomate kg</v>
          </cell>
          <cell r="W2065" t="str">
            <v>Ajuste</v>
          </cell>
          <cell r="X2065">
            <v>26</v>
          </cell>
          <cell r="Y2065">
            <v>26</v>
          </cell>
        </row>
        <row r="2066">
          <cell r="U2066" t="str">
            <v>L105352</v>
          </cell>
          <cell r="V2066" t="str">
            <v>DIV SCD 4kg</v>
          </cell>
          <cell r="W2066" t="str">
            <v>Ajuste</v>
          </cell>
          <cell r="X2066">
            <v>2</v>
          </cell>
          <cell r="Y2066">
            <v>8</v>
          </cell>
        </row>
        <row r="2067">
          <cell r="U2067" t="str">
            <v>L105350</v>
          </cell>
          <cell r="V2067" t="str">
            <v>DIV SCN 2kg</v>
          </cell>
          <cell r="W2067" t="str">
            <v>Ajuste</v>
          </cell>
          <cell r="X2067">
            <v>4</v>
          </cell>
          <cell r="Y2067">
            <v>8</v>
          </cell>
        </row>
        <row r="2068">
          <cell r="U2068" t="str">
            <v>L106027</v>
          </cell>
          <cell r="V2068" t="str">
            <v>DIV SCN 2kg</v>
          </cell>
          <cell r="W2068" t="str">
            <v>Ajuste</v>
          </cell>
          <cell r="X2068">
            <v>6</v>
          </cell>
          <cell r="Y2068">
            <v>12</v>
          </cell>
        </row>
        <row r="2069">
          <cell r="U2069" t="str">
            <v>L105342</v>
          </cell>
          <cell r="V2069" t="str">
            <v>DIV SDO 2kg</v>
          </cell>
          <cell r="W2069" t="str">
            <v>Ajuste</v>
          </cell>
          <cell r="X2069">
            <v>8</v>
          </cell>
          <cell r="Y2069">
            <v>16</v>
          </cell>
        </row>
        <row r="2070">
          <cell r="U2070" t="str">
            <v>L105686</v>
          </cell>
          <cell r="V2070" t="str">
            <v>DIV SDO 2kg</v>
          </cell>
          <cell r="W2070" t="str">
            <v>Ajuste</v>
          </cell>
          <cell r="X2070">
            <v>25</v>
          </cell>
          <cell r="Y2070">
            <v>50</v>
          </cell>
        </row>
        <row r="2071">
          <cell r="U2071" t="str">
            <v>L104950</v>
          </cell>
          <cell r="V2071" t="str">
            <v>DIV SHMP 2kg</v>
          </cell>
          <cell r="W2071" t="str">
            <v>Ajuste</v>
          </cell>
          <cell r="X2071">
            <v>8</v>
          </cell>
          <cell r="Y2071">
            <v>16</v>
          </cell>
        </row>
        <row r="2072">
          <cell r="U2072" t="str">
            <v>L105527</v>
          </cell>
          <cell r="V2072" t="str">
            <v>DIV SNK 2kg</v>
          </cell>
          <cell r="W2072" t="str">
            <v>Ajuste</v>
          </cell>
          <cell r="X2072">
            <v>32</v>
          </cell>
          <cell r="Y2072">
            <v>64</v>
          </cell>
        </row>
        <row r="2073">
          <cell r="U2073" t="str">
            <v>L105487</v>
          </cell>
          <cell r="V2073" t="str">
            <v>DIV SNK 3kg</v>
          </cell>
          <cell r="W2073" t="str">
            <v>Ajuste</v>
          </cell>
          <cell r="X2073">
            <v>22</v>
          </cell>
          <cell r="Y2073">
            <v>66</v>
          </cell>
        </row>
        <row r="2074">
          <cell r="U2074" t="str">
            <v>L105488</v>
          </cell>
          <cell r="V2074" t="str">
            <v>DIV SNK 3kg</v>
          </cell>
          <cell r="W2074" t="str">
            <v>Ajuste</v>
          </cell>
          <cell r="X2074">
            <v>96</v>
          </cell>
          <cell r="Y2074">
            <v>288</v>
          </cell>
        </row>
        <row r="2075">
          <cell r="U2075" t="str">
            <v>L105528</v>
          </cell>
          <cell r="V2075" t="str">
            <v>DIV SNK 3kg</v>
          </cell>
          <cell r="W2075" t="str">
            <v>Ajuste</v>
          </cell>
          <cell r="X2075">
            <v>10</v>
          </cell>
          <cell r="Y2075">
            <v>30</v>
          </cell>
        </row>
        <row r="2076">
          <cell r="U2076" t="str">
            <v>L105533</v>
          </cell>
          <cell r="V2076" t="str">
            <v>DIV SNK 3kg</v>
          </cell>
          <cell r="W2076" t="str">
            <v>Ajuste</v>
          </cell>
          <cell r="X2076">
            <v>165</v>
          </cell>
          <cell r="Y2076">
            <v>495</v>
          </cell>
        </row>
        <row r="2077">
          <cell r="U2077" t="str">
            <v>L105538</v>
          </cell>
          <cell r="V2077" t="str">
            <v>DIV SNK 3kg</v>
          </cell>
          <cell r="W2077" t="str">
            <v>Ajuste</v>
          </cell>
          <cell r="X2077">
            <v>171</v>
          </cell>
          <cell r="Y2077">
            <v>513</v>
          </cell>
        </row>
        <row r="2078">
          <cell r="U2078" t="str">
            <v>L105489</v>
          </cell>
          <cell r="V2078" t="str">
            <v>DIV SNK 6kg</v>
          </cell>
          <cell r="W2078" t="str">
            <v>Ajuste</v>
          </cell>
          <cell r="X2078">
            <v>32</v>
          </cell>
          <cell r="Y2078">
            <v>192</v>
          </cell>
        </row>
        <row r="2079">
          <cell r="U2079" t="str">
            <v>L105536</v>
          </cell>
          <cell r="V2079" t="str">
            <v>DIV SNK 6kg</v>
          </cell>
          <cell r="W2079" t="str">
            <v>Ajuste</v>
          </cell>
          <cell r="X2079">
            <v>32</v>
          </cell>
          <cell r="Y2079">
            <v>192</v>
          </cell>
        </row>
        <row r="2080">
          <cell r="U2080" t="str">
            <v>L105703</v>
          </cell>
          <cell r="V2080" t="str">
            <v>DIV SPAV 1kg</v>
          </cell>
          <cell r="W2080" t="str">
            <v>Ajuste</v>
          </cell>
          <cell r="X2080">
            <v>10</v>
          </cell>
          <cell r="Y2080">
            <v>10</v>
          </cell>
        </row>
        <row r="2081">
          <cell r="U2081" t="str">
            <v>L105082</v>
          </cell>
          <cell r="V2081" t="str">
            <v>DIV SRD 2kg</v>
          </cell>
          <cell r="W2081" t="str">
            <v>Ajuste</v>
          </cell>
          <cell r="X2081">
            <v>8</v>
          </cell>
          <cell r="Y2081">
            <v>16</v>
          </cell>
        </row>
        <row r="2082">
          <cell r="U2082" t="str">
            <v>L106020</v>
          </cell>
          <cell r="V2082" t="str">
            <v>DIV SRD 2kg</v>
          </cell>
          <cell r="W2082" t="str">
            <v>Ajuste</v>
          </cell>
          <cell r="X2082">
            <v>32</v>
          </cell>
          <cell r="Y2082">
            <v>64</v>
          </cell>
        </row>
        <row r="2083">
          <cell r="U2083" t="str">
            <v>L105704</v>
          </cell>
          <cell r="V2083" t="str">
            <v>DIV SRP 2kg</v>
          </cell>
          <cell r="W2083" t="str">
            <v>Ajuste</v>
          </cell>
          <cell r="X2083">
            <v>7</v>
          </cell>
          <cell r="Y2083">
            <v>14</v>
          </cell>
        </row>
        <row r="2084">
          <cell r="U2084" t="str">
            <v>L105511</v>
          </cell>
          <cell r="V2084" t="str">
            <v>DIV SRT 2kg-CAJA</v>
          </cell>
          <cell r="W2084" t="str">
            <v>Ajuste</v>
          </cell>
          <cell r="X2084">
            <v>2</v>
          </cell>
          <cell r="Y2084">
            <v>4</v>
          </cell>
        </row>
        <row r="2085">
          <cell r="U2085" t="str">
            <v>L105078</v>
          </cell>
          <cell r="V2085" t="str">
            <v>DIV STM 2kg</v>
          </cell>
          <cell r="W2085" t="str">
            <v>Ajuste</v>
          </cell>
          <cell r="X2085">
            <v>4</v>
          </cell>
          <cell r="Y2085">
            <v>8</v>
          </cell>
        </row>
        <row r="2086">
          <cell r="U2086" t="str">
            <v>L105341</v>
          </cell>
          <cell r="V2086" t="str">
            <v>DIV STM 2kg</v>
          </cell>
          <cell r="W2086" t="str">
            <v>Ajuste</v>
          </cell>
          <cell r="X2086">
            <v>6</v>
          </cell>
          <cell r="Y2086">
            <v>12</v>
          </cell>
        </row>
        <row r="2087">
          <cell r="U2087" t="str">
            <v>L105505</v>
          </cell>
          <cell r="V2087" t="str">
            <v>DIV STM 2kg</v>
          </cell>
          <cell r="W2087" t="str">
            <v>Ajuste</v>
          </cell>
          <cell r="X2087">
            <v>10</v>
          </cell>
          <cell r="Y2087">
            <v>20</v>
          </cell>
        </row>
        <row r="2088">
          <cell r="U2088" t="str">
            <v>L105430</v>
          </cell>
          <cell r="V2088" t="str">
            <v>STM 5kg-CAJA</v>
          </cell>
          <cell r="W2088" t="str">
            <v>Ajuste</v>
          </cell>
          <cell r="X2088">
            <v>455</v>
          </cell>
          <cell r="Y2088">
            <v>2275</v>
          </cell>
        </row>
        <row r="2089">
          <cell r="U2089" t="str">
            <v>L105430</v>
          </cell>
          <cell r="V2089" t="str">
            <v>DIV STM 5kg</v>
          </cell>
          <cell r="W2089" t="str">
            <v>Ajuste</v>
          </cell>
          <cell r="X2089">
            <v>169</v>
          </cell>
          <cell r="Y2089">
            <v>845</v>
          </cell>
        </row>
        <row r="2090">
          <cell r="U2090" t="str">
            <v>L105332</v>
          </cell>
          <cell r="V2090" t="str">
            <v>DIV SZD 2.5kg</v>
          </cell>
          <cell r="W2090" t="str">
            <v>Ajuste</v>
          </cell>
          <cell r="X2090">
            <v>2</v>
          </cell>
          <cell r="Y2090">
            <v>5</v>
          </cell>
        </row>
        <row r="2091">
          <cell r="U2091" t="str">
            <v>L105460</v>
          </cell>
          <cell r="V2091" t="str">
            <v>SZD 3kg-Caja</v>
          </cell>
          <cell r="W2091" t="str">
            <v>Ajuste</v>
          </cell>
          <cell r="X2091">
            <v>1331</v>
          </cell>
          <cell r="Y2091">
            <v>3993</v>
          </cell>
        </row>
        <row r="2092">
          <cell r="U2092" t="str">
            <v>L105460</v>
          </cell>
          <cell r="V2092" t="str">
            <v>DIV SZD 3kg</v>
          </cell>
          <cell r="W2092" t="str">
            <v>Ajuste</v>
          </cell>
          <cell r="X2092">
            <v>818</v>
          </cell>
          <cell r="Y2092">
            <v>2454</v>
          </cell>
        </row>
        <row r="2093">
          <cell r="U2093" t="str">
            <v>L104936</v>
          </cell>
          <cell r="V2093" t="str">
            <v>DIV SZD 4kg</v>
          </cell>
          <cell r="W2093" t="str">
            <v>Ajuste</v>
          </cell>
          <cell r="X2093">
            <v>113</v>
          </cell>
          <cell r="Y2093">
            <v>452</v>
          </cell>
        </row>
        <row r="2094">
          <cell r="U2094" t="str">
            <v>L105465</v>
          </cell>
          <cell r="V2094" t="str">
            <v>SZD 6kg-Caja</v>
          </cell>
          <cell r="W2094" t="str">
            <v>Ajuste</v>
          </cell>
          <cell r="X2094">
            <v>298</v>
          </cell>
          <cell r="Y2094">
            <v>1788</v>
          </cell>
        </row>
        <row r="2095">
          <cell r="U2095" t="str">
            <v>L105465</v>
          </cell>
          <cell r="V2095" t="str">
            <v>DIV SZD 6kg</v>
          </cell>
          <cell r="W2095" t="str">
            <v>Ajuste</v>
          </cell>
          <cell r="X2095">
            <v>134</v>
          </cell>
          <cell r="Y2095">
            <v>804</v>
          </cell>
        </row>
        <row r="2096">
          <cell r="U2096" t="str">
            <v>L105261</v>
          </cell>
          <cell r="V2096" t="str">
            <v>DIV TRZPCDP 5kg</v>
          </cell>
          <cell r="W2096" t="str">
            <v>Ajuste</v>
          </cell>
          <cell r="X2096">
            <v>8</v>
          </cell>
          <cell r="Y2096">
            <v>40</v>
          </cell>
        </row>
        <row r="2097">
          <cell r="U2097" t="str">
            <v>L106012</v>
          </cell>
          <cell r="V2097" t="str">
            <v>DIV TSHRT TM</v>
          </cell>
          <cell r="W2097" t="str">
            <v>Ajuste</v>
          </cell>
          <cell r="X2097">
            <v>4</v>
          </cell>
          <cell r="Y2097">
            <v>4</v>
          </cell>
        </row>
        <row r="2098">
          <cell r="U2098" t="str">
            <v>L106011</v>
          </cell>
          <cell r="V2098" t="str">
            <v>DIV TSHRTH TV</v>
          </cell>
          <cell r="W2098" t="str">
            <v>Ajuste</v>
          </cell>
          <cell r="X2098">
            <v>6</v>
          </cell>
          <cell r="Y2098">
            <v>3</v>
          </cell>
        </row>
        <row r="2099">
          <cell r="U2099" t="str">
            <v>L105635</v>
          </cell>
          <cell r="V2099" t="str">
            <v>DIV TSHRTH TV</v>
          </cell>
          <cell r="W2099" t="str">
            <v>Ajuste</v>
          </cell>
          <cell r="X2099">
            <v>1</v>
          </cell>
          <cell r="Y2099">
            <v>0.5</v>
          </cell>
        </row>
        <row r="2100">
          <cell r="U2100" t="str">
            <v>L105997</v>
          </cell>
          <cell r="V2100" t="str">
            <v>DIV YGT 1kg</v>
          </cell>
          <cell r="W2100" t="str">
            <v>Ajuste</v>
          </cell>
          <cell r="X2100">
            <v>24</v>
          </cell>
          <cell r="Y2100">
            <v>24</v>
          </cell>
        </row>
        <row r="2101">
          <cell r="U2101" t="str">
            <v>L105659</v>
          </cell>
          <cell r="V2101" t="str">
            <v>DLQ 3kg</v>
          </cell>
          <cell r="W2101" t="str">
            <v>Ajuste</v>
          </cell>
          <cell r="X2101">
            <v>2</v>
          </cell>
          <cell r="Y2101">
            <v>6</v>
          </cell>
        </row>
        <row r="2102">
          <cell r="U2102" t="str">
            <v>l105320</v>
          </cell>
          <cell r="V2102" t="str">
            <v>DTG Vr2kg-CAJA</v>
          </cell>
          <cell r="W2102" t="str">
            <v>Ajuste</v>
          </cell>
          <cell r="X2102">
            <v>72</v>
          </cell>
          <cell r="Y2102">
            <v>144</v>
          </cell>
        </row>
        <row r="2103">
          <cell r="U2103" t="str">
            <v>l105320</v>
          </cell>
          <cell r="V2103" t="str">
            <v>DTGAY Vr2kg-CAJA</v>
          </cell>
          <cell r="W2103" t="str">
            <v>Ajuste</v>
          </cell>
          <cell r="X2103">
            <v>60</v>
          </cell>
          <cell r="Y2103">
            <v>120</v>
          </cell>
        </row>
        <row r="2104">
          <cell r="U2104" t="str">
            <v>L105399</v>
          </cell>
          <cell r="V2104" t="str">
            <v>DTG Vr3kg-CAJA</v>
          </cell>
          <cell r="W2104" t="str">
            <v>Ajuste</v>
          </cell>
          <cell r="X2104">
            <v>353</v>
          </cell>
          <cell r="Y2104">
            <v>1059</v>
          </cell>
        </row>
        <row r="2105">
          <cell r="U2105" t="str">
            <v>L105058</v>
          </cell>
          <cell r="V2105" t="str">
            <v>DTG Vr3kg-CAJA</v>
          </cell>
          <cell r="W2105" t="str">
            <v>Ajuste</v>
          </cell>
          <cell r="X2105">
            <v>262</v>
          </cell>
          <cell r="Y2105">
            <v>786</v>
          </cell>
        </row>
        <row r="2106">
          <cell r="U2106" t="str">
            <v>L105629</v>
          </cell>
          <cell r="V2106" t="str">
            <v>DTG Vr3kg-CAJA</v>
          </cell>
          <cell r="W2106" t="str">
            <v>Ajuste</v>
          </cell>
          <cell r="X2106">
            <v>124</v>
          </cell>
          <cell r="Y2106">
            <v>372</v>
          </cell>
        </row>
        <row r="2107">
          <cell r="U2107" t="str">
            <v>L105628</v>
          </cell>
          <cell r="V2107" t="str">
            <v>DTGAY Vr2kg-CAJA</v>
          </cell>
          <cell r="W2107" t="str">
            <v>Ajuste</v>
          </cell>
          <cell r="X2107">
            <v>150</v>
          </cell>
          <cell r="Y2107">
            <v>300</v>
          </cell>
        </row>
        <row r="2108">
          <cell r="U2108" t="str">
            <v>L105246</v>
          </cell>
          <cell r="V2108" t="str">
            <v>EGI</v>
          </cell>
          <cell r="W2108" t="str">
            <v>Ajuste</v>
          </cell>
          <cell r="X2108">
            <v>1</v>
          </cell>
          <cell r="Y2108">
            <v>70</v>
          </cell>
        </row>
        <row r="2109">
          <cell r="U2109" t="str">
            <v>L105451</v>
          </cell>
          <cell r="V2109" t="str">
            <v>EMBV 2kg-CAJA</v>
          </cell>
          <cell r="W2109" t="str">
            <v>Ajuste</v>
          </cell>
          <cell r="X2109">
            <v>155</v>
          </cell>
          <cell r="Y2109">
            <v>310</v>
          </cell>
        </row>
        <row r="2110">
          <cell r="U2110" t="str">
            <v>L105339</v>
          </cell>
          <cell r="V2110" t="str">
            <v>EMBV 2kg-CAJA</v>
          </cell>
          <cell r="W2110" t="str">
            <v>Ajuste</v>
          </cell>
          <cell r="X2110">
            <v>144</v>
          </cell>
          <cell r="Y2110">
            <v>288</v>
          </cell>
        </row>
        <row r="2111">
          <cell r="U2111" t="str">
            <v>L105339</v>
          </cell>
          <cell r="V2111" t="str">
            <v>PV EMBV 2kg</v>
          </cell>
          <cell r="W2111" t="str">
            <v>Ajuste</v>
          </cell>
          <cell r="X2111">
            <v>30</v>
          </cell>
          <cell r="Y2111">
            <v>60</v>
          </cell>
        </row>
        <row r="2112">
          <cell r="U2112" t="str">
            <v>L105901</v>
          </cell>
          <cell r="V2112" t="str">
            <v>EMBV 2kg-CAJA</v>
          </cell>
          <cell r="W2112" t="str">
            <v>Ajuste</v>
          </cell>
          <cell r="X2112">
            <v>234</v>
          </cell>
          <cell r="Y2112">
            <v>468</v>
          </cell>
        </row>
        <row r="2113">
          <cell r="U2113" t="str">
            <v>L105071</v>
          </cell>
          <cell r="V2113" t="str">
            <v>EMBV 2kg-CAJA</v>
          </cell>
          <cell r="W2113" t="str">
            <v>Ajuste</v>
          </cell>
          <cell r="X2113">
            <v>66</v>
          </cell>
          <cell r="Y2113">
            <v>132</v>
          </cell>
        </row>
        <row r="2114">
          <cell r="U2114" t="str">
            <v>L105185</v>
          </cell>
          <cell r="V2114" t="str">
            <v>EMBV 2kg-CAJA</v>
          </cell>
          <cell r="W2114" t="str">
            <v>Ajuste</v>
          </cell>
          <cell r="X2114">
            <v>8</v>
          </cell>
          <cell r="Y2114">
            <v>16</v>
          </cell>
        </row>
        <row r="2115">
          <cell r="U2115" t="str">
            <v>L105186</v>
          </cell>
          <cell r="V2115" t="str">
            <v>EMBV 2kg-CAJA</v>
          </cell>
          <cell r="W2115" t="str">
            <v>Ajuste</v>
          </cell>
          <cell r="X2115">
            <v>6</v>
          </cell>
          <cell r="Y2115">
            <v>12</v>
          </cell>
        </row>
        <row r="2116">
          <cell r="U2116" t="str">
            <v>L105187</v>
          </cell>
          <cell r="V2116" t="str">
            <v>EMBV 2kg-CAJA</v>
          </cell>
          <cell r="W2116" t="str">
            <v>Ajuste</v>
          </cell>
          <cell r="X2116">
            <v>4</v>
          </cell>
          <cell r="Y2116">
            <v>8</v>
          </cell>
        </row>
        <row r="2117">
          <cell r="U2117" t="str">
            <v>L105188</v>
          </cell>
          <cell r="V2117" t="str">
            <v>EMBV 2kg-CAJA</v>
          </cell>
          <cell r="W2117" t="str">
            <v>Ajuste</v>
          </cell>
          <cell r="X2117">
            <v>30</v>
          </cell>
          <cell r="Y2117">
            <v>60</v>
          </cell>
        </row>
        <row r="2118">
          <cell r="U2118" t="str">
            <v>L105189</v>
          </cell>
          <cell r="V2118" t="str">
            <v>EMBV 2kg-CAJA</v>
          </cell>
          <cell r="W2118" t="str">
            <v>Ajuste</v>
          </cell>
          <cell r="X2118">
            <v>20</v>
          </cell>
          <cell r="Y2118">
            <v>40</v>
          </cell>
        </row>
        <row r="2119">
          <cell r="U2119" t="str">
            <v>L105190</v>
          </cell>
          <cell r="V2119" t="str">
            <v>EMBV 2kg-CAJA</v>
          </cell>
          <cell r="W2119" t="str">
            <v>Ajuste</v>
          </cell>
          <cell r="X2119">
            <v>8</v>
          </cell>
          <cell r="Y2119">
            <v>16</v>
          </cell>
        </row>
        <row r="2120">
          <cell r="U2120" t="str">
            <v>L105191</v>
          </cell>
          <cell r="V2120" t="str">
            <v>EMBV 2kg-CAJA</v>
          </cell>
          <cell r="W2120" t="str">
            <v>Ajuste</v>
          </cell>
          <cell r="X2120">
            <v>6</v>
          </cell>
          <cell r="Y2120">
            <v>12</v>
          </cell>
        </row>
        <row r="2121">
          <cell r="U2121" t="str">
            <v>L105072</v>
          </cell>
          <cell r="V2121" t="str">
            <v>EMBV 3kg</v>
          </cell>
          <cell r="W2121" t="str">
            <v>Ajuste</v>
          </cell>
          <cell r="X2121">
            <v>12</v>
          </cell>
          <cell r="Y2121">
            <v>36</v>
          </cell>
        </row>
        <row r="2122">
          <cell r="U2122" t="str">
            <v>L105437</v>
          </cell>
          <cell r="V2122" t="str">
            <v>EMBV 3kg</v>
          </cell>
          <cell r="W2122" t="str">
            <v>Ajuste</v>
          </cell>
          <cell r="X2122">
            <v>22</v>
          </cell>
          <cell r="Y2122">
            <v>66</v>
          </cell>
        </row>
        <row r="2123">
          <cell r="U2123" t="str">
            <v>L105438</v>
          </cell>
          <cell r="V2123" t="str">
            <v>EMBV 3kg</v>
          </cell>
          <cell r="W2123" t="str">
            <v>Ajuste</v>
          </cell>
          <cell r="X2123">
            <v>4</v>
          </cell>
          <cell r="Y2123">
            <v>12</v>
          </cell>
        </row>
        <row r="2124">
          <cell r="U2124" t="str">
            <v>L105691</v>
          </cell>
          <cell r="V2124" t="str">
            <v>EMP 2kg</v>
          </cell>
          <cell r="W2124" t="str">
            <v>Ajuste</v>
          </cell>
          <cell r="X2124">
            <v>2</v>
          </cell>
          <cell r="Y2124">
            <v>4</v>
          </cell>
        </row>
        <row r="2125">
          <cell r="U2125" t="str">
            <v>L105736</v>
          </cell>
          <cell r="V2125" t="str">
            <v>ESAV 2kg</v>
          </cell>
          <cell r="W2125" t="str">
            <v>Ajuste</v>
          </cell>
          <cell r="X2125">
            <v>2</v>
          </cell>
          <cell r="Y2125">
            <v>4</v>
          </cell>
        </row>
        <row r="2126">
          <cell r="U2126" t="str">
            <v>L105853</v>
          </cell>
          <cell r="V2126" t="str">
            <v>FRJ 3kg-CAJA</v>
          </cell>
          <cell r="W2126" t="str">
            <v>Ajuste</v>
          </cell>
          <cell r="X2126">
            <v>6</v>
          </cell>
          <cell r="Y2126">
            <v>18</v>
          </cell>
        </row>
        <row r="2127">
          <cell r="U2127" t="str">
            <v>L105300</v>
          </cell>
          <cell r="V2127" t="str">
            <v>FRUROB kg</v>
          </cell>
          <cell r="W2127" t="str">
            <v>Ajuste</v>
          </cell>
          <cell r="X2127">
            <v>1396</v>
          </cell>
          <cell r="Y2127">
            <v>1396</v>
          </cell>
        </row>
        <row r="2128">
          <cell r="U2128" t="str">
            <v>L105301</v>
          </cell>
          <cell r="V2128" t="str">
            <v>FRUROB kg</v>
          </cell>
          <cell r="W2128" t="str">
            <v>Ajuste</v>
          </cell>
          <cell r="X2128">
            <v>1540</v>
          </cell>
          <cell r="Y2128">
            <v>1540</v>
          </cell>
        </row>
        <row r="2129">
          <cell r="U2129" t="str">
            <v>,,,,,</v>
          </cell>
          <cell r="V2129" t="str">
            <v>FRUVER 10kg</v>
          </cell>
          <cell r="W2129" t="str">
            <v>Ajuste</v>
          </cell>
          <cell r="X2129">
            <v>4</v>
          </cell>
          <cell r="Y2129">
            <v>40</v>
          </cell>
        </row>
        <row r="2130">
          <cell r="U2130" t="str">
            <v>L104973</v>
          </cell>
          <cell r="V2130" t="str">
            <v>FRUVER 10kg</v>
          </cell>
          <cell r="W2130" t="str">
            <v>Ajuste</v>
          </cell>
          <cell r="X2130">
            <v>112</v>
          </cell>
          <cell r="Y2130">
            <v>1120</v>
          </cell>
        </row>
        <row r="2131">
          <cell r="U2131" t="str">
            <v>L105021</v>
          </cell>
          <cell r="V2131" t="str">
            <v>FRUVER 10kg</v>
          </cell>
          <cell r="W2131" t="str">
            <v>Ajuste</v>
          </cell>
          <cell r="X2131">
            <v>86</v>
          </cell>
          <cell r="Y2131">
            <v>860</v>
          </cell>
        </row>
        <row r="2132">
          <cell r="U2132" t="str">
            <v>L105021</v>
          </cell>
          <cell r="V2132" t="str">
            <v>PV FRUVER 10kg</v>
          </cell>
          <cell r="W2132" t="str">
            <v>Ajuste</v>
          </cell>
          <cell r="X2132">
            <v>72</v>
          </cell>
          <cell r="Y2132">
            <v>720</v>
          </cell>
        </row>
        <row r="2133">
          <cell r="U2133" t="str">
            <v>105122</v>
          </cell>
          <cell r="V2133" t="str">
            <v>FRUVER 5kg</v>
          </cell>
          <cell r="W2133" t="str">
            <v>Ajuste</v>
          </cell>
          <cell r="X2133">
            <v>8</v>
          </cell>
          <cell r="Y2133">
            <v>40</v>
          </cell>
        </row>
        <row r="2134">
          <cell r="U2134" t="str">
            <v>L105023</v>
          </cell>
          <cell r="V2134" t="str">
            <v>FRUVER 5kg</v>
          </cell>
          <cell r="W2134" t="str">
            <v>Ajuste</v>
          </cell>
          <cell r="X2134">
            <v>34</v>
          </cell>
          <cell r="Y2134">
            <v>170</v>
          </cell>
        </row>
        <row r="2135">
          <cell r="U2135" t="str">
            <v>L105023</v>
          </cell>
          <cell r="V2135" t="str">
            <v>PV FRVDVG 5kg</v>
          </cell>
          <cell r="W2135" t="str">
            <v>Ajuste</v>
          </cell>
          <cell r="X2135">
            <v>24</v>
          </cell>
          <cell r="Y2135">
            <v>120</v>
          </cell>
        </row>
        <row r="2136">
          <cell r="U2136" t="str">
            <v>L105225</v>
          </cell>
          <cell r="V2136" t="str">
            <v>FRUVER 5kg</v>
          </cell>
          <cell r="W2136" t="str">
            <v>Ajuste</v>
          </cell>
          <cell r="X2136">
            <v>28</v>
          </cell>
          <cell r="Y2136">
            <v>140</v>
          </cell>
        </row>
        <row r="2137">
          <cell r="U2137" t="str">
            <v>L105361</v>
          </cell>
          <cell r="V2137" t="str">
            <v>FRUVER 5kg</v>
          </cell>
          <cell r="W2137" t="str">
            <v>Ajuste</v>
          </cell>
          <cell r="X2137">
            <v>96</v>
          </cell>
          <cell r="Y2137">
            <v>480</v>
          </cell>
        </row>
        <row r="2138">
          <cell r="U2138" t="str">
            <v>L105372</v>
          </cell>
          <cell r="V2138" t="str">
            <v>FRUVER 5kg</v>
          </cell>
          <cell r="W2138" t="str">
            <v>Ajuste</v>
          </cell>
          <cell r="X2138">
            <v>2</v>
          </cell>
          <cell r="Y2138">
            <v>10</v>
          </cell>
        </row>
        <row r="2139">
          <cell r="U2139" t="str">
            <v>L105485</v>
          </cell>
          <cell r="V2139" t="str">
            <v>FRUVER 5kg</v>
          </cell>
          <cell r="W2139" t="str">
            <v>Ajuste</v>
          </cell>
          <cell r="X2139">
            <v>10</v>
          </cell>
          <cell r="Y2139">
            <v>50</v>
          </cell>
        </row>
        <row r="2140">
          <cell r="U2140" t="str">
            <v>L105121</v>
          </cell>
          <cell r="V2140" t="str">
            <v>FRUVER 8kg</v>
          </cell>
          <cell r="W2140" t="str">
            <v>Ajuste</v>
          </cell>
          <cell r="X2140">
            <v>42</v>
          </cell>
          <cell r="Y2140">
            <v>336</v>
          </cell>
        </row>
        <row r="2141">
          <cell r="U2141" t="str">
            <v>L104962</v>
          </cell>
          <cell r="V2141" t="str">
            <v>FRVDVG 5kg</v>
          </cell>
          <cell r="W2141" t="str">
            <v>Ajuste</v>
          </cell>
          <cell r="X2141">
            <v>2</v>
          </cell>
          <cell r="Y2141">
            <v>10</v>
          </cell>
        </row>
        <row r="2142">
          <cell r="U2142" t="str">
            <v>L105018</v>
          </cell>
          <cell r="V2142" t="str">
            <v>FRVDVG 5kg</v>
          </cell>
          <cell r="W2142" t="str">
            <v>Ajuste</v>
          </cell>
          <cell r="X2142">
            <v>2</v>
          </cell>
          <cell r="Y2142">
            <v>10</v>
          </cell>
        </row>
        <row r="2143">
          <cell r="U2143" t="str">
            <v>L104954</v>
          </cell>
          <cell r="V2143" t="str">
            <v>FRVDVG 8kg</v>
          </cell>
          <cell r="W2143" t="str">
            <v>Ajuste</v>
          </cell>
          <cell r="X2143">
            <v>30</v>
          </cell>
          <cell r="Y2143">
            <v>240</v>
          </cell>
        </row>
        <row r="2144">
          <cell r="U2144" t="str">
            <v>L104954</v>
          </cell>
          <cell r="V2144" t="str">
            <v>PV FRVDVG 8kg</v>
          </cell>
          <cell r="W2144" t="str">
            <v>Ajuste</v>
          </cell>
          <cell r="X2144">
            <v>20</v>
          </cell>
          <cell r="Y2144">
            <v>160</v>
          </cell>
        </row>
        <row r="2145">
          <cell r="U2145" t="str">
            <v>L104961</v>
          </cell>
          <cell r="V2145" t="str">
            <v>FRVDVG 8kg</v>
          </cell>
          <cell r="W2145" t="str">
            <v>Ajuste</v>
          </cell>
          <cell r="X2145">
            <v>10</v>
          </cell>
          <cell r="Y2145">
            <v>80</v>
          </cell>
        </row>
        <row r="2146">
          <cell r="U2146" t="str">
            <v>L105007</v>
          </cell>
          <cell r="V2146" t="str">
            <v>FRVDVG 8kg</v>
          </cell>
          <cell r="W2146" t="str">
            <v>Ajuste</v>
          </cell>
          <cell r="X2146">
            <v>10</v>
          </cell>
          <cell r="Y2146">
            <v>80</v>
          </cell>
        </row>
        <row r="2147">
          <cell r="U2147" t="str">
            <v>L105015</v>
          </cell>
          <cell r="V2147" t="str">
            <v>FRVDVG 8kg</v>
          </cell>
          <cell r="W2147" t="str">
            <v>Ajuste</v>
          </cell>
          <cell r="X2147">
            <v>66</v>
          </cell>
          <cell r="Y2147">
            <v>528</v>
          </cell>
        </row>
        <row r="2148">
          <cell r="U2148" t="str">
            <v>L105015</v>
          </cell>
          <cell r="V2148" t="str">
            <v>PV FRVDVG 8kg</v>
          </cell>
          <cell r="W2148" t="str">
            <v>Ajuste</v>
          </cell>
          <cell r="X2148">
            <v>40</v>
          </cell>
          <cell r="Y2148">
            <v>320</v>
          </cell>
        </row>
        <row r="2149">
          <cell r="U2149" t="str">
            <v>L105017</v>
          </cell>
          <cell r="V2149" t="str">
            <v>FRVDVG 8kg</v>
          </cell>
          <cell r="W2149" t="str">
            <v>Ajuste</v>
          </cell>
          <cell r="X2149">
            <v>38</v>
          </cell>
          <cell r="Y2149">
            <v>304</v>
          </cell>
        </row>
        <row r="2150">
          <cell r="U2150" t="str">
            <v>L105962</v>
          </cell>
          <cell r="V2150" t="str">
            <v>GERB 2Kg</v>
          </cell>
          <cell r="W2150" t="str">
            <v>Ajuste</v>
          </cell>
          <cell r="X2150">
            <v>32</v>
          </cell>
          <cell r="Y2150">
            <v>64</v>
          </cell>
        </row>
        <row r="2151">
          <cell r="U2151" t="str">
            <v>L105963</v>
          </cell>
          <cell r="V2151" t="str">
            <v>GERB 2Kg</v>
          </cell>
          <cell r="W2151" t="str">
            <v>Ajuste</v>
          </cell>
          <cell r="X2151">
            <v>26</v>
          </cell>
          <cell r="Y2151">
            <v>52</v>
          </cell>
        </row>
        <row r="2152">
          <cell r="U2152" t="str">
            <v>L105964</v>
          </cell>
          <cell r="V2152" t="str">
            <v>GERB 3Kg</v>
          </cell>
          <cell r="W2152" t="str">
            <v>Ajuste</v>
          </cell>
          <cell r="X2152">
            <v>2</v>
          </cell>
          <cell r="Y2152">
            <v>6</v>
          </cell>
        </row>
        <row r="2153">
          <cell r="U2153" t="str">
            <v>L105717</v>
          </cell>
          <cell r="V2153" t="str">
            <v>GLDJ 1kg</v>
          </cell>
          <cell r="W2153" t="str">
            <v>Ajuste</v>
          </cell>
          <cell r="X2153">
            <v>10</v>
          </cell>
          <cell r="Y2153">
            <v>10</v>
          </cell>
        </row>
        <row r="2154">
          <cell r="U2154" t="str">
            <v>L105718</v>
          </cell>
          <cell r="V2154" t="str">
            <v>GLDJ 1kg</v>
          </cell>
          <cell r="W2154" t="str">
            <v>Ajuste</v>
          </cell>
          <cell r="X2154">
            <v>5</v>
          </cell>
          <cell r="Y2154">
            <v>5</v>
          </cell>
        </row>
        <row r="2155">
          <cell r="U2155" t="str">
            <v>L105719</v>
          </cell>
          <cell r="V2155" t="str">
            <v>GLDJ 1kg</v>
          </cell>
          <cell r="W2155" t="str">
            <v>Ajuste</v>
          </cell>
          <cell r="X2155">
            <v>8</v>
          </cell>
          <cell r="Y2155">
            <v>8</v>
          </cell>
        </row>
        <row r="2156">
          <cell r="U2156" t="str">
            <v>L105720</v>
          </cell>
          <cell r="V2156" t="str">
            <v>GLDJ 1kg</v>
          </cell>
          <cell r="W2156" t="str">
            <v>Ajuste</v>
          </cell>
          <cell r="X2156">
            <v>51</v>
          </cell>
          <cell r="Y2156">
            <v>51</v>
          </cell>
        </row>
        <row r="2157">
          <cell r="U2157" t="str">
            <v>L105721</v>
          </cell>
          <cell r="V2157" t="str">
            <v>GLDJ 1kg</v>
          </cell>
          <cell r="W2157" t="str">
            <v>Ajuste</v>
          </cell>
          <cell r="X2157">
            <v>71</v>
          </cell>
          <cell r="Y2157">
            <v>71</v>
          </cell>
        </row>
        <row r="2158">
          <cell r="U2158" t="str">
            <v>L105722</v>
          </cell>
          <cell r="V2158" t="str">
            <v>GLDJ 1kg</v>
          </cell>
          <cell r="W2158" t="str">
            <v>Ajuste</v>
          </cell>
          <cell r="X2158">
            <v>52</v>
          </cell>
          <cell r="Y2158">
            <v>52</v>
          </cell>
        </row>
        <row r="2159">
          <cell r="U2159" t="str">
            <v>L105535</v>
          </cell>
          <cell r="V2159" t="str">
            <v>GLDJ 3Kg Caja</v>
          </cell>
          <cell r="W2159" t="str">
            <v>Ajuste</v>
          </cell>
          <cell r="X2159">
            <v>5</v>
          </cell>
          <cell r="Y2159">
            <v>15</v>
          </cell>
        </row>
        <row r="2160">
          <cell r="U2160" t="str">
            <v>L105537</v>
          </cell>
          <cell r="V2160" t="str">
            <v>GLDJ 3Kg Caja</v>
          </cell>
          <cell r="W2160" t="str">
            <v>Ajuste</v>
          </cell>
          <cell r="X2160">
            <v>4</v>
          </cell>
          <cell r="Y2160">
            <v>12</v>
          </cell>
        </row>
        <row r="2161">
          <cell r="U2161" t="str">
            <v>L105885</v>
          </cell>
          <cell r="V2161" t="str">
            <v>GLT 2kg</v>
          </cell>
          <cell r="W2161" t="str">
            <v>Ajuste</v>
          </cell>
          <cell r="X2161">
            <v>4</v>
          </cell>
          <cell r="Y2161">
            <v>8</v>
          </cell>
        </row>
        <row r="2162">
          <cell r="U2162" t="str">
            <v>L105151</v>
          </cell>
          <cell r="V2162" t="str">
            <v>GLV 1kg</v>
          </cell>
          <cell r="W2162" t="str">
            <v>Ajuste</v>
          </cell>
          <cell r="X2162">
            <v>4</v>
          </cell>
          <cell r="Y2162">
            <v>4</v>
          </cell>
        </row>
        <row r="2163">
          <cell r="U2163" t="str">
            <v>L105514</v>
          </cell>
          <cell r="V2163" t="str">
            <v>GLV 2kg</v>
          </cell>
          <cell r="W2163" t="str">
            <v>Ajuste</v>
          </cell>
          <cell r="X2163">
            <v>4</v>
          </cell>
          <cell r="Y2163">
            <v>8</v>
          </cell>
        </row>
        <row r="2164">
          <cell r="U2164" t="str">
            <v>L105515</v>
          </cell>
          <cell r="V2164" t="str">
            <v>GLV 2kg</v>
          </cell>
          <cell r="W2164" t="str">
            <v>Ajuste</v>
          </cell>
          <cell r="X2164">
            <v>6</v>
          </cell>
          <cell r="Y2164">
            <v>12</v>
          </cell>
        </row>
        <row r="2165">
          <cell r="U2165" t="str">
            <v>L105516</v>
          </cell>
          <cell r="V2165" t="str">
            <v>GLV 2kg</v>
          </cell>
          <cell r="W2165" t="str">
            <v>Ajuste</v>
          </cell>
          <cell r="X2165">
            <v>4</v>
          </cell>
          <cell r="Y2165">
            <v>8</v>
          </cell>
        </row>
        <row r="2166">
          <cell r="U2166" t="str">
            <v>L105517</v>
          </cell>
          <cell r="V2166" t="str">
            <v>GLV 2kg</v>
          </cell>
          <cell r="W2166" t="str">
            <v>Ajuste</v>
          </cell>
          <cell r="X2166">
            <v>8</v>
          </cell>
          <cell r="Y2166">
            <v>16</v>
          </cell>
        </row>
        <row r="2167">
          <cell r="U2167" t="str">
            <v>L105518</v>
          </cell>
          <cell r="V2167" t="str">
            <v>GLV 2kg</v>
          </cell>
          <cell r="W2167" t="str">
            <v>Ajuste</v>
          </cell>
          <cell r="X2167">
            <v>2</v>
          </cell>
          <cell r="Y2167">
            <v>4</v>
          </cell>
        </row>
        <row r="2168">
          <cell r="U2168" t="str">
            <v>L105787</v>
          </cell>
          <cell r="V2168" t="str">
            <v>Golosinas kg</v>
          </cell>
          <cell r="W2168" t="str">
            <v>Ajuste</v>
          </cell>
          <cell r="X2168">
            <v>150</v>
          </cell>
          <cell r="Y2168">
            <v>150</v>
          </cell>
        </row>
        <row r="2169">
          <cell r="U2169" t="str">
            <v>L105644</v>
          </cell>
          <cell r="V2169" t="str">
            <v>GST 3kg</v>
          </cell>
          <cell r="W2169" t="str">
            <v>Ajuste</v>
          </cell>
          <cell r="X2169">
            <v>20</v>
          </cell>
          <cell r="Y2169">
            <v>60</v>
          </cell>
        </row>
        <row r="2170">
          <cell r="U2170" t="str">
            <v>L105807</v>
          </cell>
          <cell r="V2170" t="str">
            <v>GST 3kg</v>
          </cell>
          <cell r="W2170" t="str">
            <v>Ajuste</v>
          </cell>
          <cell r="X2170">
            <v>4</v>
          </cell>
          <cell r="Y2170">
            <v>12</v>
          </cell>
        </row>
        <row r="2171">
          <cell r="U2171" t="str">
            <v>L105042</v>
          </cell>
          <cell r="V2171" t="str">
            <v>GST Vr5.0kg-CAJA</v>
          </cell>
          <cell r="W2171" t="str">
            <v>Ajuste</v>
          </cell>
          <cell r="X2171">
            <v>6</v>
          </cell>
          <cell r="Y2171">
            <v>30</v>
          </cell>
        </row>
        <row r="2172">
          <cell r="U2172" t="str">
            <v>L105208</v>
          </cell>
          <cell r="V2172" t="str">
            <v>GST Vr5.0kg-CAJA</v>
          </cell>
          <cell r="W2172" t="str">
            <v>Ajuste</v>
          </cell>
          <cell r="X2172">
            <v>2</v>
          </cell>
          <cell r="Y2172">
            <v>10</v>
          </cell>
        </row>
        <row r="2173">
          <cell r="U2173" t="str">
            <v>L105910</v>
          </cell>
          <cell r="V2173" t="str">
            <v>GST Vr5.0kg-CAJA</v>
          </cell>
          <cell r="W2173" t="str">
            <v>Ajuste</v>
          </cell>
          <cell r="X2173">
            <v>4</v>
          </cell>
          <cell r="Y2173">
            <v>20</v>
          </cell>
        </row>
        <row r="2174">
          <cell r="U2174" t="str">
            <v>L105048</v>
          </cell>
          <cell r="V2174" t="str">
            <v>GTA 1.5kg-CAJA</v>
          </cell>
          <cell r="W2174" t="str">
            <v>Ajuste</v>
          </cell>
          <cell r="X2174">
            <v>2</v>
          </cell>
          <cell r="Y2174">
            <v>3</v>
          </cell>
        </row>
        <row r="2175">
          <cell r="U2175" t="str">
            <v>L105309</v>
          </cell>
          <cell r="V2175" t="str">
            <v>GTA 1.5kg-CAJA</v>
          </cell>
          <cell r="W2175" t="str">
            <v>Ajuste</v>
          </cell>
          <cell r="X2175">
            <v>2</v>
          </cell>
          <cell r="Y2175">
            <v>3</v>
          </cell>
        </row>
        <row r="2176">
          <cell r="U2176" t="str">
            <v>L105170</v>
          </cell>
          <cell r="V2176" t="str">
            <v>GTA 1kg-CAJA</v>
          </cell>
          <cell r="W2176" t="str">
            <v>Ajuste</v>
          </cell>
          <cell r="X2176">
            <v>6</v>
          </cell>
          <cell r="Y2176">
            <v>6</v>
          </cell>
        </row>
        <row r="2177">
          <cell r="U2177" t="str">
            <v>L105171</v>
          </cell>
          <cell r="V2177" t="str">
            <v>GTA 1kg-CAJA</v>
          </cell>
          <cell r="W2177" t="str">
            <v>Ajuste</v>
          </cell>
          <cell r="X2177">
            <v>24</v>
          </cell>
          <cell r="Y2177">
            <v>24</v>
          </cell>
        </row>
        <row r="2178">
          <cell r="U2178" t="str">
            <v>L105215</v>
          </cell>
          <cell r="V2178" t="str">
            <v>GTA 1kg-CAJA</v>
          </cell>
          <cell r="W2178" t="str">
            <v>Ajuste</v>
          </cell>
          <cell r="X2178">
            <v>2</v>
          </cell>
          <cell r="Y2178">
            <v>2</v>
          </cell>
        </row>
        <row r="2179">
          <cell r="U2179" t="str">
            <v>L105215</v>
          </cell>
          <cell r="V2179" t="str">
            <v>PV GTA 1kg</v>
          </cell>
          <cell r="W2179" t="str">
            <v>Ajuste</v>
          </cell>
          <cell r="X2179">
            <v>2</v>
          </cell>
          <cell r="Y2179">
            <v>2</v>
          </cell>
        </row>
        <row r="2180">
          <cell r="U2180" t="str">
            <v>L105310</v>
          </cell>
          <cell r="V2180" t="str">
            <v>GTA 1kg-CAJA</v>
          </cell>
          <cell r="W2180" t="str">
            <v>Ajuste</v>
          </cell>
          <cell r="X2180">
            <v>10</v>
          </cell>
          <cell r="Y2180">
            <v>10</v>
          </cell>
        </row>
        <row r="2181">
          <cell r="U2181" t="str">
            <v>L105544</v>
          </cell>
          <cell r="V2181" t="str">
            <v>GTA 1kg-CAJA</v>
          </cell>
          <cell r="W2181" t="str">
            <v>Ajuste</v>
          </cell>
          <cell r="X2181">
            <v>6</v>
          </cell>
          <cell r="Y2181">
            <v>6</v>
          </cell>
        </row>
        <row r="2182">
          <cell r="U2182" t="str">
            <v>L105546</v>
          </cell>
          <cell r="V2182" t="str">
            <v>GTA 1kg-CAJA</v>
          </cell>
          <cell r="W2182" t="str">
            <v>Ajuste</v>
          </cell>
          <cell r="X2182">
            <v>10</v>
          </cell>
          <cell r="Y2182">
            <v>10</v>
          </cell>
        </row>
        <row r="2183">
          <cell r="U2183" t="str">
            <v>L105558</v>
          </cell>
          <cell r="V2183" t="str">
            <v>GTA 1kg-CAJA</v>
          </cell>
          <cell r="W2183" t="str">
            <v>Ajuste</v>
          </cell>
          <cell r="X2183">
            <v>7</v>
          </cell>
          <cell r="Y2183">
            <v>7</v>
          </cell>
        </row>
        <row r="2184">
          <cell r="U2184" t="str">
            <v>L105558</v>
          </cell>
          <cell r="V2184" t="str">
            <v>GTA 1kg-CAJA</v>
          </cell>
          <cell r="W2184" t="str">
            <v>Uso del BAP</v>
          </cell>
          <cell r="X2184">
            <v>1</v>
          </cell>
          <cell r="Y2184">
            <v>1</v>
          </cell>
        </row>
        <row r="2185">
          <cell r="U2185" t="str">
            <v>L105607</v>
          </cell>
          <cell r="V2185" t="str">
            <v>GTA 1kg-CAJA</v>
          </cell>
          <cell r="W2185" t="str">
            <v>Ajuste</v>
          </cell>
          <cell r="X2185">
            <v>2</v>
          </cell>
          <cell r="Y2185">
            <v>2</v>
          </cell>
        </row>
        <row r="2186">
          <cell r="U2186" t="str">
            <v>L105604</v>
          </cell>
          <cell r="V2186" t="str">
            <v>GTA 2kg-CAJA</v>
          </cell>
          <cell r="W2186" t="str">
            <v>Ajuste</v>
          </cell>
          <cell r="X2186">
            <v>150</v>
          </cell>
          <cell r="Y2186">
            <v>300</v>
          </cell>
        </row>
        <row r="2187">
          <cell r="U2187" t="str">
            <v>L105606</v>
          </cell>
          <cell r="V2187" t="str">
            <v>GTA 2kg-CAJA</v>
          </cell>
          <cell r="W2187" t="str">
            <v>Ajuste</v>
          </cell>
          <cell r="X2187">
            <v>12</v>
          </cell>
          <cell r="Y2187">
            <v>24</v>
          </cell>
        </row>
        <row r="2188">
          <cell r="U2188" t="str">
            <v>L105623</v>
          </cell>
          <cell r="V2188" t="str">
            <v>GTA 2kg-CAJA</v>
          </cell>
          <cell r="W2188" t="str">
            <v>Ajuste</v>
          </cell>
          <cell r="X2188">
            <v>2</v>
          </cell>
          <cell r="Y2188">
            <v>4</v>
          </cell>
        </row>
        <row r="2189">
          <cell r="U2189" t="str">
            <v>L105624</v>
          </cell>
          <cell r="V2189" t="str">
            <v>GTA 2kg-CAJA</v>
          </cell>
          <cell r="W2189" t="str">
            <v>Ajuste</v>
          </cell>
          <cell r="X2189">
            <v>2</v>
          </cell>
          <cell r="Y2189">
            <v>4</v>
          </cell>
        </row>
        <row r="2190">
          <cell r="U2190" t="str">
            <v>L105143</v>
          </cell>
          <cell r="V2190" t="str">
            <v>GTA 3kg-CAJA</v>
          </cell>
          <cell r="W2190" t="str">
            <v>Ajuste</v>
          </cell>
          <cell r="X2190">
            <v>10</v>
          </cell>
          <cell r="Y2190">
            <v>30</v>
          </cell>
        </row>
        <row r="2191">
          <cell r="U2191" t="str">
            <v>L105144</v>
          </cell>
          <cell r="V2191" t="str">
            <v>GTA 3kg-CAJA</v>
          </cell>
          <cell r="W2191" t="str">
            <v>Ajuste</v>
          </cell>
          <cell r="X2191">
            <v>2</v>
          </cell>
          <cell r="Y2191">
            <v>6</v>
          </cell>
        </row>
        <row r="2192">
          <cell r="U2192" t="str">
            <v>L105729</v>
          </cell>
          <cell r="V2192" t="str">
            <v>Guandu kg</v>
          </cell>
          <cell r="W2192" t="str">
            <v>Ajuste</v>
          </cell>
          <cell r="X2192">
            <v>3.92</v>
          </cell>
          <cell r="Y2192">
            <v>3.92</v>
          </cell>
        </row>
        <row r="2193">
          <cell r="U2193" t="str">
            <v>L105647</v>
          </cell>
          <cell r="V2193" t="str">
            <v>GUD 3kg</v>
          </cell>
          <cell r="W2193" t="str">
            <v>Ajuste</v>
          </cell>
          <cell r="X2193">
            <v>56</v>
          </cell>
          <cell r="Y2193">
            <v>168</v>
          </cell>
        </row>
        <row r="2194">
          <cell r="U2194" t="str">
            <v>L105716</v>
          </cell>
          <cell r="V2194" t="str">
            <v>GUD 3kg</v>
          </cell>
          <cell r="W2194" t="str">
            <v>Ajuste</v>
          </cell>
          <cell r="X2194">
            <v>46</v>
          </cell>
          <cell r="Y2194">
            <v>138</v>
          </cell>
        </row>
        <row r="2195">
          <cell r="U2195" t="str">
            <v>L105845</v>
          </cell>
          <cell r="V2195" t="str">
            <v>GUD 3kg</v>
          </cell>
          <cell r="W2195" t="str">
            <v>Ajuste</v>
          </cell>
          <cell r="X2195">
            <v>40</v>
          </cell>
          <cell r="Y2195">
            <v>120</v>
          </cell>
        </row>
        <row r="2196">
          <cell r="U2196" t="str">
            <v>L105846</v>
          </cell>
          <cell r="V2196" t="str">
            <v>GUD 3kg</v>
          </cell>
          <cell r="W2196" t="str">
            <v>Ajuste</v>
          </cell>
          <cell r="X2196">
            <v>26</v>
          </cell>
          <cell r="Y2196">
            <v>78</v>
          </cell>
        </row>
        <row r="2197">
          <cell r="U2197" t="str">
            <v>L105847</v>
          </cell>
          <cell r="V2197" t="str">
            <v>GUD 3kg</v>
          </cell>
          <cell r="W2197" t="str">
            <v>Ajuste</v>
          </cell>
          <cell r="X2197">
            <v>14</v>
          </cell>
          <cell r="Y2197">
            <v>42</v>
          </cell>
        </row>
        <row r="2198">
          <cell r="U2198" t="str">
            <v>L105848</v>
          </cell>
          <cell r="V2198" t="str">
            <v>GUD 3kg</v>
          </cell>
          <cell r="W2198" t="str">
            <v>Ajuste</v>
          </cell>
          <cell r="X2198">
            <v>10</v>
          </cell>
          <cell r="Y2198">
            <v>30</v>
          </cell>
        </row>
        <row r="2199">
          <cell r="U2199" t="str">
            <v>L105849</v>
          </cell>
          <cell r="V2199" t="str">
            <v>GUD 3kg</v>
          </cell>
          <cell r="W2199" t="str">
            <v>Ajuste</v>
          </cell>
          <cell r="X2199">
            <v>4</v>
          </cell>
          <cell r="Y2199">
            <v>12</v>
          </cell>
        </row>
        <row r="2200">
          <cell r="U2200" t="str">
            <v>L105941</v>
          </cell>
          <cell r="V2200" t="str">
            <v>GUD 3kg</v>
          </cell>
          <cell r="W2200" t="str">
            <v>Ajuste</v>
          </cell>
          <cell r="X2200">
            <v>2</v>
          </cell>
          <cell r="Y2200">
            <v>6</v>
          </cell>
        </row>
        <row r="2201">
          <cell r="U2201" t="str">
            <v>L105055</v>
          </cell>
          <cell r="V2201" t="str">
            <v>GUD 5kg-CAJA</v>
          </cell>
          <cell r="W2201" t="str">
            <v>Ajuste</v>
          </cell>
          <cell r="X2201">
            <v>6</v>
          </cell>
          <cell r="Y2201">
            <v>30</v>
          </cell>
        </row>
        <row r="2202">
          <cell r="U2202" t="str">
            <v>L105184</v>
          </cell>
          <cell r="V2202" t="str">
            <v>GUD 5kg-CAJA</v>
          </cell>
          <cell r="W2202" t="str">
            <v>Ajuste</v>
          </cell>
          <cell r="X2202">
            <v>6</v>
          </cell>
          <cell r="Y2202">
            <v>30</v>
          </cell>
        </row>
        <row r="2203">
          <cell r="U2203" t="str">
            <v>L105278</v>
          </cell>
          <cell r="V2203" t="str">
            <v>HAV 25kg-Unidad</v>
          </cell>
          <cell r="W2203" t="str">
            <v>Ajuste</v>
          </cell>
          <cell r="X2203">
            <v>5</v>
          </cell>
          <cell r="Y2203">
            <v>125</v>
          </cell>
        </row>
        <row r="2204">
          <cell r="U2204" t="str">
            <v>L105893</v>
          </cell>
          <cell r="V2204" t="str">
            <v>HAV 3kg</v>
          </cell>
          <cell r="W2204" t="str">
            <v>Ajuste</v>
          </cell>
          <cell r="X2204">
            <v>2</v>
          </cell>
          <cell r="Y2204">
            <v>6</v>
          </cell>
        </row>
        <row r="2205">
          <cell r="U2205" t="str">
            <v>L105744</v>
          </cell>
          <cell r="V2205" t="str">
            <v>HAV 3kg</v>
          </cell>
          <cell r="W2205" t="str">
            <v>Ajuste</v>
          </cell>
          <cell r="X2205">
            <v>2</v>
          </cell>
          <cell r="Y2205">
            <v>6</v>
          </cell>
        </row>
        <row r="2206">
          <cell r="U2206" t="str">
            <v>L105429</v>
          </cell>
          <cell r="V2206" t="str">
            <v>HAV 5kg-CAJA</v>
          </cell>
          <cell r="W2206" t="str">
            <v>Ajuste</v>
          </cell>
          <cell r="X2206">
            <v>45</v>
          </cell>
          <cell r="Y2206">
            <v>225</v>
          </cell>
        </row>
        <row r="2207">
          <cell r="U2207" t="str">
            <v>L105241</v>
          </cell>
          <cell r="V2207" t="str">
            <v>HAV PD 25kg-Unidad</v>
          </cell>
          <cell r="W2207" t="str">
            <v>Ajuste</v>
          </cell>
          <cell r="X2207">
            <v>120</v>
          </cell>
          <cell r="Y2207">
            <v>3000</v>
          </cell>
        </row>
        <row r="2208">
          <cell r="U2208" t="str">
            <v>L105819</v>
          </cell>
          <cell r="V2208" t="str">
            <v>HDG 2flt x 30uds</v>
          </cell>
          <cell r="W2208" t="str">
            <v>Ajuste</v>
          </cell>
          <cell r="X2208">
            <v>156</v>
          </cell>
          <cell r="Y2208">
            <v>780</v>
          </cell>
        </row>
        <row r="2209">
          <cell r="U2209" t="str">
            <v>L105450</v>
          </cell>
          <cell r="V2209" t="str">
            <v>HDG 30UNI</v>
          </cell>
          <cell r="W2209" t="str">
            <v>Ajuste</v>
          </cell>
          <cell r="X2209">
            <v>4</v>
          </cell>
          <cell r="Y2209">
            <v>8</v>
          </cell>
        </row>
        <row r="2210">
          <cell r="U2210" t="str">
            <v>L105206</v>
          </cell>
          <cell r="V2210" t="str">
            <v>HDG 3Doc</v>
          </cell>
          <cell r="W2210" t="str">
            <v>Ajuste</v>
          </cell>
          <cell r="X2210">
            <v>18</v>
          </cell>
          <cell r="Y2210">
            <v>57.6</v>
          </cell>
        </row>
        <row r="2211">
          <cell r="U2211" t="str">
            <v>L105442</v>
          </cell>
          <cell r="V2211" t="str">
            <v>HDG 4flt x 30uds</v>
          </cell>
          <cell r="W2211" t="str">
            <v>Ajuste</v>
          </cell>
          <cell r="X2211">
            <v>44</v>
          </cell>
          <cell r="Y2211">
            <v>440</v>
          </cell>
        </row>
        <row r="2212">
          <cell r="U2212" t="str">
            <v>L105205</v>
          </cell>
          <cell r="V2212" t="str">
            <v>HGC 30 DOC</v>
          </cell>
          <cell r="W2212" t="str">
            <v>Ajuste</v>
          </cell>
          <cell r="X2212">
            <v>59</v>
          </cell>
          <cell r="Y2212">
            <v>1416</v>
          </cell>
        </row>
        <row r="2213">
          <cell r="U2213" t="str">
            <v>L105205</v>
          </cell>
          <cell r="V2213" t="str">
            <v>HGC 30 DOC</v>
          </cell>
          <cell r="W2213" t="str">
            <v>Merma para Animales</v>
          </cell>
          <cell r="X2213">
            <v>1</v>
          </cell>
          <cell r="Y2213">
            <v>24</v>
          </cell>
        </row>
        <row r="2214">
          <cell r="U2214" t="str">
            <v>L105440</v>
          </cell>
          <cell r="V2214" t="str">
            <v>HGC 30 DOC</v>
          </cell>
          <cell r="W2214" t="str">
            <v>Ajuste</v>
          </cell>
          <cell r="X2214">
            <v>74</v>
          </cell>
          <cell r="Y2214">
            <v>1776</v>
          </cell>
        </row>
        <row r="2215">
          <cell r="U2215" t="str">
            <v>L105808</v>
          </cell>
          <cell r="V2215" t="str">
            <v>HGC 30 DOC</v>
          </cell>
          <cell r="W2215" t="str">
            <v>Ajuste</v>
          </cell>
          <cell r="X2215">
            <v>52</v>
          </cell>
          <cell r="Y2215">
            <v>1248</v>
          </cell>
        </row>
        <row r="2216">
          <cell r="U2216" t="str">
            <v>L105393</v>
          </cell>
          <cell r="V2216" t="str">
            <v>HIDP 18KG</v>
          </cell>
          <cell r="W2216" t="str">
            <v>Ajuste</v>
          </cell>
          <cell r="X2216">
            <v>200</v>
          </cell>
          <cell r="Y2216">
            <v>3600</v>
          </cell>
        </row>
        <row r="2217">
          <cell r="U2217" t="str">
            <v>L105820</v>
          </cell>
          <cell r="V2217" t="str">
            <v>HIDP 7KG</v>
          </cell>
          <cell r="W2217" t="str">
            <v>Ajuste</v>
          </cell>
          <cell r="X2217">
            <v>48</v>
          </cell>
          <cell r="Y2217">
            <v>336</v>
          </cell>
        </row>
        <row r="2218">
          <cell r="U2218" t="str">
            <v>L105441</v>
          </cell>
          <cell r="V2218" t="str">
            <v>HIDP 7KG</v>
          </cell>
          <cell r="W2218" t="str">
            <v>Ajuste</v>
          </cell>
          <cell r="X2218">
            <v>60</v>
          </cell>
          <cell r="Y2218">
            <v>420</v>
          </cell>
        </row>
        <row r="2219">
          <cell r="U2219" t="str">
            <v>L105043</v>
          </cell>
          <cell r="V2219" t="str">
            <v>HNG 3kg-CAJA</v>
          </cell>
          <cell r="W2219" t="str">
            <v>Ajuste</v>
          </cell>
          <cell r="X2219">
            <v>4</v>
          </cell>
          <cell r="Y2219">
            <v>12</v>
          </cell>
        </row>
        <row r="2220">
          <cell r="U2220" t="str">
            <v>L105297</v>
          </cell>
          <cell r="V2220" t="str">
            <v>HNG 3kg-CAJA</v>
          </cell>
          <cell r="W2220" t="str">
            <v>Ajuste</v>
          </cell>
          <cell r="X2220">
            <v>2</v>
          </cell>
          <cell r="Y2220">
            <v>6</v>
          </cell>
        </row>
        <row r="2221">
          <cell r="U2221" t="str">
            <v>L105680</v>
          </cell>
          <cell r="V2221" t="str">
            <v>HNG 3kg-CAJA</v>
          </cell>
          <cell r="W2221" t="str">
            <v>Ajuste</v>
          </cell>
          <cell r="X2221">
            <v>2</v>
          </cell>
          <cell r="Y2221">
            <v>6</v>
          </cell>
        </row>
        <row r="2222">
          <cell r="U2222" t="str">
            <v>L105056</v>
          </cell>
          <cell r="V2222" t="str">
            <v>HNG 5kg-CAJA</v>
          </cell>
          <cell r="W2222" t="str">
            <v>Ajuste</v>
          </cell>
          <cell r="X2222">
            <v>2</v>
          </cell>
          <cell r="Y2222">
            <v>10</v>
          </cell>
        </row>
        <row r="2223">
          <cell r="U2223" t="str">
            <v>L105382</v>
          </cell>
          <cell r="V2223" t="str">
            <v>HRN 2kg</v>
          </cell>
          <cell r="W2223" t="str">
            <v>Ajuste</v>
          </cell>
          <cell r="X2223">
            <v>6</v>
          </cell>
          <cell r="Y2223">
            <v>12</v>
          </cell>
        </row>
        <row r="2224">
          <cell r="U2224" t="str">
            <v>L105683</v>
          </cell>
          <cell r="V2224" t="str">
            <v>JB 1kg</v>
          </cell>
          <cell r="W2224" t="str">
            <v>Ajuste</v>
          </cell>
          <cell r="X2224">
            <v>60</v>
          </cell>
          <cell r="Y2224">
            <v>60</v>
          </cell>
        </row>
        <row r="2225">
          <cell r="U2225" t="str">
            <v>L105308</v>
          </cell>
          <cell r="V2225" t="str">
            <v>JGNA</v>
          </cell>
          <cell r="W2225" t="str">
            <v>Ajuste</v>
          </cell>
          <cell r="X2225">
            <v>4</v>
          </cell>
          <cell r="Y2225">
            <v>4</v>
          </cell>
        </row>
        <row r="2226">
          <cell r="U2226" t="str">
            <v>L105652</v>
          </cell>
          <cell r="V2226" t="str">
            <v>JGNA</v>
          </cell>
          <cell r="W2226" t="str">
            <v>Ajuste</v>
          </cell>
          <cell r="X2226">
            <v>6</v>
          </cell>
          <cell r="Y2226">
            <v>6</v>
          </cell>
        </row>
        <row r="2227">
          <cell r="U2227" t="str">
            <v>L105307</v>
          </cell>
          <cell r="V2227" t="str">
            <v>JGNO</v>
          </cell>
          <cell r="W2227" t="str">
            <v>Ajuste</v>
          </cell>
          <cell r="X2227">
            <v>22</v>
          </cell>
          <cell r="Y2227">
            <v>22</v>
          </cell>
        </row>
        <row r="2228">
          <cell r="U2228" t="str">
            <v>L105428</v>
          </cell>
          <cell r="V2228" t="str">
            <v>JGNO</v>
          </cell>
          <cell r="W2228" t="str">
            <v>Ajuste</v>
          </cell>
          <cell r="X2228">
            <v>4</v>
          </cell>
          <cell r="Y2228">
            <v>4</v>
          </cell>
        </row>
        <row r="2229">
          <cell r="U2229" t="str">
            <v>L105651</v>
          </cell>
          <cell r="V2229" t="str">
            <v>JGNO</v>
          </cell>
          <cell r="W2229" t="str">
            <v>Ajuste</v>
          </cell>
          <cell r="X2229">
            <v>6</v>
          </cell>
          <cell r="Y2229">
            <v>6</v>
          </cell>
        </row>
        <row r="2230">
          <cell r="U2230" t="str">
            <v>L105039</v>
          </cell>
          <cell r="V2230" t="str">
            <v>JGO 2kg</v>
          </cell>
          <cell r="W2230" t="str">
            <v>Ajuste</v>
          </cell>
          <cell r="X2230">
            <v>20</v>
          </cell>
          <cell r="Y2230">
            <v>40</v>
          </cell>
        </row>
        <row r="2231">
          <cell r="U2231" t="str">
            <v>L105526</v>
          </cell>
          <cell r="V2231" t="str">
            <v>JGO 2kg</v>
          </cell>
          <cell r="W2231" t="str">
            <v>Ajuste</v>
          </cell>
          <cell r="X2231">
            <v>42</v>
          </cell>
          <cell r="Y2231">
            <v>84</v>
          </cell>
        </row>
        <row r="2232">
          <cell r="U2232" t="str">
            <v>L105059</v>
          </cell>
          <cell r="V2232" t="str">
            <v>JLP 2kg Caja</v>
          </cell>
          <cell r="W2232" t="str">
            <v>Ajuste</v>
          </cell>
          <cell r="X2232">
            <v>14</v>
          </cell>
          <cell r="Y2232">
            <v>28</v>
          </cell>
        </row>
        <row r="2233">
          <cell r="U2233" t="str">
            <v>L105306</v>
          </cell>
          <cell r="V2233" t="str">
            <v>JLP 2kg Caja</v>
          </cell>
          <cell r="W2233" t="str">
            <v>Ajuste</v>
          </cell>
          <cell r="X2233">
            <v>82</v>
          </cell>
          <cell r="Y2233">
            <v>164</v>
          </cell>
        </row>
        <row r="2234">
          <cell r="U2234" t="str">
            <v>L105657</v>
          </cell>
          <cell r="V2234" t="str">
            <v>JLP 2kg Caja</v>
          </cell>
          <cell r="W2234" t="str">
            <v>Ajuste</v>
          </cell>
          <cell r="X2234">
            <v>40</v>
          </cell>
          <cell r="Y2234">
            <v>80</v>
          </cell>
        </row>
        <row r="2235">
          <cell r="U2235" t="str">
            <v>L105066</v>
          </cell>
          <cell r="V2235" t="str">
            <v>JLP 3kg Caja</v>
          </cell>
          <cell r="W2235" t="str">
            <v>Ajuste</v>
          </cell>
          <cell r="X2235">
            <v>2</v>
          </cell>
          <cell r="Y2235">
            <v>6</v>
          </cell>
        </row>
        <row r="2236">
          <cell r="U2236" t="str">
            <v>L105392</v>
          </cell>
          <cell r="V2236" t="str">
            <v>JLPM 2kg</v>
          </cell>
          <cell r="W2236" t="str">
            <v>Ajuste</v>
          </cell>
          <cell r="X2236">
            <v>8</v>
          </cell>
          <cell r="Y2236">
            <v>16</v>
          </cell>
        </row>
        <row r="2237">
          <cell r="U2237" t="str">
            <v>L105655</v>
          </cell>
          <cell r="V2237" t="str">
            <v>JLPM 2kg</v>
          </cell>
          <cell r="W2237" t="str">
            <v>Ajuste</v>
          </cell>
          <cell r="X2237">
            <v>10</v>
          </cell>
          <cell r="Y2237">
            <v>20</v>
          </cell>
        </row>
        <row r="2238">
          <cell r="U2238" t="str">
            <v>L105174</v>
          </cell>
          <cell r="V2238" t="str">
            <v>JML 1 kg-CAJA</v>
          </cell>
          <cell r="W2238" t="str">
            <v>Ajuste</v>
          </cell>
          <cell r="X2238">
            <v>18</v>
          </cell>
          <cell r="Y2238">
            <v>18</v>
          </cell>
        </row>
        <row r="2239">
          <cell r="U2239" t="str">
            <v>L105531</v>
          </cell>
          <cell r="V2239" t="str">
            <v>JML 1 kg-CAJA</v>
          </cell>
          <cell r="W2239" t="str">
            <v>Ajuste</v>
          </cell>
          <cell r="X2239">
            <v>36</v>
          </cell>
          <cell r="Y2239">
            <v>36</v>
          </cell>
        </row>
        <row r="2240">
          <cell r="U2240" t="str">
            <v>L105840</v>
          </cell>
          <cell r="V2240" t="str">
            <v>JML 1 kg-CAJA</v>
          </cell>
          <cell r="W2240" t="str">
            <v>Ajuste</v>
          </cell>
          <cell r="X2240">
            <v>12</v>
          </cell>
          <cell r="Y2240">
            <v>12</v>
          </cell>
        </row>
        <row r="2241">
          <cell r="U2241" t="str">
            <v>L105841</v>
          </cell>
          <cell r="V2241" t="str">
            <v>JML 1 kg-CAJA</v>
          </cell>
          <cell r="W2241" t="str">
            <v>Ajuste</v>
          </cell>
          <cell r="X2241">
            <v>4</v>
          </cell>
          <cell r="Y2241">
            <v>4</v>
          </cell>
        </row>
        <row r="2242">
          <cell r="U2242" t="str">
            <v>l105513</v>
          </cell>
          <cell r="V2242" t="str">
            <v>KTP 2kg</v>
          </cell>
          <cell r="W2242" t="str">
            <v>Ajuste</v>
          </cell>
          <cell r="X2242">
            <v>63</v>
          </cell>
          <cell r="Y2242">
            <v>126</v>
          </cell>
        </row>
        <row r="2243">
          <cell r="U2243" t="str">
            <v>L105883</v>
          </cell>
          <cell r="V2243" t="str">
            <v>KTP 3kg</v>
          </cell>
          <cell r="W2243" t="str">
            <v>Ajuste</v>
          </cell>
          <cell r="X2243">
            <v>8</v>
          </cell>
          <cell r="Y2243">
            <v>24</v>
          </cell>
        </row>
        <row r="2244">
          <cell r="U2244" t="str">
            <v>L105907</v>
          </cell>
          <cell r="V2244" t="str">
            <v>KTP 3kg</v>
          </cell>
          <cell r="W2244" t="str">
            <v>Ajuste</v>
          </cell>
          <cell r="X2244">
            <v>2</v>
          </cell>
          <cell r="Y2244">
            <v>6</v>
          </cell>
        </row>
        <row r="2245">
          <cell r="U2245" t="str">
            <v>L105913</v>
          </cell>
          <cell r="V2245" t="str">
            <v>KTP 4kg</v>
          </cell>
          <cell r="W2245" t="str">
            <v>Ajuste</v>
          </cell>
          <cell r="X2245">
            <v>2</v>
          </cell>
          <cell r="Y2245">
            <v>8</v>
          </cell>
        </row>
        <row r="2246">
          <cell r="U2246" t="str">
            <v>L105643</v>
          </cell>
          <cell r="V2246" t="str">
            <v>LCC 3kg-(CAJA)</v>
          </cell>
          <cell r="W2246" t="str">
            <v>Ajuste</v>
          </cell>
          <cell r="X2246">
            <v>2</v>
          </cell>
          <cell r="Y2246">
            <v>6</v>
          </cell>
        </row>
        <row r="2247">
          <cell r="U2247" t="str">
            <v>L105803</v>
          </cell>
          <cell r="V2247" t="str">
            <v>LCC 3kg-(CAJA)</v>
          </cell>
          <cell r="W2247" t="str">
            <v>Ajuste</v>
          </cell>
          <cell r="X2247">
            <v>6</v>
          </cell>
          <cell r="Y2247">
            <v>18</v>
          </cell>
        </row>
        <row r="2248">
          <cell r="U2248" t="str">
            <v>L105804</v>
          </cell>
          <cell r="V2248" t="str">
            <v>LCC 3kg-(CAJA)</v>
          </cell>
          <cell r="W2248" t="str">
            <v>Ajuste</v>
          </cell>
          <cell r="X2248">
            <v>2</v>
          </cell>
          <cell r="Y2248">
            <v>6</v>
          </cell>
        </row>
        <row r="2249">
          <cell r="U2249" t="str">
            <v>L105805</v>
          </cell>
          <cell r="V2249" t="str">
            <v>LCC 3kg-(CAJA)</v>
          </cell>
          <cell r="W2249" t="str">
            <v>Ajuste</v>
          </cell>
          <cell r="X2249">
            <v>6</v>
          </cell>
          <cell r="Y2249">
            <v>18</v>
          </cell>
        </row>
        <row r="2250">
          <cell r="U2250" t="str">
            <v>L105806</v>
          </cell>
          <cell r="V2250" t="str">
            <v>LCC 3kg-(CAJA)</v>
          </cell>
          <cell r="W2250" t="str">
            <v>Ajuste</v>
          </cell>
          <cell r="X2250">
            <v>6</v>
          </cell>
          <cell r="Y2250">
            <v>18</v>
          </cell>
        </row>
        <row r="2251">
          <cell r="U2251" t="str">
            <v>L105868</v>
          </cell>
          <cell r="V2251" t="str">
            <v>LCC 3kg-(CAJA)</v>
          </cell>
          <cell r="W2251" t="str">
            <v>Ajuste</v>
          </cell>
          <cell r="X2251">
            <v>10</v>
          </cell>
          <cell r="Y2251">
            <v>30</v>
          </cell>
        </row>
        <row r="2252">
          <cell r="U2252" t="str">
            <v>L105040</v>
          </cell>
          <cell r="V2252" t="str">
            <v>LCC 5kg-(CAJA)</v>
          </cell>
          <cell r="W2252" t="str">
            <v>Ajuste</v>
          </cell>
          <cell r="X2252">
            <v>6</v>
          </cell>
          <cell r="Y2252">
            <v>30</v>
          </cell>
        </row>
        <row r="2253">
          <cell r="U2253" t="str">
            <v>L105387</v>
          </cell>
          <cell r="V2253" t="str">
            <v>LCC 5kg-(CAJA)</v>
          </cell>
          <cell r="W2253" t="str">
            <v>Ajuste</v>
          </cell>
          <cell r="X2253">
            <v>2</v>
          </cell>
          <cell r="Y2253">
            <v>10</v>
          </cell>
        </row>
        <row r="2254">
          <cell r="U2254" t="str">
            <v>L105843</v>
          </cell>
          <cell r="V2254" t="str">
            <v>LCD 5kg-CAJA</v>
          </cell>
          <cell r="W2254" t="str">
            <v>Ajuste</v>
          </cell>
          <cell r="X2254">
            <v>10</v>
          </cell>
          <cell r="Y2254">
            <v>50</v>
          </cell>
        </row>
        <row r="2255">
          <cell r="U2255" t="str">
            <v>L105844</v>
          </cell>
          <cell r="V2255" t="str">
            <v>LCD 5kg-CAJA</v>
          </cell>
          <cell r="W2255" t="str">
            <v>Ajuste</v>
          </cell>
          <cell r="X2255">
            <v>6</v>
          </cell>
          <cell r="Y2255">
            <v>30</v>
          </cell>
        </row>
        <row r="2256">
          <cell r="U2256" t="str">
            <v>L105854</v>
          </cell>
          <cell r="V2256" t="str">
            <v>LCD 5kg-CAJA</v>
          </cell>
          <cell r="W2256" t="str">
            <v>Ajuste</v>
          </cell>
          <cell r="X2256">
            <v>4</v>
          </cell>
          <cell r="Y2256">
            <v>20</v>
          </cell>
        </row>
        <row r="2257">
          <cell r="U2257" t="str">
            <v>L105959</v>
          </cell>
          <cell r="V2257" t="str">
            <v>LCH 12x946mL-CAJA</v>
          </cell>
          <cell r="W2257" t="str">
            <v>Ajuste</v>
          </cell>
          <cell r="X2257">
            <v>40</v>
          </cell>
          <cell r="Y2257">
            <v>454</v>
          </cell>
        </row>
        <row r="2258">
          <cell r="U2258" t="str">
            <v>L105461</v>
          </cell>
          <cell r="V2258" t="str">
            <v>LCH 24X315g-CAJA</v>
          </cell>
          <cell r="W2258" t="str">
            <v>Ajuste</v>
          </cell>
          <cell r="X2258">
            <v>500</v>
          </cell>
          <cell r="Y2258">
            <v>4250</v>
          </cell>
        </row>
        <row r="2259">
          <cell r="U2259" t="str">
            <v>L105457</v>
          </cell>
          <cell r="V2259" t="str">
            <v>LCH 48X167g-CAJA</v>
          </cell>
          <cell r="W2259" t="str">
            <v>Ajuste</v>
          </cell>
          <cell r="X2259">
            <v>748</v>
          </cell>
          <cell r="Y2259">
            <v>7106</v>
          </cell>
        </row>
        <row r="2260">
          <cell r="U2260" t="str">
            <v>L105459</v>
          </cell>
          <cell r="V2260" t="str">
            <v>LCH 48X314g-CAJA</v>
          </cell>
          <cell r="W2260" t="str">
            <v>Ajuste</v>
          </cell>
          <cell r="X2260">
            <v>2</v>
          </cell>
          <cell r="Y2260">
            <v>36</v>
          </cell>
        </row>
        <row r="2261">
          <cell r="U2261" t="str">
            <v>L105947</v>
          </cell>
          <cell r="V2261" t="str">
            <v>LCH 4kg</v>
          </cell>
          <cell r="W2261" t="str">
            <v>Ajuste</v>
          </cell>
          <cell r="X2261">
            <v>2</v>
          </cell>
          <cell r="Y2261">
            <v>8</v>
          </cell>
        </row>
        <row r="2262">
          <cell r="U2262" t="str">
            <v>L105948</v>
          </cell>
          <cell r="V2262" t="str">
            <v>LCH 4kg</v>
          </cell>
          <cell r="W2262" t="str">
            <v>Ajuste</v>
          </cell>
          <cell r="X2262">
            <v>2</v>
          </cell>
          <cell r="Y2262">
            <v>8</v>
          </cell>
        </row>
        <row r="2263">
          <cell r="U2263" t="str">
            <v>L105949</v>
          </cell>
          <cell r="V2263" t="str">
            <v>LCH 4kg</v>
          </cell>
          <cell r="W2263" t="str">
            <v>Ajuste</v>
          </cell>
          <cell r="X2263">
            <v>6</v>
          </cell>
          <cell r="Y2263">
            <v>24</v>
          </cell>
        </row>
        <row r="2264">
          <cell r="U2264" t="str">
            <v>L105950</v>
          </cell>
          <cell r="V2264" t="str">
            <v>LCH 4kg</v>
          </cell>
          <cell r="W2264" t="str">
            <v>Ajuste</v>
          </cell>
          <cell r="X2264">
            <v>4</v>
          </cell>
          <cell r="Y2264">
            <v>16</v>
          </cell>
        </row>
        <row r="2265">
          <cell r="U2265" t="str">
            <v>L105951</v>
          </cell>
          <cell r="V2265" t="str">
            <v>LCH 4kg</v>
          </cell>
          <cell r="W2265" t="str">
            <v>Ajuste</v>
          </cell>
          <cell r="X2265">
            <v>2</v>
          </cell>
          <cell r="Y2265">
            <v>8</v>
          </cell>
        </row>
        <row r="2266">
          <cell r="U2266" t="str">
            <v>L105952</v>
          </cell>
          <cell r="V2266" t="str">
            <v>LCH 4kg</v>
          </cell>
          <cell r="W2266" t="str">
            <v>Ajuste</v>
          </cell>
          <cell r="X2266">
            <v>8</v>
          </cell>
          <cell r="Y2266">
            <v>32</v>
          </cell>
        </row>
        <row r="2267">
          <cell r="U2267" t="str">
            <v>L105953</v>
          </cell>
          <cell r="V2267" t="str">
            <v>LCH 4kg</v>
          </cell>
          <cell r="W2267" t="str">
            <v>Ajuste</v>
          </cell>
          <cell r="X2267">
            <v>4</v>
          </cell>
          <cell r="Y2267">
            <v>16</v>
          </cell>
        </row>
        <row r="2268">
          <cell r="U2268" t="str">
            <v>L105954</v>
          </cell>
          <cell r="V2268" t="str">
            <v>LCH 4kg</v>
          </cell>
          <cell r="W2268" t="str">
            <v>Ajuste</v>
          </cell>
          <cell r="X2268">
            <v>2</v>
          </cell>
          <cell r="Y2268">
            <v>8</v>
          </cell>
        </row>
        <row r="2269">
          <cell r="U2269" t="str">
            <v>L105955</v>
          </cell>
          <cell r="V2269" t="str">
            <v>LCH 4kg</v>
          </cell>
          <cell r="W2269" t="str">
            <v>Ajuste</v>
          </cell>
          <cell r="X2269">
            <v>4</v>
          </cell>
          <cell r="Y2269">
            <v>16</v>
          </cell>
        </row>
        <row r="2270">
          <cell r="U2270" t="str">
            <v>L105956</v>
          </cell>
          <cell r="V2270" t="str">
            <v>LCH 4kg</v>
          </cell>
          <cell r="W2270" t="str">
            <v>Ajuste</v>
          </cell>
          <cell r="X2270">
            <v>4</v>
          </cell>
          <cell r="Y2270">
            <v>16</v>
          </cell>
        </row>
        <row r="2271">
          <cell r="U2271" t="str">
            <v>L105957</v>
          </cell>
          <cell r="V2271" t="str">
            <v>LCH 4kg</v>
          </cell>
          <cell r="W2271" t="str">
            <v>Ajuste</v>
          </cell>
          <cell r="X2271">
            <v>14</v>
          </cell>
          <cell r="Y2271">
            <v>56</v>
          </cell>
        </row>
        <row r="2272">
          <cell r="U2272" t="str">
            <v>L105958</v>
          </cell>
          <cell r="V2272" t="str">
            <v>LCH 4kg</v>
          </cell>
          <cell r="W2272" t="str">
            <v>Ajuste</v>
          </cell>
          <cell r="X2272">
            <v>8</v>
          </cell>
          <cell r="Y2272">
            <v>32</v>
          </cell>
        </row>
        <row r="2273">
          <cell r="U2273" t="str">
            <v>L105966</v>
          </cell>
          <cell r="V2273" t="str">
            <v>LCH 4kg</v>
          </cell>
          <cell r="W2273" t="str">
            <v>Ajuste</v>
          </cell>
          <cell r="X2273">
            <v>72</v>
          </cell>
          <cell r="Y2273">
            <v>288</v>
          </cell>
        </row>
        <row r="2274">
          <cell r="U2274" t="str">
            <v>L105967</v>
          </cell>
          <cell r="V2274" t="str">
            <v>LCH 4kg</v>
          </cell>
          <cell r="W2274" t="str">
            <v>Ajuste</v>
          </cell>
          <cell r="X2274">
            <v>2</v>
          </cell>
          <cell r="Y2274">
            <v>8</v>
          </cell>
        </row>
        <row r="2275">
          <cell r="U2275" t="str">
            <v>L105968</v>
          </cell>
          <cell r="V2275" t="str">
            <v>LCH 4kg</v>
          </cell>
          <cell r="W2275" t="str">
            <v>Ajuste</v>
          </cell>
          <cell r="X2275">
            <v>8</v>
          </cell>
          <cell r="Y2275">
            <v>32</v>
          </cell>
        </row>
        <row r="2276">
          <cell r="U2276" t="str">
            <v>L105969</v>
          </cell>
          <cell r="V2276" t="str">
            <v>LCH 4kg</v>
          </cell>
          <cell r="W2276" t="str">
            <v>Ajuste</v>
          </cell>
          <cell r="X2276">
            <v>8</v>
          </cell>
          <cell r="Y2276">
            <v>32</v>
          </cell>
        </row>
        <row r="2277">
          <cell r="U2277" t="str">
            <v>L105970</v>
          </cell>
          <cell r="V2277" t="str">
            <v>LCH 4kg</v>
          </cell>
          <cell r="W2277" t="str">
            <v>Ajuste</v>
          </cell>
          <cell r="X2277">
            <v>8</v>
          </cell>
          <cell r="Y2277">
            <v>32</v>
          </cell>
        </row>
        <row r="2278">
          <cell r="U2278" t="str">
            <v>L105458</v>
          </cell>
          <cell r="V2278" t="str">
            <v>LCH 96X167g-CAJA</v>
          </cell>
          <cell r="W2278" t="str">
            <v>Ajuste</v>
          </cell>
          <cell r="X2278">
            <v>242</v>
          </cell>
          <cell r="Y2278">
            <v>4598</v>
          </cell>
        </row>
        <row r="2279">
          <cell r="U2279" t="str">
            <v>L105057</v>
          </cell>
          <cell r="V2279" t="str">
            <v>LCH EV 3kg</v>
          </cell>
          <cell r="W2279" t="str">
            <v>Ajuste</v>
          </cell>
          <cell r="X2279">
            <v>2</v>
          </cell>
          <cell r="Y2279">
            <v>6</v>
          </cell>
        </row>
        <row r="2280">
          <cell r="U2280" t="str">
            <v>L105462</v>
          </cell>
          <cell r="V2280" t="str">
            <v>LCH EV5kg-CAJA</v>
          </cell>
          <cell r="W2280" t="str">
            <v>Ajuste</v>
          </cell>
          <cell r="X2280">
            <v>12</v>
          </cell>
          <cell r="Y2280">
            <v>60</v>
          </cell>
        </row>
        <row r="2281">
          <cell r="U2281" t="str">
            <v>L105463</v>
          </cell>
          <cell r="V2281" t="str">
            <v>LCH EV5kg-CAJA</v>
          </cell>
          <cell r="W2281" t="str">
            <v>Ajuste</v>
          </cell>
          <cell r="X2281">
            <v>2</v>
          </cell>
          <cell r="Y2281">
            <v>10</v>
          </cell>
        </row>
        <row r="2282">
          <cell r="U2282" t="str">
            <v>L105971</v>
          </cell>
          <cell r="V2282" t="str">
            <v>LCHAY 4kg</v>
          </cell>
          <cell r="W2282" t="str">
            <v>Ajuste</v>
          </cell>
          <cell r="X2282">
            <v>120</v>
          </cell>
          <cell r="Y2282">
            <v>480</v>
          </cell>
        </row>
        <row r="2283">
          <cell r="U2283" t="str">
            <v>L105422</v>
          </cell>
          <cell r="V2283" t="str">
            <v>LDC 27x200mL-CAJA</v>
          </cell>
          <cell r="W2283" t="str">
            <v>Ajuste</v>
          </cell>
          <cell r="X2283">
            <v>465</v>
          </cell>
          <cell r="Y2283">
            <v>2962.0499999999911</v>
          </cell>
        </row>
        <row r="2284">
          <cell r="U2284" t="str">
            <v>L105422</v>
          </cell>
          <cell r="V2284" t="str">
            <v>LDC 27x200mL-CAJA</v>
          </cell>
          <cell r="W2284" t="str">
            <v>Dañado</v>
          </cell>
          <cell r="X2284">
            <v>1</v>
          </cell>
          <cell r="Y2284">
            <v>6.37</v>
          </cell>
        </row>
        <row r="2285">
          <cell r="U2285" t="str">
            <v>L105493</v>
          </cell>
          <cell r="V2285" t="str">
            <v>Leche evaporada kg</v>
          </cell>
          <cell r="W2285" t="str">
            <v>Ajuste</v>
          </cell>
          <cell r="X2285">
            <v>11.2</v>
          </cell>
          <cell r="Y2285">
            <v>11.2</v>
          </cell>
        </row>
        <row r="2286">
          <cell r="U2286" t="str">
            <v>L105207</v>
          </cell>
          <cell r="V2286" t="str">
            <v>LEP 2kg</v>
          </cell>
          <cell r="W2286" t="str">
            <v>Ajuste</v>
          </cell>
          <cell r="X2286">
            <v>40</v>
          </cell>
          <cell r="Y2286">
            <v>80</v>
          </cell>
        </row>
        <row r="2287">
          <cell r="U2287" t="str">
            <v>L105385</v>
          </cell>
          <cell r="V2287" t="str">
            <v>LEP 2kg</v>
          </cell>
          <cell r="W2287" t="str">
            <v>Ajuste</v>
          </cell>
          <cell r="X2287">
            <v>6</v>
          </cell>
          <cell r="Y2287">
            <v>12</v>
          </cell>
        </row>
        <row r="2288">
          <cell r="U2288" t="str">
            <v>L105541</v>
          </cell>
          <cell r="V2288" t="str">
            <v>LSN 2kg-CAJA</v>
          </cell>
          <cell r="W2288" t="str">
            <v>Ajuste</v>
          </cell>
          <cell r="X2288">
            <v>8</v>
          </cell>
          <cell r="Y2288">
            <v>16</v>
          </cell>
        </row>
        <row r="2289">
          <cell r="U2289" t="str">
            <v>L105542</v>
          </cell>
          <cell r="V2289" t="str">
            <v>LSN 2kg-CAJA</v>
          </cell>
          <cell r="W2289" t="str">
            <v>Ajuste</v>
          </cell>
          <cell r="X2289">
            <v>2</v>
          </cell>
          <cell r="Y2289">
            <v>4</v>
          </cell>
        </row>
        <row r="2290">
          <cell r="U2290" t="str">
            <v>L105945</v>
          </cell>
          <cell r="V2290" t="str">
            <v>Maiz kg</v>
          </cell>
          <cell r="W2290" t="str">
            <v>Ajuste</v>
          </cell>
          <cell r="X2290">
            <v>8.4</v>
          </cell>
          <cell r="Y2290">
            <v>8.4</v>
          </cell>
        </row>
        <row r="2291">
          <cell r="U2291" t="str">
            <v>ManejoNV-Febrero</v>
          </cell>
          <cell r="V2291" t="str">
            <v>Manejo NV</v>
          </cell>
          <cell r="W2291" t="str">
            <v>Ajuste</v>
          </cell>
          <cell r="X2291">
            <v>120</v>
          </cell>
          <cell r="Y2291">
            <v>1.2000000000000004</v>
          </cell>
        </row>
        <row r="2292">
          <cell r="U2292" t="str">
            <v>L105764</v>
          </cell>
          <cell r="V2292" t="str">
            <v>Mayonesa kg</v>
          </cell>
          <cell r="W2292" t="str">
            <v>Ajuste</v>
          </cell>
          <cell r="X2292">
            <v>1.9</v>
          </cell>
          <cell r="Y2292">
            <v>1.9</v>
          </cell>
        </row>
        <row r="2293">
          <cell r="U2293" t="str">
            <v>L105165</v>
          </cell>
          <cell r="V2293" t="str">
            <v>MCR 2kg-CAJA</v>
          </cell>
          <cell r="W2293" t="str">
            <v>Ajuste</v>
          </cell>
          <cell r="X2293">
            <v>10</v>
          </cell>
          <cell r="Y2293">
            <v>20</v>
          </cell>
        </row>
        <row r="2294">
          <cell r="U2294" t="str">
            <v>L105454</v>
          </cell>
          <cell r="V2294" t="str">
            <v>MCR 2kg-CAJA</v>
          </cell>
          <cell r="W2294" t="str">
            <v>Ajuste</v>
          </cell>
          <cell r="X2294">
            <v>350</v>
          </cell>
          <cell r="Y2294">
            <v>700</v>
          </cell>
        </row>
        <row r="2295">
          <cell r="U2295" t="str">
            <v>L105243</v>
          </cell>
          <cell r="V2295" t="str">
            <v>PTV 16 a 22kg</v>
          </cell>
          <cell r="W2295" t="str">
            <v>Ajuste</v>
          </cell>
          <cell r="X2295">
            <v>302</v>
          </cell>
          <cell r="Y2295">
            <v>5738</v>
          </cell>
        </row>
        <row r="2296">
          <cell r="U2296" t="str">
            <v>L105243</v>
          </cell>
          <cell r="V2296" t="str">
            <v>PTV 16 a 22kg</v>
          </cell>
          <cell r="W2296" t="str">
            <v>Reproceso</v>
          </cell>
          <cell r="X2296">
            <v>20</v>
          </cell>
          <cell r="Y2296">
            <v>380</v>
          </cell>
        </row>
        <row r="2297">
          <cell r="U2297" t="str">
            <v>L105243</v>
          </cell>
          <cell r="V2297" t="str">
            <v>MCR 5kg-CAJA</v>
          </cell>
          <cell r="W2297" t="str">
            <v>Ajuste</v>
          </cell>
          <cell r="X2297">
            <v>190</v>
          </cell>
          <cell r="Y2297">
            <v>950</v>
          </cell>
        </row>
        <row r="2298">
          <cell r="U2298" t="str">
            <v>l104977</v>
          </cell>
          <cell r="V2298" t="str">
            <v>MCR 5kg-CAJA</v>
          </cell>
          <cell r="W2298" t="str">
            <v>Ajuste</v>
          </cell>
          <cell r="X2298">
            <v>136</v>
          </cell>
          <cell r="Y2298">
            <v>680</v>
          </cell>
        </row>
        <row r="2299">
          <cell r="U2299" t="str">
            <v>L105909</v>
          </cell>
          <cell r="V2299" t="str">
            <v>MCR 5kg-CAJA</v>
          </cell>
          <cell r="W2299" t="str">
            <v>Ajuste</v>
          </cell>
          <cell r="X2299">
            <v>2</v>
          </cell>
          <cell r="Y2299">
            <v>10</v>
          </cell>
        </row>
        <row r="2300">
          <cell r="U2300" t="str">
            <v>L105054</v>
          </cell>
          <cell r="V2300" t="str">
            <v>MDM 5kg-CAJA</v>
          </cell>
          <cell r="W2300" t="str">
            <v>Ajuste</v>
          </cell>
          <cell r="X2300">
            <v>4</v>
          </cell>
          <cell r="Y2300">
            <v>20</v>
          </cell>
        </row>
        <row r="2301">
          <cell r="U2301" t="str">
            <v>L105210</v>
          </cell>
          <cell r="V2301" t="str">
            <v>MDM 5kg-CAJA</v>
          </cell>
          <cell r="W2301" t="str">
            <v>Ajuste</v>
          </cell>
          <cell r="X2301">
            <v>2</v>
          </cell>
          <cell r="Y2301">
            <v>10</v>
          </cell>
        </row>
        <row r="2302">
          <cell r="U2302" t="str">
            <v>L105047</v>
          </cell>
          <cell r="V2302" t="str">
            <v>MDP 5kg</v>
          </cell>
          <cell r="W2302" t="str">
            <v>Ajuste</v>
          </cell>
          <cell r="X2302">
            <v>280</v>
          </cell>
          <cell r="Y2302">
            <v>1400</v>
          </cell>
        </row>
        <row r="2303">
          <cell r="U2303" t="str">
            <v>L105046</v>
          </cell>
          <cell r="V2303" t="str">
            <v>MDPAY 5kg</v>
          </cell>
          <cell r="W2303" t="str">
            <v>Ajuste</v>
          </cell>
          <cell r="X2303">
            <v>120</v>
          </cell>
          <cell r="Y2303">
            <v>600</v>
          </cell>
        </row>
        <row r="2304">
          <cell r="U2304" t="str">
            <v>L105791</v>
          </cell>
          <cell r="V2304" t="str">
            <v>Menestra kg</v>
          </cell>
          <cell r="W2304" t="str">
            <v>Ajuste</v>
          </cell>
          <cell r="X2304">
            <v>2040</v>
          </cell>
          <cell r="Y2304">
            <v>2040</v>
          </cell>
        </row>
        <row r="2305">
          <cell r="U2305" t="str">
            <v>L104955</v>
          </cell>
          <cell r="V2305" t="str">
            <v>MERMA DE FRUVER 1 kg</v>
          </cell>
          <cell r="W2305" t="str">
            <v>Ajuste</v>
          </cell>
          <cell r="X2305">
            <v>64.2</v>
          </cell>
          <cell r="Y2305">
            <v>64.2</v>
          </cell>
        </row>
        <row r="2306">
          <cell r="U2306" t="str">
            <v>L104963</v>
          </cell>
          <cell r="V2306" t="str">
            <v>MERMA DE FRUVER 1 kg</v>
          </cell>
          <cell r="W2306" t="str">
            <v>Ajuste</v>
          </cell>
          <cell r="X2306">
            <v>28.46</v>
          </cell>
          <cell r="Y2306">
            <v>28.46</v>
          </cell>
        </row>
        <row r="2307">
          <cell r="U2307" t="str">
            <v>L104974</v>
          </cell>
          <cell r="V2307" t="str">
            <v>MERMA DE FRUVER 1 kg</v>
          </cell>
          <cell r="W2307" t="str">
            <v>Ajuste</v>
          </cell>
          <cell r="X2307">
            <v>90</v>
          </cell>
          <cell r="Y2307">
            <v>90</v>
          </cell>
        </row>
        <row r="2308">
          <cell r="U2308" t="str">
            <v>L105008</v>
          </cell>
          <cell r="V2308" t="str">
            <v>MERMA DE FRUVER 1 kg</v>
          </cell>
          <cell r="W2308" t="str">
            <v>Ajuste</v>
          </cell>
          <cell r="X2308">
            <v>41.52</v>
          </cell>
          <cell r="Y2308">
            <v>41.52</v>
          </cell>
        </row>
        <row r="2309">
          <cell r="U2309" t="str">
            <v>L105016</v>
          </cell>
          <cell r="V2309" t="str">
            <v>MERMA DE FRUVER 1 kg</v>
          </cell>
          <cell r="W2309" t="str">
            <v>Ajuste</v>
          </cell>
          <cell r="X2309">
            <v>148.52000000000001</v>
          </cell>
          <cell r="Y2309">
            <v>148.52000000000001</v>
          </cell>
        </row>
        <row r="2310">
          <cell r="U2310" t="str">
            <v>L105019</v>
          </cell>
          <cell r="V2310" t="str">
            <v>MERMA DE FRUVER 1 kg</v>
          </cell>
          <cell r="W2310" t="str">
            <v>Ajuste</v>
          </cell>
          <cell r="X2310">
            <v>60.26</v>
          </cell>
          <cell r="Y2310">
            <v>60.26</v>
          </cell>
        </row>
        <row r="2311">
          <cell r="U2311" t="str">
            <v>L105022</v>
          </cell>
          <cell r="V2311" t="str">
            <v>MERMA DE FRUVER 1 kg</v>
          </cell>
          <cell r="W2311" t="str">
            <v>Ajuste</v>
          </cell>
          <cell r="X2311">
            <v>8</v>
          </cell>
          <cell r="Y2311">
            <v>8</v>
          </cell>
        </row>
        <row r="2312">
          <cell r="U2312" t="str">
            <v>L105119</v>
          </cell>
          <cell r="V2312" t="str">
            <v>MERMA DE FRUVER 1 kg</v>
          </cell>
          <cell r="W2312" t="str">
            <v>Ajuste</v>
          </cell>
          <cell r="X2312">
            <v>74</v>
          </cell>
          <cell r="Y2312">
            <v>74</v>
          </cell>
        </row>
        <row r="2313">
          <cell r="U2313" t="str">
            <v>L105123</v>
          </cell>
          <cell r="V2313" t="str">
            <v>MERMA DE FRUVER 1 kg</v>
          </cell>
          <cell r="W2313" t="str">
            <v>Ajuste</v>
          </cell>
          <cell r="X2313">
            <v>40</v>
          </cell>
          <cell r="Y2313">
            <v>40</v>
          </cell>
        </row>
        <row r="2314">
          <cell r="U2314" t="str">
            <v>L105180</v>
          </cell>
          <cell r="V2314" t="str">
            <v>MERMA DE FRUVER 1 kg</v>
          </cell>
          <cell r="W2314" t="str">
            <v>Ajuste</v>
          </cell>
          <cell r="X2314">
            <v>42.94</v>
          </cell>
          <cell r="Y2314">
            <v>42.94</v>
          </cell>
        </row>
        <row r="2315">
          <cell r="U2315" t="str">
            <v>L105183</v>
          </cell>
          <cell r="V2315" t="str">
            <v>MERMA DE FRUVER 1 kg</v>
          </cell>
          <cell r="W2315" t="str">
            <v>Ajuste</v>
          </cell>
          <cell r="X2315">
            <v>11.6</v>
          </cell>
          <cell r="Y2315">
            <v>11.6</v>
          </cell>
        </row>
        <row r="2316">
          <cell r="U2316" t="str">
            <v>L105193</v>
          </cell>
          <cell r="V2316" t="str">
            <v>MERMA DE FRUVER 1 kg</v>
          </cell>
          <cell r="W2316" t="str">
            <v>Ajuste</v>
          </cell>
          <cell r="X2316">
            <v>20.04</v>
          </cell>
          <cell r="Y2316">
            <v>20.04</v>
          </cell>
        </row>
        <row r="2317">
          <cell r="U2317" t="str">
            <v>L105199</v>
          </cell>
          <cell r="V2317" t="str">
            <v>MERMA DE FRUVER 1 kg</v>
          </cell>
          <cell r="W2317" t="str">
            <v>Ajuste</v>
          </cell>
          <cell r="X2317">
            <v>13.22</v>
          </cell>
          <cell r="Y2317">
            <v>13.22</v>
          </cell>
        </row>
        <row r="2318">
          <cell r="U2318" t="str">
            <v>L105201</v>
          </cell>
          <cell r="V2318" t="str">
            <v>MERMA DE FRUVER 1 kg</v>
          </cell>
          <cell r="W2318" t="str">
            <v>Ajuste</v>
          </cell>
          <cell r="X2318">
            <v>100</v>
          </cell>
          <cell r="Y2318">
            <v>100</v>
          </cell>
        </row>
        <row r="2319">
          <cell r="U2319" t="str">
            <v>L105288</v>
          </cell>
          <cell r="V2319" t="str">
            <v>MERMA DE FRUVER 1 kg</v>
          </cell>
          <cell r="W2319" t="str">
            <v>Ajuste</v>
          </cell>
          <cell r="X2319">
            <v>11.5</v>
          </cell>
          <cell r="Y2319">
            <v>11.5</v>
          </cell>
        </row>
        <row r="2320">
          <cell r="U2320" t="str">
            <v>L105290</v>
          </cell>
          <cell r="V2320" t="str">
            <v>MERMA DE FRUVER 1 kg</v>
          </cell>
          <cell r="W2320" t="str">
            <v>Ajuste</v>
          </cell>
          <cell r="X2320">
            <v>75.739999999999995</v>
          </cell>
          <cell r="Y2320">
            <v>75.739999999999995</v>
          </cell>
        </row>
        <row r="2321">
          <cell r="U2321" t="str">
            <v>L105295</v>
          </cell>
          <cell r="V2321" t="str">
            <v>MERMA DE FRUVER 1 kg</v>
          </cell>
          <cell r="W2321" t="str">
            <v>Ajuste</v>
          </cell>
          <cell r="X2321">
            <v>26.5</v>
          </cell>
          <cell r="Y2321">
            <v>26.5</v>
          </cell>
        </row>
        <row r="2322">
          <cell r="U2322" t="str">
            <v>L105299</v>
          </cell>
          <cell r="V2322" t="str">
            <v>MERMA DE FRUVER 1 kg</v>
          </cell>
          <cell r="W2322" t="str">
            <v>Ajuste</v>
          </cell>
          <cell r="X2322">
            <v>270</v>
          </cell>
          <cell r="Y2322">
            <v>270</v>
          </cell>
        </row>
        <row r="2323">
          <cell r="U2323" t="str">
            <v>L105330</v>
          </cell>
          <cell r="V2323" t="str">
            <v>MERMA DE FRUVER 1 kg</v>
          </cell>
          <cell r="W2323" t="str">
            <v>Ajuste</v>
          </cell>
          <cell r="X2323">
            <v>12.38</v>
          </cell>
          <cell r="Y2323">
            <v>12.38</v>
          </cell>
        </row>
        <row r="2324">
          <cell r="U2324" t="str">
            <v>L105340</v>
          </cell>
          <cell r="V2324" t="str">
            <v>MERMA DE FRUVER 1 kg</v>
          </cell>
          <cell r="W2324" t="str">
            <v>Ajuste</v>
          </cell>
          <cell r="X2324">
            <v>48.92</v>
          </cell>
          <cell r="Y2324">
            <v>48.92</v>
          </cell>
        </row>
        <row r="2325">
          <cell r="U2325" t="str">
            <v>L105347</v>
          </cell>
          <cell r="V2325" t="str">
            <v>MERMA DE FRUVER 1 kg</v>
          </cell>
          <cell r="W2325" t="str">
            <v>Ajuste</v>
          </cell>
          <cell r="X2325">
            <v>25.2</v>
          </cell>
          <cell r="Y2325">
            <v>25.2</v>
          </cell>
        </row>
        <row r="2326">
          <cell r="U2326" t="str">
            <v>L105362</v>
          </cell>
          <cell r="V2326" t="str">
            <v>MERMA DE FRUVER 1 kg</v>
          </cell>
          <cell r="W2326" t="str">
            <v>Ajuste</v>
          </cell>
          <cell r="X2326">
            <v>120</v>
          </cell>
          <cell r="Y2326">
            <v>120</v>
          </cell>
        </row>
        <row r="2327">
          <cell r="U2327" t="str">
            <v>L105414</v>
          </cell>
          <cell r="V2327" t="str">
            <v>MERMA DE FRUVER 1 kg</v>
          </cell>
          <cell r="W2327" t="str">
            <v>Ajuste</v>
          </cell>
          <cell r="X2327">
            <v>31.56</v>
          </cell>
          <cell r="Y2327">
            <v>31.56</v>
          </cell>
        </row>
        <row r="2328">
          <cell r="U2328" t="str">
            <v>L105419</v>
          </cell>
          <cell r="V2328" t="str">
            <v>MERMA DE FRUVER 1 kg</v>
          </cell>
          <cell r="W2328" t="str">
            <v>Ajuste</v>
          </cell>
          <cell r="X2328">
            <v>17.14</v>
          </cell>
          <cell r="Y2328">
            <v>17.14</v>
          </cell>
        </row>
        <row r="2329">
          <cell r="U2329" t="str">
            <v>L105472</v>
          </cell>
          <cell r="V2329" t="str">
            <v>MERMA DE FRUVER 1 kg</v>
          </cell>
          <cell r="W2329" t="str">
            <v>Ajuste</v>
          </cell>
          <cell r="X2329">
            <v>23</v>
          </cell>
          <cell r="Y2329">
            <v>23</v>
          </cell>
        </row>
        <row r="2330">
          <cell r="U2330" t="str">
            <v>L105478</v>
          </cell>
          <cell r="V2330" t="str">
            <v>MERMA DE FRUVER 1 kg</v>
          </cell>
          <cell r="W2330" t="str">
            <v>Ajuste</v>
          </cell>
          <cell r="X2330">
            <v>71</v>
          </cell>
          <cell r="Y2330">
            <v>71</v>
          </cell>
        </row>
        <row r="2331">
          <cell r="U2331" t="str">
            <v>L105486</v>
          </cell>
          <cell r="V2331" t="str">
            <v>MERMA DE FRUVER 1 kg</v>
          </cell>
          <cell r="W2331" t="str">
            <v>Ajuste</v>
          </cell>
          <cell r="X2331">
            <v>160</v>
          </cell>
          <cell r="Y2331">
            <v>160</v>
          </cell>
        </row>
        <row r="2332">
          <cell r="U2332" t="str">
            <v>L105693</v>
          </cell>
          <cell r="V2332" t="str">
            <v>MERMA DE FRUVER 1 kg</v>
          </cell>
          <cell r="W2332" t="str">
            <v>Ajuste</v>
          </cell>
          <cell r="X2332">
            <v>49</v>
          </cell>
          <cell r="Y2332">
            <v>49</v>
          </cell>
        </row>
        <row r="2333">
          <cell r="U2333" t="str">
            <v>L105708</v>
          </cell>
          <cell r="V2333" t="str">
            <v>MERMA DE FRUVER 1 kg</v>
          </cell>
          <cell r="W2333" t="str">
            <v>Ajuste</v>
          </cell>
          <cell r="X2333">
            <v>10</v>
          </cell>
          <cell r="Y2333">
            <v>10</v>
          </cell>
        </row>
        <row r="2334">
          <cell r="U2334" t="str">
            <v>L105710</v>
          </cell>
          <cell r="V2334" t="str">
            <v>MERMA DE FRUVER 1 kg</v>
          </cell>
          <cell r="W2334" t="str">
            <v>Ajuste</v>
          </cell>
          <cell r="X2334">
            <v>32.6</v>
          </cell>
          <cell r="Y2334">
            <v>32.6</v>
          </cell>
        </row>
        <row r="2335">
          <cell r="U2335" t="str">
            <v>L105762</v>
          </cell>
          <cell r="V2335" t="str">
            <v>MERMA DE FRUVER 1 kg</v>
          </cell>
          <cell r="W2335" t="str">
            <v>Ajuste</v>
          </cell>
          <cell r="X2335">
            <v>27.04</v>
          </cell>
          <cell r="Y2335">
            <v>27.04</v>
          </cell>
        </row>
        <row r="2336">
          <cell r="U2336" t="str">
            <v>L105769</v>
          </cell>
          <cell r="V2336" t="str">
            <v>MERMA DE FRUVER 1 kg</v>
          </cell>
          <cell r="W2336" t="str">
            <v>Ajuste</v>
          </cell>
          <cell r="X2336">
            <v>8.5500000000000007</v>
          </cell>
          <cell r="Y2336">
            <v>8.5500000000000007</v>
          </cell>
        </row>
        <row r="2337">
          <cell r="U2337" t="str">
            <v>L105818</v>
          </cell>
          <cell r="V2337" t="str">
            <v>MERMA DE FRUVER 1 kg</v>
          </cell>
          <cell r="W2337" t="str">
            <v>Ajuste</v>
          </cell>
          <cell r="X2337">
            <v>5.1100000000000003</v>
          </cell>
          <cell r="Y2337">
            <v>5.1100000000000003</v>
          </cell>
        </row>
        <row r="2338">
          <cell r="U2338" t="str">
            <v>L105822</v>
          </cell>
          <cell r="V2338" t="str">
            <v>MERMA DE FRUVER 1 kg</v>
          </cell>
          <cell r="W2338" t="str">
            <v>Ajuste</v>
          </cell>
          <cell r="X2338">
            <v>7.27</v>
          </cell>
          <cell r="Y2338">
            <v>7.27</v>
          </cell>
        </row>
        <row r="2339">
          <cell r="U2339" t="str">
            <v>L105831</v>
          </cell>
          <cell r="V2339" t="str">
            <v>MERMA DE FRUVER 1 kg</v>
          </cell>
          <cell r="W2339" t="str">
            <v>Ajuste</v>
          </cell>
          <cell r="X2339">
            <v>2.6</v>
          </cell>
          <cell r="Y2339">
            <v>2.6</v>
          </cell>
        </row>
        <row r="2340">
          <cell r="U2340" t="str">
            <v>L105837</v>
          </cell>
          <cell r="V2340" t="str">
            <v>MERMA DE FRUVER 1 kg</v>
          </cell>
          <cell r="W2340" t="str">
            <v>Ajuste</v>
          </cell>
          <cell r="X2340">
            <v>28.2</v>
          </cell>
          <cell r="Y2340">
            <v>28.2</v>
          </cell>
        </row>
        <row r="2341">
          <cell r="U2341" t="str">
            <v>L105904</v>
          </cell>
          <cell r="V2341" t="str">
            <v>MERMA DE FRUVER 1 kg</v>
          </cell>
          <cell r="W2341" t="str">
            <v>Ajuste</v>
          </cell>
          <cell r="X2341">
            <v>57.34</v>
          </cell>
          <cell r="Y2341">
            <v>57.34</v>
          </cell>
        </row>
        <row r="2342">
          <cell r="U2342" t="str">
            <v>L105917</v>
          </cell>
          <cell r="V2342" t="str">
            <v>MERMA DE FRUVER 1 kg</v>
          </cell>
          <cell r="W2342" t="str">
            <v>Ajuste</v>
          </cell>
          <cell r="X2342">
            <v>208</v>
          </cell>
          <cell r="Y2342">
            <v>208</v>
          </cell>
        </row>
        <row r="2343">
          <cell r="U2343" t="str">
            <v>L105252</v>
          </cell>
          <cell r="V2343" t="str">
            <v>Merma KG</v>
          </cell>
          <cell r="W2343" t="str">
            <v>Ajuste</v>
          </cell>
          <cell r="X2343">
            <v>38</v>
          </cell>
          <cell r="Y2343">
            <v>38</v>
          </cell>
        </row>
        <row r="2344">
          <cell r="U2344" t="str">
            <v>L105411</v>
          </cell>
          <cell r="V2344" t="str">
            <v>Merma KG</v>
          </cell>
          <cell r="W2344" t="str">
            <v>Ajuste</v>
          </cell>
          <cell r="X2344">
            <v>18.5</v>
          </cell>
          <cell r="Y2344">
            <v>18.5</v>
          </cell>
        </row>
        <row r="2345">
          <cell r="U2345" t="str">
            <v>L105044</v>
          </cell>
          <cell r="V2345" t="str">
            <v>MLCT 3Kg</v>
          </cell>
          <cell r="W2345" t="str">
            <v>Ajuste</v>
          </cell>
          <cell r="X2345">
            <v>4</v>
          </cell>
          <cell r="Y2345">
            <v>12</v>
          </cell>
        </row>
        <row r="2346">
          <cell r="U2346" t="str">
            <v>L105211</v>
          </cell>
          <cell r="V2346" t="str">
            <v>MLCT 3Kg</v>
          </cell>
          <cell r="W2346" t="str">
            <v>Ajuste</v>
          </cell>
          <cell r="X2346">
            <v>2</v>
          </cell>
          <cell r="Y2346">
            <v>6</v>
          </cell>
        </row>
        <row r="2347">
          <cell r="U2347" t="str">
            <v>L105269</v>
          </cell>
          <cell r="V2347" t="str">
            <v>MNS 10Kg-PAQUETE</v>
          </cell>
          <cell r="W2347" t="str">
            <v>Ajuste</v>
          </cell>
          <cell r="X2347">
            <v>400</v>
          </cell>
          <cell r="Y2347">
            <v>4000</v>
          </cell>
        </row>
        <row r="2348">
          <cell r="U2348" t="str">
            <v>L105790</v>
          </cell>
          <cell r="V2348" t="str">
            <v>MNS 10Kg-PAQUETE</v>
          </cell>
          <cell r="W2348" t="str">
            <v>Ajuste</v>
          </cell>
          <cell r="X2348">
            <v>996</v>
          </cell>
          <cell r="Y2348">
            <v>9960</v>
          </cell>
        </row>
        <row r="2349">
          <cell r="U2349" t="str">
            <v>L105316</v>
          </cell>
          <cell r="V2349" t="str">
            <v>MNS 2kg-PAQUETE</v>
          </cell>
          <cell r="W2349" t="str">
            <v>Ajuste</v>
          </cell>
          <cell r="X2349">
            <v>20</v>
          </cell>
          <cell r="Y2349">
            <v>40</v>
          </cell>
        </row>
        <row r="2350">
          <cell r="U2350" t="str">
            <v>L105149</v>
          </cell>
          <cell r="V2350" t="str">
            <v>MNS 2kg-PAQUETE</v>
          </cell>
          <cell r="W2350" t="str">
            <v>Ajuste</v>
          </cell>
          <cell r="X2350">
            <v>14</v>
          </cell>
          <cell r="Y2350">
            <v>28</v>
          </cell>
        </row>
        <row r="2351">
          <cell r="U2351" t="str">
            <v>L105532</v>
          </cell>
          <cell r="V2351" t="str">
            <v>MNS 2kg-PAQUETE</v>
          </cell>
          <cell r="W2351" t="str">
            <v>Ajuste</v>
          </cell>
          <cell r="X2351">
            <v>20</v>
          </cell>
          <cell r="Y2351">
            <v>40</v>
          </cell>
        </row>
        <row r="2352">
          <cell r="U2352" t="str">
            <v>L105631</v>
          </cell>
          <cell r="V2352" t="str">
            <v>MNS 2kg-PAQUETE</v>
          </cell>
          <cell r="W2352" t="str">
            <v>Ajuste</v>
          </cell>
          <cell r="X2352">
            <v>2</v>
          </cell>
          <cell r="Y2352">
            <v>4</v>
          </cell>
        </row>
        <row r="2353">
          <cell r="U2353" t="str">
            <v>L105135</v>
          </cell>
          <cell r="V2353" t="str">
            <v>MRL 2kg</v>
          </cell>
          <cell r="W2353" t="str">
            <v>Ajuste</v>
          </cell>
          <cell r="X2353">
            <v>2</v>
          </cell>
          <cell r="Y2353">
            <v>4</v>
          </cell>
        </row>
        <row r="2354">
          <cell r="U2354" t="str">
            <v>L105872</v>
          </cell>
          <cell r="V2354" t="str">
            <v>MRL 2kg</v>
          </cell>
          <cell r="W2354" t="str">
            <v>Ajuste</v>
          </cell>
          <cell r="X2354">
            <v>2</v>
          </cell>
          <cell r="Y2354">
            <v>4</v>
          </cell>
        </row>
        <row r="2355">
          <cell r="U2355" t="str">
            <v>L105138</v>
          </cell>
          <cell r="V2355" t="str">
            <v>MRL 3kg</v>
          </cell>
          <cell r="W2355" t="str">
            <v>Ajuste</v>
          </cell>
          <cell r="X2355">
            <v>6</v>
          </cell>
          <cell r="Y2355">
            <v>18</v>
          </cell>
        </row>
        <row r="2356">
          <cell r="U2356" t="str">
            <v>L105649</v>
          </cell>
          <cell r="V2356" t="str">
            <v>MSDP 5kg</v>
          </cell>
          <cell r="W2356" t="str">
            <v>Ajuste</v>
          </cell>
          <cell r="X2356">
            <v>420</v>
          </cell>
          <cell r="Y2356">
            <v>2100</v>
          </cell>
        </row>
        <row r="2357">
          <cell r="U2357" t="str">
            <v>L105887</v>
          </cell>
          <cell r="V2357" t="str">
            <v>MYN 2kg - Caja</v>
          </cell>
          <cell r="W2357" t="str">
            <v>Ajuste</v>
          </cell>
          <cell r="X2357">
            <v>12</v>
          </cell>
          <cell r="Y2357">
            <v>24</v>
          </cell>
        </row>
        <row r="2358">
          <cell r="U2358" t="str">
            <v>L105915</v>
          </cell>
          <cell r="V2358" t="str">
            <v>MYN 2kg - Caja</v>
          </cell>
          <cell r="W2358" t="str">
            <v>Ajuste</v>
          </cell>
          <cell r="X2358">
            <v>2</v>
          </cell>
          <cell r="Y2358">
            <v>4</v>
          </cell>
        </row>
        <row r="2359">
          <cell r="U2359" t="str">
            <v>L105523</v>
          </cell>
          <cell r="V2359" t="str">
            <v>AZC 2kg-PAQUETE</v>
          </cell>
          <cell r="W2359" t="str">
            <v>Ajuste</v>
          </cell>
          <cell r="X2359">
            <v>20</v>
          </cell>
          <cell r="Y2359">
            <v>40</v>
          </cell>
        </row>
        <row r="2360">
          <cell r="U2360" t="str">
            <v>L105523</v>
          </cell>
          <cell r="V2360" t="str">
            <v>MYN 3kg - Caja</v>
          </cell>
          <cell r="W2360" t="str">
            <v>Ajuste</v>
          </cell>
          <cell r="X2360">
            <v>32</v>
          </cell>
          <cell r="Y2360">
            <v>96</v>
          </cell>
        </row>
        <row r="2361">
          <cell r="U2361" t="str">
            <v>L105524</v>
          </cell>
          <cell r="V2361" t="str">
            <v>MYN 3kg - Caja</v>
          </cell>
          <cell r="W2361" t="str">
            <v>Ajuste</v>
          </cell>
          <cell r="X2361">
            <v>2</v>
          </cell>
          <cell r="Y2361">
            <v>6</v>
          </cell>
        </row>
        <row r="2362">
          <cell r="U2362" t="str">
            <v>L105888</v>
          </cell>
          <cell r="V2362" t="str">
            <v>MYN 3kg - Caja</v>
          </cell>
          <cell r="W2362" t="str">
            <v>Ajuste</v>
          </cell>
          <cell r="X2362">
            <v>2</v>
          </cell>
          <cell r="Y2362">
            <v>6</v>
          </cell>
        </row>
        <row r="2363">
          <cell r="U2363" t="str">
            <v>L105889</v>
          </cell>
          <cell r="V2363" t="str">
            <v>MYN 3kg - Caja</v>
          </cell>
          <cell r="W2363" t="str">
            <v>Ajuste</v>
          </cell>
          <cell r="X2363">
            <v>2</v>
          </cell>
          <cell r="Y2363">
            <v>6</v>
          </cell>
        </row>
        <row r="2364">
          <cell r="U2364" t="str">
            <v>L105890</v>
          </cell>
          <cell r="V2364" t="str">
            <v>MYN 3kg - Caja</v>
          </cell>
          <cell r="W2364" t="str">
            <v>Ajuste</v>
          </cell>
          <cell r="X2364">
            <v>2</v>
          </cell>
          <cell r="Y2364">
            <v>6</v>
          </cell>
        </row>
        <row r="2365">
          <cell r="U2365" t="str">
            <v>L105891</v>
          </cell>
          <cell r="V2365" t="str">
            <v>MYN 3kg - Caja</v>
          </cell>
          <cell r="W2365" t="str">
            <v>Ajuste</v>
          </cell>
          <cell r="X2365">
            <v>2</v>
          </cell>
          <cell r="Y2365">
            <v>6</v>
          </cell>
        </row>
        <row r="2366">
          <cell r="U2366" t="str">
            <v>L105892</v>
          </cell>
          <cell r="V2366" t="str">
            <v>MYN 3kg - Caja</v>
          </cell>
          <cell r="W2366" t="str">
            <v>Ajuste</v>
          </cell>
          <cell r="X2366">
            <v>2</v>
          </cell>
          <cell r="Y2366">
            <v>6</v>
          </cell>
        </row>
        <row r="2367">
          <cell r="U2367" t="str">
            <v>l105646</v>
          </cell>
          <cell r="V2367" t="str">
            <v>MZL 3kg</v>
          </cell>
          <cell r="W2367" t="str">
            <v>Ajuste</v>
          </cell>
          <cell r="X2367">
            <v>6</v>
          </cell>
          <cell r="Y2367">
            <v>18</v>
          </cell>
        </row>
        <row r="2368">
          <cell r="U2368" t="str">
            <v>L105839</v>
          </cell>
          <cell r="V2368" t="str">
            <v>MZL 3kg</v>
          </cell>
          <cell r="W2368" t="str">
            <v>Ajuste</v>
          </cell>
          <cell r="X2368">
            <v>2</v>
          </cell>
          <cell r="Y2368">
            <v>6</v>
          </cell>
        </row>
        <row r="2369">
          <cell r="U2369" t="str">
            <v>L105051</v>
          </cell>
          <cell r="V2369" t="str">
            <v>MZL 5kg</v>
          </cell>
          <cell r="W2369" t="str">
            <v>Ajuste</v>
          </cell>
          <cell r="X2369">
            <v>13</v>
          </cell>
          <cell r="Y2369">
            <v>65</v>
          </cell>
        </row>
        <row r="2370">
          <cell r="U2370" t="str">
            <v>L105163</v>
          </cell>
          <cell r="V2370" t="str">
            <v>MZL 5kg</v>
          </cell>
          <cell r="W2370" t="str">
            <v>Ajuste</v>
          </cell>
          <cell r="X2370">
            <v>4</v>
          </cell>
          <cell r="Y2370">
            <v>20</v>
          </cell>
        </row>
        <row r="2371">
          <cell r="U2371" t="str">
            <v>L105380</v>
          </cell>
          <cell r="V2371" t="str">
            <v>MZL 5kg</v>
          </cell>
          <cell r="W2371" t="str">
            <v>Ajuste</v>
          </cell>
          <cell r="X2371">
            <v>10</v>
          </cell>
          <cell r="Y2371">
            <v>50</v>
          </cell>
        </row>
        <row r="2372">
          <cell r="U2372" t="str">
            <v>L105102</v>
          </cell>
          <cell r="V2372" t="str">
            <v>NV ACE 12x900ml-CAJA</v>
          </cell>
          <cell r="W2372" t="str">
            <v>Ajuste</v>
          </cell>
          <cell r="X2372">
            <v>630</v>
          </cell>
          <cell r="Y2372">
            <v>6804</v>
          </cell>
        </row>
        <row r="2373">
          <cell r="U2373" t="str">
            <v>L105102</v>
          </cell>
          <cell r="V2373" t="str">
            <v>NV ACE 12x900ml-CAJA</v>
          </cell>
          <cell r="W2373" t="str">
            <v>Reproceso</v>
          </cell>
          <cell r="X2373">
            <v>30</v>
          </cell>
          <cell r="Y2373">
            <v>324</v>
          </cell>
        </row>
        <row r="2374">
          <cell r="U2374" t="str">
            <v>L105102</v>
          </cell>
          <cell r="V2374" t="str">
            <v>NV ACE 1x900ml-UNI</v>
          </cell>
          <cell r="W2374" t="str">
            <v>Ajuste</v>
          </cell>
          <cell r="X2374">
            <v>720</v>
          </cell>
          <cell r="Y2374">
            <v>648.00000000000034</v>
          </cell>
        </row>
        <row r="2375">
          <cell r="U2375" t="str">
            <v>l105108</v>
          </cell>
          <cell r="V2375" t="str">
            <v>NV ARJ 1X1LB-UNI</v>
          </cell>
          <cell r="W2375" t="str">
            <v>Ajuste</v>
          </cell>
          <cell r="X2375">
            <v>1110</v>
          </cell>
          <cell r="Y2375">
            <v>466.19999999999987</v>
          </cell>
        </row>
        <row r="2376">
          <cell r="U2376" t="str">
            <v>L105107</v>
          </cell>
          <cell r="V2376" t="str">
            <v>NV ARJ 25X1LB-CAJA</v>
          </cell>
          <cell r="W2376" t="str">
            <v>Ajuste</v>
          </cell>
          <cell r="X2376">
            <v>136</v>
          </cell>
          <cell r="Y2376">
            <v>1540.8800000000006</v>
          </cell>
        </row>
        <row r="2377">
          <cell r="U2377" t="str">
            <v>L105107</v>
          </cell>
          <cell r="V2377" t="str">
            <v>NV ARJ 25X1LB-CAJA</v>
          </cell>
          <cell r="W2377" t="str">
            <v>Reproceso</v>
          </cell>
          <cell r="X2377">
            <v>22</v>
          </cell>
          <cell r="Y2377">
            <v>249.26</v>
          </cell>
        </row>
        <row r="2378">
          <cell r="U2378" t="str">
            <v>L104982</v>
          </cell>
          <cell r="V2378" t="str">
            <v>NV ARZ 10x5lb-CAJA</v>
          </cell>
          <cell r="W2378" t="str">
            <v>Ajuste</v>
          </cell>
          <cell r="X2378">
            <v>786</v>
          </cell>
          <cell r="Y2378">
            <v>17818.620000000014</v>
          </cell>
        </row>
        <row r="2379">
          <cell r="U2379" t="str">
            <v>L104982</v>
          </cell>
          <cell r="V2379" t="str">
            <v>NV ARZ 10x5lb-CAJA</v>
          </cell>
          <cell r="W2379" t="str">
            <v>Reproceso</v>
          </cell>
          <cell r="X2379">
            <v>12</v>
          </cell>
          <cell r="Y2379">
            <v>272.04000000000002</v>
          </cell>
        </row>
        <row r="2380">
          <cell r="U2380" t="str">
            <v>L104982</v>
          </cell>
          <cell r="V2380" t="str">
            <v>NV ARZ 1x5lb-UNI</v>
          </cell>
          <cell r="W2380" t="str">
            <v>Ajuste</v>
          </cell>
          <cell r="X2380">
            <v>244</v>
          </cell>
          <cell r="Y2380">
            <v>551.43999999999983</v>
          </cell>
        </row>
        <row r="2381">
          <cell r="U2381" t="str">
            <v>l105092</v>
          </cell>
          <cell r="V2381" t="str">
            <v>NV ATN 1x170g-UNIDAD</v>
          </cell>
          <cell r="W2381" t="str">
            <v>Ajuste</v>
          </cell>
          <cell r="X2381">
            <v>2256</v>
          </cell>
          <cell r="Y2381">
            <v>383.51999999999992</v>
          </cell>
        </row>
        <row r="2382">
          <cell r="U2382" t="str">
            <v>L104992</v>
          </cell>
          <cell r="V2382" t="str">
            <v>NV ATN 1x170g-UNIDAD</v>
          </cell>
          <cell r="W2382" t="str">
            <v>Ajuste</v>
          </cell>
          <cell r="X2382">
            <v>40</v>
          </cell>
          <cell r="Y2382">
            <v>6.8000000000000007</v>
          </cell>
        </row>
        <row r="2383">
          <cell r="U2383" t="str">
            <v>L104990</v>
          </cell>
          <cell r="V2383" t="str">
            <v>NV ATN 48x170g-CAJA</v>
          </cell>
          <cell r="W2383" t="str">
            <v>Ajuste</v>
          </cell>
          <cell r="X2383">
            <v>20</v>
          </cell>
          <cell r="Y2383">
            <v>163.19999999999999</v>
          </cell>
        </row>
        <row r="2384">
          <cell r="U2384" t="str">
            <v>L105090</v>
          </cell>
          <cell r="V2384" t="str">
            <v>NV ATN 48x170g-CAJA</v>
          </cell>
          <cell r="W2384" t="str">
            <v>Ajuste</v>
          </cell>
          <cell r="X2384">
            <v>141</v>
          </cell>
          <cell r="Y2384">
            <v>1150.5600000000004</v>
          </cell>
        </row>
        <row r="2385">
          <cell r="U2385" t="str">
            <v>L105090</v>
          </cell>
          <cell r="V2385" t="str">
            <v>NV ATN 48x170g-CAJA</v>
          </cell>
          <cell r="W2385" t="str">
            <v>Reproceso</v>
          </cell>
          <cell r="X2385">
            <v>23</v>
          </cell>
          <cell r="Y2385">
            <v>187.67999999999998</v>
          </cell>
        </row>
        <row r="2386">
          <cell r="U2386" t="str">
            <v>l104983</v>
          </cell>
          <cell r="V2386" t="str">
            <v>NV AZC 25 x 800g-CAJA</v>
          </cell>
          <cell r="W2386" t="str">
            <v>Ajuste</v>
          </cell>
          <cell r="X2386">
            <v>170</v>
          </cell>
          <cell r="Y2386">
            <v>3400</v>
          </cell>
        </row>
        <row r="2387">
          <cell r="U2387" t="str">
            <v>l104983</v>
          </cell>
          <cell r="V2387" t="str">
            <v>NV AZC 25 x 800g-CAJA</v>
          </cell>
          <cell r="W2387" t="str">
            <v>Reproceso</v>
          </cell>
          <cell r="X2387">
            <v>21</v>
          </cell>
          <cell r="Y2387">
            <v>420</v>
          </cell>
        </row>
        <row r="2388">
          <cell r="U2388" t="str">
            <v>l104983</v>
          </cell>
          <cell r="V2388" t="str">
            <v>NV AZC 25 x 800g-CAJA</v>
          </cell>
          <cell r="W2388" t="str">
            <v>Transformacion a unidades - Programas</v>
          </cell>
          <cell r="X2388">
            <v>35</v>
          </cell>
          <cell r="Y2388">
            <v>700</v>
          </cell>
        </row>
        <row r="2389">
          <cell r="U2389" t="str">
            <v>l104983</v>
          </cell>
          <cell r="V2389" t="str">
            <v>NV AZC 1 x 800g-UNI</v>
          </cell>
          <cell r="W2389" t="str">
            <v>Ajuste</v>
          </cell>
          <cell r="X2389">
            <v>3882</v>
          </cell>
          <cell r="Y2389">
            <v>3105.6000000000004</v>
          </cell>
        </row>
        <row r="2390">
          <cell r="U2390" t="str">
            <v>l105079</v>
          </cell>
          <cell r="V2390" t="str">
            <v>NV CRAVE 24X320g-CAJA</v>
          </cell>
          <cell r="W2390" t="str">
            <v>Ajuste</v>
          </cell>
          <cell r="X2390">
            <v>141</v>
          </cell>
          <cell r="Y2390">
            <v>1082.8799999999997</v>
          </cell>
        </row>
        <row r="2391">
          <cell r="U2391" t="str">
            <v>l105079</v>
          </cell>
          <cell r="V2391" t="str">
            <v>NV CRAVE 24X320g-CAJA</v>
          </cell>
          <cell r="W2391" t="str">
            <v>Reproceso</v>
          </cell>
          <cell r="X2391">
            <v>23</v>
          </cell>
          <cell r="Y2391">
            <v>176.64</v>
          </cell>
        </row>
        <row r="2392">
          <cell r="U2392" t="str">
            <v>l105079</v>
          </cell>
          <cell r="V2392" t="str">
            <v>NV CRAVE 1X320g-UNI</v>
          </cell>
          <cell r="W2392" t="str">
            <v>Ajuste</v>
          </cell>
          <cell r="X2392">
            <v>1104</v>
          </cell>
          <cell r="Y2392">
            <v>353.27999999999975</v>
          </cell>
        </row>
        <row r="2393">
          <cell r="U2393" t="str">
            <v>l105083</v>
          </cell>
          <cell r="V2393" t="str">
            <v>NV CRMAIZ 24X320g-CAJA</v>
          </cell>
          <cell r="W2393" t="str">
            <v>Ajuste</v>
          </cell>
          <cell r="X2393">
            <v>141</v>
          </cell>
          <cell r="Y2393">
            <v>1082.8799999999997</v>
          </cell>
        </row>
        <row r="2394">
          <cell r="U2394" t="str">
            <v>l105083</v>
          </cell>
          <cell r="V2394" t="str">
            <v>NV CRMAIZ 24X320g-CAJA</v>
          </cell>
          <cell r="W2394" t="str">
            <v>Reproceso</v>
          </cell>
          <cell r="X2394">
            <v>23</v>
          </cell>
          <cell r="Y2394">
            <v>176.64</v>
          </cell>
        </row>
        <row r="2395">
          <cell r="U2395" t="str">
            <v>l105083</v>
          </cell>
          <cell r="V2395" t="str">
            <v>NV CRMAIZ 1X320g-UNI</v>
          </cell>
          <cell r="W2395" t="str">
            <v>Ajuste</v>
          </cell>
          <cell r="X2395">
            <v>1104</v>
          </cell>
          <cell r="Y2395">
            <v>353.27999999999975</v>
          </cell>
        </row>
        <row r="2396">
          <cell r="U2396" t="str">
            <v>l105084</v>
          </cell>
          <cell r="V2396" t="str">
            <v>NV HAR 24 x 454g-CAJA</v>
          </cell>
          <cell r="W2396" t="str">
            <v>Ajuste</v>
          </cell>
          <cell r="X2396">
            <v>303</v>
          </cell>
          <cell r="Y2396">
            <v>3299.6699999999987</v>
          </cell>
        </row>
        <row r="2397">
          <cell r="U2397" t="str">
            <v>l105084</v>
          </cell>
          <cell r="V2397" t="str">
            <v>NV HAR 24 x 454g-CAJA</v>
          </cell>
          <cell r="W2397" t="str">
            <v>Reproceso</v>
          </cell>
          <cell r="X2397">
            <v>27</v>
          </cell>
          <cell r="Y2397">
            <v>294.03000000000003</v>
          </cell>
        </row>
        <row r="2398">
          <cell r="U2398" t="str">
            <v>l105084</v>
          </cell>
          <cell r="V2398" t="str">
            <v>NV HAR 1 x 454g-UNI</v>
          </cell>
          <cell r="W2398" t="str">
            <v>Ajuste</v>
          </cell>
          <cell r="X2398">
            <v>1296</v>
          </cell>
          <cell r="Y2398">
            <v>583.19999999999982</v>
          </cell>
        </row>
        <row r="2399">
          <cell r="U2399" t="str">
            <v>l105087</v>
          </cell>
          <cell r="V2399" t="str">
            <v>NV LCH 1X400g-UNI</v>
          </cell>
          <cell r="W2399" t="str">
            <v>Ajuste</v>
          </cell>
          <cell r="X2399">
            <v>1128</v>
          </cell>
          <cell r="Y2399">
            <v>451.19999999999993</v>
          </cell>
        </row>
        <row r="2400">
          <cell r="U2400" t="str">
            <v>L105085</v>
          </cell>
          <cell r="V2400" t="str">
            <v>NV LCH 24X400g-CAJA</v>
          </cell>
          <cell r="W2400" t="str">
            <v>Ajuste</v>
          </cell>
          <cell r="X2400">
            <v>141</v>
          </cell>
          <cell r="Y2400">
            <v>1353.6000000000001</v>
          </cell>
        </row>
        <row r="2401">
          <cell r="U2401" t="str">
            <v>L105085</v>
          </cell>
          <cell r="V2401" t="str">
            <v>NV LCH 24X400g-CAJA</v>
          </cell>
          <cell r="W2401" t="str">
            <v>Reproceso</v>
          </cell>
          <cell r="X2401">
            <v>23</v>
          </cell>
          <cell r="Y2401">
            <v>220.8</v>
          </cell>
        </row>
        <row r="2402">
          <cell r="U2402" t="str">
            <v>l105105</v>
          </cell>
          <cell r="V2402" t="str">
            <v>NV LTJ 1X1Lb-UNI</v>
          </cell>
          <cell r="W2402" t="str">
            <v>Ajuste</v>
          </cell>
          <cell r="X2402">
            <v>1320</v>
          </cell>
          <cell r="Y2402">
            <v>593.99999999999977</v>
          </cell>
        </row>
        <row r="2403">
          <cell r="U2403" t="str">
            <v>L105104</v>
          </cell>
          <cell r="V2403" t="str">
            <v>NV LTJ 25X1Lb-CAJA</v>
          </cell>
          <cell r="W2403" t="str">
            <v>Ajuste</v>
          </cell>
          <cell r="X2403">
            <v>290</v>
          </cell>
          <cell r="Y2403">
            <v>3285.7</v>
          </cell>
        </row>
        <row r="2404">
          <cell r="U2404" t="str">
            <v>L105104</v>
          </cell>
          <cell r="V2404" t="str">
            <v>NV LTJ 25X1Lb-CAJA</v>
          </cell>
          <cell r="W2404" t="str">
            <v>Reproceso</v>
          </cell>
          <cell r="X2404">
            <v>26</v>
          </cell>
          <cell r="Y2404">
            <v>294.58</v>
          </cell>
        </row>
        <row r="2405">
          <cell r="U2405" t="str">
            <v>l104984</v>
          </cell>
          <cell r="V2405" t="str">
            <v>NV SAL 1X454g-UNI</v>
          </cell>
          <cell r="W2405" t="str">
            <v>Ajuste</v>
          </cell>
          <cell r="X2405">
            <v>1260</v>
          </cell>
          <cell r="Y2405">
            <v>566.99999999999955</v>
          </cell>
        </row>
        <row r="2406">
          <cell r="U2406" t="str">
            <v>l104984</v>
          </cell>
          <cell r="V2406" t="str">
            <v>NV SAL 30X454g-CAJA</v>
          </cell>
          <cell r="W2406" t="str">
            <v>Ajuste</v>
          </cell>
          <cell r="X2406">
            <v>111</v>
          </cell>
          <cell r="Y2406">
            <v>1511.8199999999986</v>
          </cell>
        </row>
        <row r="2407">
          <cell r="U2407" t="str">
            <v>l104984</v>
          </cell>
          <cell r="V2407" t="str">
            <v>NV SAL 30X454g-CAJA</v>
          </cell>
          <cell r="W2407" t="str">
            <v>Reproceso</v>
          </cell>
          <cell r="X2407">
            <v>21</v>
          </cell>
          <cell r="Y2407">
            <v>286.02</v>
          </cell>
        </row>
        <row r="2408">
          <cell r="U2408" t="str">
            <v>l105103</v>
          </cell>
          <cell r="V2408" t="str">
            <v>NV SPAGUETTIS 1 x 454G-UNI</v>
          </cell>
          <cell r="W2408" t="str">
            <v>Ajuste</v>
          </cell>
          <cell r="X2408">
            <v>400</v>
          </cell>
          <cell r="Y2408">
            <v>180</v>
          </cell>
        </row>
        <row r="2409">
          <cell r="U2409" t="str">
            <v>l105103</v>
          </cell>
          <cell r="V2409" t="str">
            <v>NV SPAGUETTIS 20 x 454G-CAJA</v>
          </cell>
          <cell r="W2409" t="str">
            <v>Ajuste</v>
          </cell>
          <cell r="X2409">
            <v>784</v>
          </cell>
          <cell r="Y2409">
            <v>7118.7199999999966</v>
          </cell>
        </row>
        <row r="2410">
          <cell r="U2410" t="str">
            <v>l105103</v>
          </cell>
          <cell r="V2410" t="str">
            <v>NV SPAGUETTIS 20 x 454G-CAJA</v>
          </cell>
          <cell r="W2410" t="str">
            <v>Reproceso</v>
          </cell>
          <cell r="X2410">
            <v>10</v>
          </cell>
          <cell r="Y2410">
            <v>90.8</v>
          </cell>
        </row>
        <row r="2411">
          <cell r="U2411" t="str">
            <v>l105100</v>
          </cell>
          <cell r="V2411" t="str">
            <v>NV SRD 1X15 OZ-UNI</v>
          </cell>
          <cell r="W2411" t="str">
            <v>Ajuste</v>
          </cell>
          <cell r="X2411">
            <v>1032</v>
          </cell>
          <cell r="Y2411">
            <v>433.43999999999983</v>
          </cell>
        </row>
        <row r="2412">
          <cell r="U2412" t="str">
            <v>l105099</v>
          </cell>
          <cell r="V2412" t="str">
            <v>NV SRD 24X15 OZ-CAJA</v>
          </cell>
          <cell r="W2412" t="str">
            <v>Ajuste</v>
          </cell>
          <cell r="X2412">
            <v>141</v>
          </cell>
          <cell r="Y2412">
            <v>1438.2000000000012</v>
          </cell>
        </row>
        <row r="2413">
          <cell r="U2413" t="str">
            <v>l105099</v>
          </cell>
          <cell r="V2413" t="str">
            <v>NV SRD 24X15 OZ-CAJA</v>
          </cell>
          <cell r="W2413" t="str">
            <v>Reproceso</v>
          </cell>
          <cell r="X2413">
            <v>23</v>
          </cell>
          <cell r="Y2413">
            <v>234.6</v>
          </cell>
        </row>
        <row r="2414">
          <cell r="U2414" t="str">
            <v>l105099</v>
          </cell>
          <cell r="V2414" t="str">
            <v>NV SRD 1X15 OZ-UNI</v>
          </cell>
          <cell r="W2414" t="str">
            <v>Ajuste</v>
          </cell>
          <cell r="X2414">
            <v>96</v>
          </cell>
          <cell r="Y2414">
            <v>40.320000000000007</v>
          </cell>
        </row>
        <row r="2415">
          <cell r="U2415" t="str">
            <v>l105098</v>
          </cell>
          <cell r="V2415" t="str">
            <v>NV SRD 1X5.5 ONZ-UNI</v>
          </cell>
          <cell r="W2415" t="str">
            <v>Ajuste</v>
          </cell>
          <cell r="X2415">
            <v>2220</v>
          </cell>
          <cell r="Y2415">
            <v>333.00000000000023</v>
          </cell>
        </row>
        <row r="2416">
          <cell r="U2416" t="str">
            <v>L104995</v>
          </cell>
          <cell r="V2416" t="str">
            <v>NV SRD 50X5.5 ONZ-CAJA</v>
          </cell>
          <cell r="W2416" t="str">
            <v>Ajuste</v>
          </cell>
          <cell r="X2416">
            <v>20</v>
          </cell>
          <cell r="Y2416">
            <v>155.80000000000001</v>
          </cell>
        </row>
        <row r="2417">
          <cell r="U2417" t="str">
            <v>L105095</v>
          </cell>
          <cell r="V2417" t="str">
            <v>NV SRD 50X5.5 ONZ-CAJA</v>
          </cell>
          <cell r="W2417" t="str">
            <v>Ajuste</v>
          </cell>
          <cell r="X2417">
            <v>136</v>
          </cell>
          <cell r="Y2417">
            <v>1059.4399999999998</v>
          </cell>
        </row>
        <row r="2418">
          <cell r="U2418" t="str">
            <v>L105095</v>
          </cell>
          <cell r="V2418" t="str">
            <v>NV SRD 50X5.5 ONZ-CAJA</v>
          </cell>
          <cell r="W2418" t="str">
            <v>Reproceso</v>
          </cell>
          <cell r="X2418">
            <v>22</v>
          </cell>
          <cell r="Y2418">
            <v>171.38</v>
          </cell>
        </row>
        <row r="2419">
          <cell r="U2419" t="str">
            <v>L105446</v>
          </cell>
          <cell r="V2419" t="str">
            <v>PAL HLD 3KG-CAJA</v>
          </cell>
          <cell r="W2419" t="str">
            <v>Ajuste</v>
          </cell>
          <cell r="X2419">
            <v>114</v>
          </cell>
          <cell r="Y2419">
            <v>342</v>
          </cell>
        </row>
        <row r="2420">
          <cell r="U2420" t="str">
            <v>L105447</v>
          </cell>
          <cell r="V2420" t="str">
            <v>PAL HLD 3KG-CAJA</v>
          </cell>
          <cell r="W2420" t="str">
            <v>Ajuste</v>
          </cell>
          <cell r="X2420">
            <v>24</v>
          </cell>
          <cell r="Y2420">
            <v>72</v>
          </cell>
        </row>
        <row r="2421">
          <cell r="U2421" t="str">
            <v>L105448</v>
          </cell>
          <cell r="V2421" t="str">
            <v>PAL HLD 3KG-CAJA</v>
          </cell>
          <cell r="W2421" t="str">
            <v>Ajuste</v>
          </cell>
          <cell r="X2421">
            <v>4</v>
          </cell>
          <cell r="Y2421">
            <v>12</v>
          </cell>
        </row>
        <row r="2422">
          <cell r="U2422" t="str">
            <v>L105449</v>
          </cell>
          <cell r="V2422" t="str">
            <v>PAL HLD 3KG-CAJA</v>
          </cell>
          <cell r="W2422" t="str">
            <v>Ajuste</v>
          </cell>
          <cell r="X2422">
            <v>6</v>
          </cell>
          <cell r="Y2422">
            <v>18</v>
          </cell>
        </row>
        <row r="2423">
          <cell r="U2423" t="str">
            <v>L105421</v>
          </cell>
          <cell r="V2423" t="str">
            <v>Pan kg</v>
          </cell>
          <cell r="W2423" t="str">
            <v>Ajuste</v>
          </cell>
          <cell r="X2423">
            <v>26</v>
          </cell>
          <cell r="Y2423">
            <v>26</v>
          </cell>
        </row>
        <row r="2424">
          <cell r="U2424" t="str">
            <v>L105900</v>
          </cell>
          <cell r="V2424" t="str">
            <v>Pan kg</v>
          </cell>
          <cell r="W2424" t="str">
            <v>Ajuste</v>
          </cell>
          <cell r="X2424">
            <v>2.7</v>
          </cell>
          <cell r="Y2424">
            <v>2.7</v>
          </cell>
        </row>
        <row r="2425">
          <cell r="U2425" t="str">
            <v>L105978</v>
          </cell>
          <cell r="V2425" t="str">
            <v>Pasta de tomate kg</v>
          </cell>
          <cell r="W2425" t="str">
            <v>Ajuste</v>
          </cell>
          <cell r="X2425">
            <v>1490</v>
          </cell>
          <cell r="Y2425">
            <v>1490</v>
          </cell>
        </row>
        <row r="2426">
          <cell r="U2426" t="str">
            <v>L105625</v>
          </cell>
          <cell r="V2426" t="str">
            <v>Pasta kg</v>
          </cell>
          <cell r="W2426" t="str">
            <v>Ajuste</v>
          </cell>
          <cell r="X2426">
            <v>4</v>
          </cell>
          <cell r="Y2426">
            <v>4</v>
          </cell>
        </row>
        <row r="2427">
          <cell r="U2427" t="str">
            <v>L105120</v>
          </cell>
          <cell r="V2427" t="str">
            <v>PASTV 2kg</v>
          </cell>
          <cell r="W2427" t="str">
            <v>Ajuste</v>
          </cell>
          <cell r="X2427">
            <v>20.86</v>
          </cell>
          <cell r="Y2427">
            <v>41.72</v>
          </cell>
        </row>
        <row r="2428">
          <cell r="U2428" t="str">
            <v>L105469</v>
          </cell>
          <cell r="V2428" t="str">
            <v>PASTVGT 1kg</v>
          </cell>
          <cell r="W2428" t="str">
            <v>Ajuste</v>
          </cell>
          <cell r="X2428">
            <v>6</v>
          </cell>
          <cell r="Y2428">
            <v>6</v>
          </cell>
        </row>
        <row r="2429">
          <cell r="U2429" t="str">
            <v>L105456</v>
          </cell>
          <cell r="V2429" t="str">
            <v>PASTVGT 2kg</v>
          </cell>
          <cell r="W2429" t="str">
            <v>Ajuste</v>
          </cell>
          <cell r="X2429">
            <v>4</v>
          </cell>
          <cell r="Y2429">
            <v>8</v>
          </cell>
        </row>
        <row r="2430">
          <cell r="U2430" t="str">
            <v>L105886</v>
          </cell>
          <cell r="V2430" t="str">
            <v>PCK 1.5kg - CAJA</v>
          </cell>
          <cell r="W2430" t="str">
            <v>Ajuste</v>
          </cell>
          <cell r="X2430">
            <v>2</v>
          </cell>
          <cell r="Y2430">
            <v>3</v>
          </cell>
        </row>
        <row r="2431">
          <cell r="U2431" t="str">
            <v>L105134</v>
          </cell>
          <cell r="V2431" t="str">
            <v>PCK 12kg - CAJA</v>
          </cell>
          <cell r="W2431" t="str">
            <v>Ajuste</v>
          </cell>
          <cell r="X2431">
            <v>28</v>
          </cell>
          <cell r="Y2431">
            <v>336</v>
          </cell>
        </row>
        <row r="2432">
          <cell r="U2432" t="str">
            <v>L105133</v>
          </cell>
          <cell r="V2432" t="str">
            <v>PCK 2kg - CAJA</v>
          </cell>
          <cell r="W2432" t="str">
            <v>Ajuste</v>
          </cell>
          <cell r="X2432">
            <v>270</v>
          </cell>
          <cell r="Y2432">
            <v>540</v>
          </cell>
        </row>
        <row r="2433">
          <cell r="U2433" t="str">
            <v>L105253</v>
          </cell>
          <cell r="V2433" t="str">
            <v>PCK 2kg - CAJA</v>
          </cell>
          <cell r="W2433" t="str">
            <v>Ajuste</v>
          </cell>
          <cell r="X2433">
            <v>2</v>
          </cell>
          <cell r="Y2433">
            <v>4</v>
          </cell>
        </row>
        <row r="2434">
          <cell r="U2434" t="str">
            <v>L105302</v>
          </cell>
          <cell r="V2434" t="str">
            <v>PCK 2kg - CAJA</v>
          </cell>
          <cell r="W2434" t="str">
            <v>Ajuste</v>
          </cell>
          <cell r="X2434">
            <v>2</v>
          </cell>
          <cell r="Y2434">
            <v>4</v>
          </cell>
        </row>
        <row r="2435">
          <cell r="U2435" t="str">
            <v>L105400</v>
          </cell>
          <cell r="V2435" t="str">
            <v>PCK 2kg - CAJA</v>
          </cell>
          <cell r="W2435" t="str">
            <v>Ajuste</v>
          </cell>
          <cell r="X2435">
            <v>10</v>
          </cell>
          <cell r="Y2435">
            <v>20</v>
          </cell>
        </row>
        <row r="2436">
          <cell r="U2436" t="str">
            <v>L105876</v>
          </cell>
          <cell r="V2436" t="str">
            <v>PCK 2kg - CAJA</v>
          </cell>
          <cell r="W2436" t="str">
            <v>Ajuste</v>
          </cell>
          <cell r="X2436">
            <v>4</v>
          </cell>
          <cell r="Y2436">
            <v>8</v>
          </cell>
        </row>
        <row r="2437">
          <cell r="U2437" t="str">
            <v>L105877</v>
          </cell>
          <cell r="V2437" t="str">
            <v>PCK 2kg - CAJA</v>
          </cell>
          <cell r="W2437" t="str">
            <v>Ajuste</v>
          </cell>
          <cell r="X2437">
            <v>4</v>
          </cell>
          <cell r="Y2437">
            <v>8</v>
          </cell>
        </row>
        <row r="2438">
          <cell r="U2438" t="str">
            <v>L105742</v>
          </cell>
          <cell r="V2438" t="str">
            <v>PCK 2kg - CAJA</v>
          </cell>
          <cell r="W2438" t="str">
            <v>Ajuste</v>
          </cell>
          <cell r="X2438">
            <v>2</v>
          </cell>
          <cell r="Y2438">
            <v>4</v>
          </cell>
        </row>
        <row r="2439">
          <cell r="U2439" t="str">
            <v>L105216</v>
          </cell>
          <cell r="V2439" t="str">
            <v>PCK 3kg - CAJA</v>
          </cell>
          <cell r="W2439" t="str">
            <v>Ajuste</v>
          </cell>
          <cell r="X2439">
            <v>4</v>
          </cell>
          <cell r="Y2439">
            <v>12</v>
          </cell>
        </row>
        <row r="2440">
          <cell r="U2440" t="str">
            <v>L105218</v>
          </cell>
          <cell r="V2440" t="str">
            <v>PCK 3kg - CAJA</v>
          </cell>
          <cell r="W2440" t="str">
            <v>Ajuste</v>
          </cell>
          <cell r="X2440">
            <v>6</v>
          </cell>
          <cell r="Y2440">
            <v>18</v>
          </cell>
        </row>
        <row r="2441">
          <cell r="U2441" t="str">
            <v>L104957</v>
          </cell>
          <cell r="V2441" t="str">
            <v>PFC 2KG - BOLSA</v>
          </cell>
          <cell r="W2441" t="str">
            <v>Ajuste</v>
          </cell>
          <cell r="X2441">
            <v>102</v>
          </cell>
          <cell r="Y2441">
            <v>204</v>
          </cell>
        </row>
        <row r="2442">
          <cell r="U2442" t="str">
            <v>L105286</v>
          </cell>
          <cell r="V2442" t="str">
            <v>PFC 2KG - BOLSA</v>
          </cell>
          <cell r="W2442" t="str">
            <v>Ajuste</v>
          </cell>
          <cell r="X2442">
            <v>88</v>
          </cell>
          <cell r="Y2442">
            <v>176</v>
          </cell>
        </row>
        <row r="2443">
          <cell r="U2443" t="str">
            <v>L105483</v>
          </cell>
          <cell r="V2443" t="str">
            <v>PFC 2KG - BOLSA</v>
          </cell>
          <cell r="W2443" t="str">
            <v>Ajuste</v>
          </cell>
          <cell r="X2443">
            <v>82</v>
          </cell>
          <cell r="Y2443">
            <v>164</v>
          </cell>
        </row>
        <row r="2444">
          <cell r="U2444" t="str">
            <v>L105687</v>
          </cell>
          <cell r="V2444" t="str">
            <v>PFC 2KG - BOLSA</v>
          </cell>
          <cell r="W2444" t="str">
            <v>Ajuste</v>
          </cell>
          <cell r="X2444">
            <v>62</v>
          </cell>
          <cell r="Y2444">
            <v>124</v>
          </cell>
        </row>
        <row r="2445">
          <cell r="U2445" t="str">
            <v>L104958</v>
          </cell>
          <cell r="V2445" t="str">
            <v>PFC 3KG - CAJA</v>
          </cell>
          <cell r="W2445" t="str">
            <v>Ajuste</v>
          </cell>
          <cell r="X2445">
            <v>2</v>
          </cell>
          <cell r="Y2445">
            <v>6</v>
          </cell>
        </row>
        <row r="2446">
          <cell r="U2446" t="str">
            <v>L105482</v>
          </cell>
          <cell r="V2446" t="str">
            <v>PFC 3KG - CAJA</v>
          </cell>
          <cell r="W2446" t="str">
            <v>Ajuste</v>
          </cell>
          <cell r="X2446">
            <v>2</v>
          </cell>
          <cell r="Y2446">
            <v>6</v>
          </cell>
        </row>
        <row r="2447">
          <cell r="U2447" t="str">
            <v>l105639</v>
          </cell>
          <cell r="V2447" t="str">
            <v>PH 1kg</v>
          </cell>
          <cell r="W2447" t="str">
            <v>Ajuste</v>
          </cell>
          <cell r="X2447">
            <v>16</v>
          </cell>
          <cell r="Y2447">
            <v>16</v>
          </cell>
        </row>
        <row r="2448">
          <cell r="U2448" t="str">
            <v>L105031</v>
          </cell>
          <cell r="V2448" t="str">
            <v>PH 1kg</v>
          </cell>
          <cell r="W2448" t="str">
            <v>Ajuste</v>
          </cell>
          <cell r="X2448">
            <v>58</v>
          </cell>
          <cell r="Y2448">
            <v>58</v>
          </cell>
        </row>
        <row r="2449">
          <cell r="U2449" t="str">
            <v>L105394</v>
          </cell>
          <cell r="V2449" t="str">
            <v>PH 1kg</v>
          </cell>
          <cell r="W2449" t="str">
            <v>Ajuste</v>
          </cell>
          <cell r="X2449">
            <v>4</v>
          </cell>
          <cell r="Y2449">
            <v>4</v>
          </cell>
        </row>
        <row r="2450">
          <cell r="U2450" t="str">
            <v>L105394</v>
          </cell>
          <cell r="V2450" t="str">
            <v>PH 1kg</v>
          </cell>
          <cell r="W2450" t="str">
            <v>Uso del BAP</v>
          </cell>
          <cell r="X2450">
            <v>4</v>
          </cell>
          <cell r="Y2450">
            <v>4</v>
          </cell>
        </row>
        <row r="2451">
          <cell r="U2451" t="str">
            <v>L105728</v>
          </cell>
          <cell r="V2451" t="str">
            <v>Pina en lata kg</v>
          </cell>
          <cell r="W2451" t="str">
            <v>Ajuste</v>
          </cell>
          <cell r="X2451">
            <v>59</v>
          </cell>
          <cell r="Y2451">
            <v>59</v>
          </cell>
        </row>
        <row r="2452">
          <cell r="U2452" t="str">
            <v>L105050</v>
          </cell>
          <cell r="V2452" t="str">
            <v>PLMTO 3kg</v>
          </cell>
          <cell r="W2452" t="str">
            <v>Ajuste</v>
          </cell>
          <cell r="X2452">
            <v>2</v>
          </cell>
          <cell r="Y2452">
            <v>6</v>
          </cell>
        </row>
        <row r="2453">
          <cell r="U2453" t="str">
            <v>L105030</v>
          </cell>
          <cell r="V2453" t="str">
            <v>PMP 1kg-CAJA</v>
          </cell>
          <cell r="W2453" t="str">
            <v>Ajuste</v>
          </cell>
          <cell r="X2453">
            <v>72</v>
          </cell>
          <cell r="Y2453">
            <v>72</v>
          </cell>
        </row>
        <row r="2454">
          <cell r="U2454" t="str">
            <v>L105214</v>
          </cell>
          <cell r="V2454" t="str">
            <v>PMP 1kg-CAJA</v>
          </cell>
          <cell r="W2454" t="str">
            <v>Ajuste</v>
          </cell>
          <cell r="X2454">
            <v>4</v>
          </cell>
          <cell r="Y2454">
            <v>4</v>
          </cell>
        </row>
        <row r="2455">
          <cell r="U2455" t="str">
            <v>L105376</v>
          </cell>
          <cell r="V2455" t="str">
            <v>PMP 1kg-CAJA</v>
          </cell>
          <cell r="W2455" t="str">
            <v>Ajuste</v>
          </cell>
          <cell r="X2455">
            <v>2</v>
          </cell>
          <cell r="Y2455">
            <v>2</v>
          </cell>
        </row>
        <row r="2456">
          <cell r="U2456" t="str">
            <v>L105640</v>
          </cell>
          <cell r="V2456" t="str">
            <v>PMP 1kg-CAJA</v>
          </cell>
          <cell r="W2456" t="str">
            <v>Ajuste</v>
          </cell>
          <cell r="X2456">
            <v>10</v>
          </cell>
          <cell r="Y2456">
            <v>10</v>
          </cell>
        </row>
        <row r="2457">
          <cell r="U2457" t="str">
            <v>L105712</v>
          </cell>
          <cell r="V2457" t="str">
            <v>PNALT 3kg</v>
          </cell>
          <cell r="W2457" t="str">
            <v>Ajuste</v>
          </cell>
          <cell r="X2457">
            <v>71</v>
          </cell>
          <cell r="Y2457">
            <v>213</v>
          </cell>
        </row>
        <row r="2458">
          <cell r="U2458" t="str">
            <v>L105713</v>
          </cell>
          <cell r="V2458" t="str">
            <v>PNALT 3kg</v>
          </cell>
          <cell r="W2458" t="str">
            <v>Ajuste</v>
          </cell>
          <cell r="X2458">
            <v>7</v>
          </cell>
          <cell r="Y2458">
            <v>21</v>
          </cell>
        </row>
        <row r="2459">
          <cell r="U2459" t="str">
            <v>L105714</v>
          </cell>
          <cell r="V2459" t="str">
            <v>PNALT 3kg</v>
          </cell>
          <cell r="W2459" t="str">
            <v>Ajuste</v>
          </cell>
          <cell r="X2459">
            <v>32</v>
          </cell>
          <cell r="Y2459">
            <v>96</v>
          </cell>
        </row>
        <row r="2460">
          <cell r="U2460" t="str">
            <v>L105715</v>
          </cell>
          <cell r="V2460" t="str">
            <v>PNALT 3kg</v>
          </cell>
          <cell r="W2460" t="str">
            <v>Ajuste</v>
          </cell>
          <cell r="X2460">
            <v>4</v>
          </cell>
          <cell r="Y2460">
            <v>12</v>
          </cell>
        </row>
        <row r="2461">
          <cell r="U2461" t="str">
            <v>L105041</v>
          </cell>
          <cell r="V2461" t="str">
            <v>PNALT 5kg</v>
          </cell>
          <cell r="W2461" t="str">
            <v>Ajuste</v>
          </cell>
          <cell r="X2461">
            <v>4</v>
          </cell>
          <cell r="Y2461">
            <v>20</v>
          </cell>
        </row>
        <row r="2462">
          <cell r="U2462" t="str">
            <v>L105381</v>
          </cell>
          <cell r="V2462" t="str">
            <v>PNALT 5kg</v>
          </cell>
          <cell r="W2462" t="str">
            <v>Ajuste</v>
          </cell>
          <cell r="X2462">
            <v>4</v>
          </cell>
          <cell r="Y2462">
            <v>20</v>
          </cell>
        </row>
        <row r="2463">
          <cell r="U2463" t="str">
            <v>L105654</v>
          </cell>
          <cell r="V2463" t="str">
            <v>PPC 20kg-BOLSA</v>
          </cell>
          <cell r="W2463" t="str">
            <v>Ajuste</v>
          </cell>
          <cell r="X2463">
            <v>70</v>
          </cell>
          <cell r="Y2463">
            <v>1400</v>
          </cell>
        </row>
        <row r="2464">
          <cell r="U2464" t="str">
            <v>L104946</v>
          </cell>
          <cell r="V2464" t="str">
            <v>PRTZ UND</v>
          </cell>
          <cell r="W2464" t="str">
            <v>Ajuste</v>
          </cell>
          <cell r="X2464">
            <v>2</v>
          </cell>
          <cell r="Y2464">
            <v>2</v>
          </cell>
        </row>
        <row r="2465">
          <cell r="U2465" t="str">
            <v>L104956</v>
          </cell>
          <cell r="V2465" t="str">
            <v>PRTZ UND</v>
          </cell>
          <cell r="W2465" t="str">
            <v>Ajuste</v>
          </cell>
          <cell r="X2465">
            <v>6</v>
          </cell>
          <cell r="Y2465">
            <v>6</v>
          </cell>
        </row>
        <row r="2466">
          <cell r="U2466" t="str">
            <v>L104985</v>
          </cell>
          <cell r="V2466" t="str">
            <v>PRTZ UND</v>
          </cell>
          <cell r="W2466" t="str">
            <v>Ajuste</v>
          </cell>
          <cell r="X2466">
            <v>30</v>
          </cell>
          <cell r="Y2466">
            <v>30</v>
          </cell>
        </row>
        <row r="2467">
          <cell r="U2467" t="str">
            <v>L104991</v>
          </cell>
          <cell r="V2467" t="str">
            <v>PRTZ UND</v>
          </cell>
          <cell r="W2467" t="str">
            <v>Ajuste</v>
          </cell>
          <cell r="X2467">
            <v>16</v>
          </cell>
          <cell r="Y2467">
            <v>16</v>
          </cell>
        </row>
        <row r="2468">
          <cell r="U2468" t="str">
            <v>L104991</v>
          </cell>
          <cell r="V2468" t="str">
            <v>PV PRTZ UND</v>
          </cell>
          <cell r="W2468" t="str">
            <v>Ajuste</v>
          </cell>
          <cell r="X2468">
            <v>6</v>
          </cell>
          <cell r="Y2468">
            <v>6</v>
          </cell>
        </row>
        <row r="2469">
          <cell r="U2469" t="str">
            <v>L105378</v>
          </cell>
          <cell r="V2469" t="str">
            <v>PTD 1 kg</v>
          </cell>
          <cell r="W2469" t="str">
            <v>Ajuste</v>
          </cell>
          <cell r="X2469">
            <v>2</v>
          </cell>
          <cell r="Y2469">
            <v>2</v>
          </cell>
        </row>
        <row r="2470">
          <cell r="U2470" t="str">
            <v>L105521</v>
          </cell>
          <cell r="V2470" t="str">
            <v>PTM 1.5KG</v>
          </cell>
          <cell r="W2470" t="str">
            <v>Ajuste</v>
          </cell>
          <cell r="X2470">
            <v>26</v>
          </cell>
          <cell r="Y2470">
            <v>39</v>
          </cell>
        </row>
        <row r="2471">
          <cell r="U2471" t="str">
            <v>L105522</v>
          </cell>
          <cell r="V2471" t="str">
            <v>PTM -2kg- Caja</v>
          </cell>
          <cell r="W2471" t="str">
            <v>Ajuste</v>
          </cell>
          <cell r="X2471">
            <v>2</v>
          </cell>
          <cell r="Y2471">
            <v>4</v>
          </cell>
        </row>
        <row r="2472">
          <cell r="U2472" t="str">
            <v>L105882</v>
          </cell>
          <cell r="V2472" t="str">
            <v>PTM -2kg- Caja</v>
          </cell>
          <cell r="W2472" t="str">
            <v>Ajuste</v>
          </cell>
          <cell r="X2472">
            <v>2</v>
          </cell>
          <cell r="Y2472">
            <v>4</v>
          </cell>
        </row>
        <row r="2473">
          <cell r="U2473" t="str">
            <v>L105798</v>
          </cell>
          <cell r="V2473" t="str">
            <v>PTM -3kg- Caja</v>
          </cell>
          <cell r="W2473" t="str">
            <v>Ajuste</v>
          </cell>
          <cell r="X2473">
            <v>12</v>
          </cell>
          <cell r="Y2473">
            <v>36</v>
          </cell>
        </row>
        <row r="2474">
          <cell r="U2474" t="str">
            <v>L105799</v>
          </cell>
          <cell r="V2474" t="str">
            <v>PTM -3kg- Caja</v>
          </cell>
          <cell r="W2474" t="str">
            <v>Ajuste</v>
          </cell>
          <cell r="X2474">
            <v>10</v>
          </cell>
          <cell r="Y2474">
            <v>30</v>
          </cell>
        </row>
        <row r="2475">
          <cell r="U2475" t="str">
            <v>L105881</v>
          </cell>
          <cell r="V2475" t="str">
            <v>PTM -3kg- Caja</v>
          </cell>
          <cell r="W2475" t="str">
            <v>Ajuste</v>
          </cell>
          <cell r="X2475">
            <v>6</v>
          </cell>
          <cell r="Y2475">
            <v>18</v>
          </cell>
        </row>
        <row r="2476">
          <cell r="U2476" t="str">
            <v>L105986</v>
          </cell>
          <cell r="V2476" t="str">
            <v>PTM 5kg-CAJA</v>
          </cell>
          <cell r="W2476" t="str">
            <v>Ajuste</v>
          </cell>
          <cell r="X2476">
            <v>290</v>
          </cell>
          <cell r="Y2476">
            <v>1450</v>
          </cell>
        </row>
        <row r="2477">
          <cell r="U2477" t="str">
            <v>L105988</v>
          </cell>
          <cell r="V2477" t="str">
            <v>PTM 5kg-CAJA</v>
          </cell>
          <cell r="W2477" t="str">
            <v>Ajuste</v>
          </cell>
          <cell r="X2477">
            <v>116</v>
          </cell>
          <cell r="Y2477">
            <v>580</v>
          </cell>
        </row>
        <row r="2478">
          <cell r="U2478" t="str">
            <v>L105989</v>
          </cell>
          <cell r="V2478" t="str">
            <v>PTM 5kg-CAJA</v>
          </cell>
          <cell r="W2478" t="str">
            <v>Ajuste</v>
          </cell>
          <cell r="X2478">
            <v>156</v>
          </cell>
          <cell r="Y2478">
            <v>780</v>
          </cell>
        </row>
        <row r="2479">
          <cell r="U2479" t="str">
            <v>L105990</v>
          </cell>
          <cell r="V2479" t="str">
            <v>PTM 5kg-CAJA</v>
          </cell>
          <cell r="W2479" t="str">
            <v>Ajuste</v>
          </cell>
          <cell r="X2479">
            <v>410</v>
          </cell>
          <cell r="Y2479">
            <v>2050</v>
          </cell>
        </row>
        <row r="2480">
          <cell r="U2480" t="str">
            <v>L105991</v>
          </cell>
          <cell r="V2480" t="str">
            <v>PTM 5kg-CAJA</v>
          </cell>
          <cell r="W2480" t="str">
            <v>Ajuste</v>
          </cell>
          <cell r="X2480">
            <v>70</v>
          </cell>
          <cell r="Y2480">
            <v>350</v>
          </cell>
        </row>
        <row r="2481">
          <cell r="U2481" t="str">
            <v>L105615</v>
          </cell>
          <cell r="V2481" t="str">
            <v>PTN 2kg-CAJA</v>
          </cell>
          <cell r="W2481" t="str">
            <v>Ajuste</v>
          </cell>
          <cell r="X2481">
            <v>192</v>
          </cell>
          <cell r="Y2481">
            <v>384</v>
          </cell>
        </row>
        <row r="2482">
          <cell r="U2482" t="str">
            <v>L105415</v>
          </cell>
          <cell r="V2482" t="str">
            <v>PTN 2kg-CAJA</v>
          </cell>
          <cell r="W2482" t="str">
            <v>Ajuste</v>
          </cell>
          <cell r="X2482">
            <v>8</v>
          </cell>
          <cell r="Y2482">
            <v>16</v>
          </cell>
        </row>
        <row r="2483">
          <cell r="U2483" t="str">
            <v>L105609</v>
          </cell>
          <cell r="V2483" t="str">
            <v>PTN 2kg-CAJA</v>
          </cell>
          <cell r="W2483" t="str">
            <v>Ajuste</v>
          </cell>
          <cell r="X2483">
            <v>60</v>
          </cell>
          <cell r="Y2483">
            <v>120</v>
          </cell>
        </row>
        <row r="2484">
          <cell r="U2484" t="str">
            <v>L105610</v>
          </cell>
          <cell r="V2484" t="str">
            <v>PTN 2kg-CAJA</v>
          </cell>
          <cell r="W2484" t="str">
            <v>Ajuste</v>
          </cell>
          <cell r="X2484">
            <v>92</v>
          </cell>
          <cell r="Y2484">
            <v>184</v>
          </cell>
        </row>
        <row r="2485">
          <cell r="U2485" t="str">
            <v>L105619</v>
          </cell>
          <cell r="V2485" t="str">
            <v>PTN 2kg-CAJA</v>
          </cell>
          <cell r="W2485" t="str">
            <v>Ajuste</v>
          </cell>
          <cell r="X2485">
            <v>4</v>
          </cell>
          <cell r="Y2485">
            <v>8</v>
          </cell>
        </row>
        <row r="2486">
          <cell r="U2486" t="str">
            <v>L105375</v>
          </cell>
          <cell r="V2486" t="str">
            <v>PTO 1kg</v>
          </cell>
          <cell r="W2486" t="str">
            <v>Ajuste</v>
          </cell>
          <cell r="X2486">
            <v>4</v>
          </cell>
          <cell r="Y2486">
            <v>4</v>
          </cell>
        </row>
        <row r="2487">
          <cell r="U2487" t="str">
            <v>L105660</v>
          </cell>
          <cell r="V2487" t="str">
            <v>PTO 1kg</v>
          </cell>
          <cell r="W2487" t="str">
            <v>Ajuste</v>
          </cell>
          <cell r="X2487">
            <v>2</v>
          </cell>
          <cell r="Y2487">
            <v>2</v>
          </cell>
        </row>
        <row r="2488">
          <cell r="U2488" t="str">
            <v>L105543</v>
          </cell>
          <cell r="V2488" t="str">
            <v>PTV 2kg</v>
          </cell>
          <cell r="W2488" t="str">
            <v>Ajuste</v>
          </cell>
          <cell r="X2488">
            <v>16</v>
          </cell>
          <cell r="Y2488">
            <v>32</v>
          </cell>
        </row>
        <row r="2489">
          <cell r="U2489" t="str">
            <v>L105547</v>
          </cell>
          <cell r="V2489" t="str">
            <v>PTV 2kg</v>
          </cell>
          <cell r="W2489" t="str">
            <v>Ajuste</v>
          </cell>
          <cell r="X2489">
            <v>4</v>
          </cell>
          <cell r="Y2489">
            <v>8</v>
          </cell>
        </row>
        <row r="2490">
          <cell r="U2490" t="str">
            <v>L105548</v>
          </cell>
          <cell r="V2490" t="str">
            <v>PTV 2kg</v>
          </cell>
          <cell r="W2490" t="str">
            <v>Ajuste</v>
          </cell>
          <cell r="X2490">
            <v>4</v>
          </cell>
          <cell r="Y2490">
            <v>8</v>
          </cell>
        </row>
        <row r="2491">
          <cell r="U2491" t="str">
            <v>L105549</v>
          </cell>
          <cell r="V2491" t="str">
            <v>PTV 2kg</v>
          </cell>
          <cell r="W2491" t="str">
            <v>Ajuste</v>
          </cell>
          <cell r="X2491">
            <v>6</v>
          </cell>
          <cell r="Y2491">
            <v>12</v>
          </cell>
        </row>
        <row r="2492">
          <cell r="U2492" t="str">
            <v>L105550</v>
          </cell>
          <cell r="V2492" t="str">
            <v>PTV 2kg</v>
          </cell>
          <cell r="W2492" t="str">
            <v>Ajuste</v>
          </cell>
          <cell r="X2492">
            <v>2</v>
          </cell>
          <cell r="Y2492">
            <v>4</v>
          </cell>
        </row>
        <row r="2493">
          <cell r="U2493" t="str">
            <v>L105551</v>
          </cell>
          <cell r="V2493" t="str">
            <v>PTV 2kg</v>
          </cell>
          <cell r="W2493" t="str">
            <v>Ajuste</v>
          </cell>
          <cell r="X2493">
            <v>2</v>
          </cell>
          <cell r="Y2493">
            <v>4</v>
          </cell>
        </row>
        <row r="2494">
          <cell r="U2494" t="str">
            <v>l105250</v>
          </cell>
          <cell r="V2494" t="str">
            <v>PTV 5kg</v>
          </cell>
          <cell r="W2494" t="str">
            <v>Ajuste</v>
          </cell>
          <cell r="X2494">
            <v>976</v>
          </cell>
          <cell r="Y2494">
            <v>4880</v>
          </cell>
        </row>
        <row r="2495">
          <cell r="U2495" t="str">
            <v>L105874</v>
          </cell>
          <cell r="V2495" t="str">
            <v>PV ACE 1500ml</v>
          </cell>
          <cell r="W2495" t="str">
            <v>Ajuste</v>
          </cell>
          <cell r="X2495">
            <v>40</v>
          </cell>
          <cell r="Y2495">
            <v>60</v>
          </cell>
        </row>
        <row r="2496">
          <cell r="U2496" t="str">
            <v>L105554</v>
          </cell>
          <cell r="V2496" t="str">
            <v>PV ADR 3kg</v>
          </cell>
          <cell r="W2496" t="str">
            <v>Ajuste</v>
          </cell>
          <cell r="X2496">
            <v>2</v>
          </cell>
          <cell r="Y2496">
            <v>6</v>
          </cell>
        </row>
        <row r="2497">
          <cell r="U2497" t="str">
            <v>L10655</v>
          </cell>
          <cell r="V2497" t="str">
            <v>PV ARZ 5Kg</v>
          </cell>
          <cell r="W2497" t="str">
            <v>Ajuste</v>
          </cell>
          <cell r="X2497">
            <v>6</v>
          </cell>
          <cell r="Y2497">
            <v>30</v>
          </cell>
        </row>
        <row r="2498">
          <cell r="U2498" t="str">
            <v>L105305</v>
          </cell>
          <cell r="V2498" t="str">
            <v>PV ARZ 5Kg</v>
          </cell>
          <cell r="W2498" t="str">
            <v>Ajuste</v>
          </cell>
          <cell r="X2498">
            <v>64</v>
          </cell>
          <cell r="Y2498">
            <v>320</v>
          </cell>
        </row>
        <row r="2499">
          <cell r="U2499" t="str">
            <v>L105027</v>
          </cell>
          <cell r="V2499" t="str">
            <v>PV ARZ 5Kg</v>
          </cell>
          <cell r="W2499" t="str">
            <v>Ajuste</v>
          </cell>
          <cell r="X2499">
            <v>582</v>
          </cell>
          <cell r="Y2499">
            <v>2910</v>
          </cell>
        </row>
        <row r="2500">
          <cell r="U2500" t="str">
            <v>L105653</v>
          </cell>
          <cell r="V2500" t="str">
            <v>PV ARZ 5Kg</v>
          </cell>
          <cell r="W2500" t="str">
            <v>Ajuste</v>
          </cell>
          <cell r="X2500">
            <v>56</v>
          </cell>
          <cell r="Y2500">
            <v>280</v>
          </cell>
        </row>
        <row r="2501">
          <cell r="U2501" t="str">
            <v>L105921</v>
          </cell>
          <cell r="V2501" t="str">
            <v>PV BDP 5kg</v>
          </cell>
          <cell r="W2501" t="str">
            <v>Ajuste</v>
          </cell>
          <cell r="X2501">
            <v>1</v>
          </cell>
          <cell r="Y2501">
            <v>5</v>
          </cell>
        </row>
        <row r="2502">
          <cell r="U2502" t="str">
            <v>L105786</v>
          </cell>
          <cell r="V2502" t="str">
            <v>PV CHT 3kg</v>
          </cell>
          <cell r="W2502" t="str">
            <v>Ajuste</v>
          </cell>
          <cell r="X2502">
            <v>124</v>
          </cell>
          <cell r="Y2502">
            <v>372</v>
          </cell>
        </row>
        <row r="2503">
          <cell r="U2503" t="str">
            <v>L105773</v>
          </cell>
          <cell r="V2503" t="str">
            <v>PV CHTV 4kg</v>
          </cell>
          <cell r="W2503" t="str">
            <v>Ajuste</v>
          </cell>
          <cell r="X2503">
            <v>422</v>
          </cell>
          <cell r="Y2503">
            <v>1688</v>
          </cell>
        </row>
        <row r="2504">
          <cell r="U2504" t="str">
            <v>L105772</v>
          </cell>
          <cell r="V2504" t="str">
            <v>PV CHTV 5kg</v>
          </cell>
          <cell r="W2504" t="str">
            <v>Ajuste</v>
          </cell>
          <cell r="X2504">
            <v>216</v>
          </cell>
          <cell r="Y2504">
            <v>1080</v>
          </cell>
        </row>
        <row r="2505">
          <cell r="U2505" t="str">
            <v>L105747</v>
          </cell>
          <cell r="V2505" t="str">
            <v>PV CHWM 2kg</v>
          </cell>
          <cell r="W2505" t="str">
            <v>Ajuste</v>
          </cell>
          <cell r="X2505">
            <v>12</v>
          </cell>
          <cell r="Y2505">
            <v>24</v>
          </cell>
        </row>
        <row r="2506">
          <cell r="U2506" t="str">
            <v>L104978</v>
          </cell>
          <cell r="V2506" t="str">
            <v>PV CRV 1kg</v>
          </cell>
          <cell r="W2506" t="str">
            <v>Ajuste</v>
          </cell>
          <cell r="X2506">
            <v>242</v>
          </cell>
          <cell r="Y2506">
            <v>242</v>
          </cell>
        </row>
        <row r="2507">
          <cell r="U2507" t="str">
            <v>L104979</v>
          </cell>
          <cell r="V2507" t="str">
            <v>PV CRV 1kg</v>
          </cell>
          <cell r="W2507" t="str">
            <v>Ajuste</v>
          </cell>
          <cell r="X2507">
            <v>112</v>
          </cell>
          <cell r="Y2507">
            <v>112</v>
          </cell>
        </row>
        <row r="2508">
          <cell r="U2508" t="str">
            <v>L105435</v>
          </cell>
          <cell r="V2508" t="str">
            <v>PV EMBV 3kg</v>
          </cell>
          <cell r="W2508" t="str">
            <v>Ajuste</v>
          </cell>
          <cell r="X2508">
            <v>4</v>
          </cell>
          <cell r="Y2508">
            <v>12</v>
          </cell>
        </row>
        <row r="2509">
          <cell r="U2509" t="str">
            <v>L105826</v>
          </cell>
          <cell r="V2509" t="str">
            <v>PV EMBV 3kg</v>
          </cell>
          <cell r="W2509" t="str">
            <v>Ajuste</v>
          </cell>
          <cell r="X2509">
            <v>8</v>
          </cell>
          <cell r="Y2509">
            <v>24</v>
          </cell>
        </row>
        <row r="2510">
          <cell r="U2510" t="str">
            <v>L105827</v>
          </cell>
          <cell r="V2510" t="str">
            <v>PV EMBV 3kg</v>
          </cell>
          <cell r="W2510" t="str">
            <v>Ajuste</v>
          </cell>
          <cell r="X2510">
            <v>6</v>
          </cell>
          <cell r="Y2510">
            <v>18</v>
          </cell>
        </row>
        <row r="2511">
          <cell r="U2511" t="str">
            <v>L105828</v>
          </cell>
          <cell r="V2511" t="str">
            <v>PV EMBV 3kg</v>
          </cell>
          <cell r="W2511" t="str">
            <v>Ajuste</v>
          </cell>
          <cell r="X2511">
            <v>24</v>
          </cell>
          <cell r="Y2511">
            <v>72</v>
          </cell>
        </row>
        <row r="2512">
          <cell r="U2512" t="str">
            <v>L105829</v>
          </cell>
          <cell r="V2512" t="str">
            <v>PV EMBV 3kg</v>
          </cell>
          <cell r="W2512" t="str">
            <v>Ajuste</v>
          </cell>
          <cell r="X2512">
            <v>36</v>
          </cell>
          <cell r="Y2512">
            <v>108</v>
          </cell>
        </row>
        <row r="2513">
          <cell r="U2513" t="str">
            <v>L105122</v>
          </cell>
          <cell r="V2513" t="str">
            <v>PV FRUVER 10kg</v>
          </cell>
          <cell r="W2513" t="str">
            <v>Ajuste</v>
          </cell>
          <cell r="X2513">
            <v>50</v>
          </cell>
          <cell r="Y2513">
            <v>500</v>
          </cell>
        </row>
        <row r="2514">
          <cell r="U2514" t="str">
            <v>L105200</v>
          </cell>
          <cell r="V2514" t="str">
            <v>PV FRUVER 10kg</v>
          </cell>
          <cell r="W2514" t="str">
            <v>Ajuste</v>
          </cell>
          <cell r="X2514">
            <v>62</v>
          </cell>
          <cell r="Y2514">
            <v>620</v>
          </cell>
        </row>
        <row r="2515">
          <cell r="U2515" t="str">
            <v>L105298</v>
          </cell>
          <cell r="V2515" t="str">
            <v>PV FRUVER 10kg</v>
          </cell>
          <cell r="W2515" t="str">
            <v>Ajuste</v>
          </cell>
          <cell r="X2515">
            <v>128</v>
          </cell>
          <cell r="Y2515">
            <v>1280</v>
          </cell>
        </row>
        <row r="2516">
          <cell r="U2516" t="str">
            <v>L105360</v>
          </cell>
          <cell r="V2516" t="str">
            <v>PV FRUVER 10kg</v>
          </cell>
          <cell r="W2516" t="str">
            <v>Ajuste</v>
          </cell>
          <cell r="X2516">
            <v>52</v>
          </cell>
          <cell r="Y2516">
            <v>520</v>
          </cell>
        </row>
        <row r="2517">
          <cell r="U2517" t="str">
            <v>L105484</v>
          </cell>
          <cell r="V2517" t="str">
            <v>PV FRUVER 10kg</v>
          </cell>
          <cell r="W2517" t="str">
            <v>Ajuste</v>
          </cell>
          <cell r="X2517">
            <v>130</v>
          </cell>
          <cell r="Y2517">
            <v>1300</v>
          </cell>
        </row>
        <row r="2518">
          <cell r="U2518" t="str">
            <v>L105602</v>
          </cell>
          <cell r="V2518" t="str">
            <v>PV FRUVER 10kg</v>
          </cell>
          <cell r="W2518" t="str">
            <v>Ajuste</v>
          </cell>
          <cell r="X2518">
            <v>2</v>
          </cell>
          <cell r="Y2518">
            <v>20</v>
          </cell>
        </row>
        <row r="2519">
          <cell r="U2519" t="str">
            <v>L105707</v>
          </cell>
          <cell r="V2519" t="str">
            <v>PV FRUVER 10kg</v>
          </cell>
          <cell r="W2519" t="str">
            <v>Ajuste</v>
          </cell>
          <cell r="X2519">
            <v>42</v>
          </cell>
          <cell r="Y2519">
            <v>420</v>
          </cell>
        </row>
        <row r="2520">
          <cell r="U2520" t="str">
            <v>L105830</v>
          </cell>
          <cell r="V2520" t="str">
            <v>PV FRUVER 10kg</v>
          </cell>
          <cell r="W2520" t="str">
            <v>Ajuste</v>
          </cell>
          <cell r="X2520">
            <v>190</v>
          </cell>
          <cell r="Y2520">
            <v>1900</v>
          </cell>
        </row>
        <row r="2521">
          <cell r="U2521" t="str">
            <v>L105916</v>
          </cell>
          <cell r="V2521" t="str">
            <v>PV FRUVER 10kg</v>
          </cell>
          <cell r="W2521" t="str">
            <v>Ajuste</v>
          </cell>
          <cell r="X2521">
            <v>140</v>
          </cell>
          <cell r="Y2521">
            <v>1400</v>
          </cell>
        </row>
        <row r="2522">
          <cell r="U2522" t="str">
            <v>L105329</v>
          </cell>
          <cell r="V2522" t="str">
            <v>PV FRVDVG 5kg</v>
          </cell>
          <cell r="W2522" t="str">
            <v>Ajuste</v>
          </cell>
          <cell r="X2522">
            <v>2</v>
          </cell>
          <cell r="Y2522">
            <v>10</v>
          </cell>
        </row>
        <row r="2523">
          <cell r="U2523" t="str">
            <v>L105471</v>
          </cell>
          <cell r="V2523" t="str">
            <v>PV FRVDVG 5kg</v>
          </cell>
          <cell r="W2523" t="str">
            <v>Ajuste</v>
          </cell>
          <cell r="X2523">
            <v>2</v>
          </cell>
          <cell r="Y2523">
            <v>10</v>
          </cell>
        </row>
        <row r="2524">
          <cell r="U2524" t="str">
            <v>L105477</v>
          </cell>
          <cell r="V2524" t="str">
            <v>PV FRVDVG 5kg</v>
          </cell>
          <cell r="W2524" t="str">
            <v>Ajuste</v>
          </cell>
          <cell r="X2524">
            <v>2</v>
          </cell>
          <cell r="Y2524">
            <v>10</v>
          </cell>
        </row>
        <row r="2525">
          <cell r="U2525" t="str">
            <v>L105761</v>
          </cell>
          <cell r="V2525" t="str">
            <v>PV FRVDVG 5kg</v>
          </cell>
          <cell r="W2525" t="str">
            <v>Ajuste</v>
          </cell>
          <cell r="X2525">
            <v>2</v>
          </cell>
          <cell r="Y2525">
            <v>10</v>
          </cell>
        </row>
        <row r="2526">
          <cell r="U2526" t="str">
            <v>L105817</v>
          </cell>
          <cell r="V2526" t="str">
            <v>PV FRVDVG 5kg</v>
          </cell>
          <cell r="W2526" t="str">
            <v>Ajuste</v>
          </cell>
          <cell r="X2526">
            <v>2</v>
          </cell>
          <cell r="Y2526">
            <v>10</v>
          </cell>
        </row>
        <row r="2527">
          <cell r="U2527" t="str">
            <v>L105836</v>
          </cell>
          <cell r="V2527" t="str">
            <v>PV FRVDVG 5kg</v>
          </cell>
          <cell r="W2527" t="str">
            <v>Ajuste</v>
          </cell>
          <cell r="X2527">
            <v>2</v>
          </cell>
          <cell r="Y2527">
            <v>10</v>
          </cell>
        </row>
        <row r="2528">
          <cell r="U2528" t="str">
            <v>L105118</v>
          </cell>
          <cell r="V2528" t="str">
            <v>PV FRVDVG 8kg</v>
          </cell>
          <cell r="W2528" t="str">
            <v>Ajuste</v>
          </cell>
          <cell r="X2528">
            <v>80</v>
          </cell>
          <cell r="Y2528">
            <v>640</v>
          </cell>
        </row>
        <row r="2529">
          <cell r="U2529" t="str">
            <v>L105179</v>
          </cell>
          <cell r="V2529" t="str">
            <v>PV FRVDVG 8kg</v>
          </cell>
          <cell r="W2529" t="str">
            <v>Ajuste</v>
          </cell>
          <cell r="X2529">
            <v>2</v>
          </cell>
          <cell r="Y2529">
            <v>16</v>
          </cell>
        </row>
        <row r="2530">
          <cell r="U2530" t="str">
            <v>L105182</v>
          </cell>
          <cell r="V2530" t="str">
            <v>PV FRVDVG 8kg</v>
          </cell>
          <cell r="W2530" t="str">
            <v>Ajuste</v>
          </cell>
          <cell r="X2530">
            <v>14</v>
          </cell>
          <cell r="Y2530">
            <v>112</v>
          </cell>
        </row>
        <row r="2531">
          <cell r="U2531" t="str">
            <v>L105192</v>
          </cell>
          <cell r="V2531" t="str">
            <v>PV FRVDVG 8kg</v>
          </cell>
          <cell r="W2531" t="str">
            <v>Ajuste</v>
          </cell>
          <cell r="X2531">
            <v>10</v>
          </cell>
          <cell r="Y2531">
            <v>80</v>
          </cell>
        </row>
        <row r="2532">
          <cell r="U2532" t="str">
            <v>L105198</v>
          </cell>
          <cell r="V2532" t="str">
            <v>PV FRVDVG 8kg</v>
          </cell>
          <cell r="W2532" t="str">
            <v>Ajuste</v>
          </cell>
          <cell r="X2532">
            <v>14</v>
          </cell>
          <cell r="Y2532">
            <v>112</v>
          </cell>
        </row>
        <row r="2533">
          <cell r="U2533" t="str">
            <v>L105287</v>
          </cell>
          <cell r="V2533" t="str">
            <v>PV FRVDVG 8kg</v>
          </cell>
          <cell r="W2533" t="str">
            <v>Ajuste</v>
          </cell>
          <cell r="X2533">
            <v>6</v>
          </cell>
          <cell r="Y2533">
            <v>48</v>
          </cell>
        </row>
        <row r="2534">
          <cell r="U2534" t="str">
            <v>L105289</v>
          </cell>
          <cell r="V2534" t="str">
            <v>PV FRVDVG 8kg</v>
          </cell>
          <cell r="W2534" t="str">
            <v>Ajuste</v>
          </cell>
          <cell r="X2534">
            <v>42</v>
          </cell>
          <cell r="Y2534">
            <v>336</v>
          </cell>
        </row>
        <row r="2535">
          <cell r="U2535" t="str">
            <v>L105294</v>
          </cell>
          <cell r="V2535" t="str">
            <v>PV FRVDVG 8kg</v>
          </cell>
          <cell r="W2535" t="str">
            <v>Ajuste</v>
          </cell>
          <cell r="X2535">
            <v>16</v>
          </cell>
          <cell r="Y2535">
            <v>128</v>
          </cell>
        </row>
        <row r="2536">
          <cell r="U2536" t="str">
            <v>L105328</v>
          </cell>
          <cell r="V2536" t="str">
            <v>PV FRVDVG 8kg</v>
          </cell>
          <cell r="W2536" t="str">
            <v>Ajuste</v>
          </cell>
          <cell r="X2536">
            <v>18</v>
          </cell>
          <cell r="Y2536">
            <v>144</v>
          </cell>
        </row>
        <row r="2537">
          <cell r="U2537" t="str">
            <v>L105338</v>
          </cell>
          <cell r="V2537" t="str">
            <v>PV FRVDVG 8kg</v>
          </cell>
          <cell r="W2537" t="str">
            <v>Ajuste</v>
          </cell>
          <cell r="X2537">
            <v>12</v>
          </cell>
          <cell r="Y2537">
            <v>96</v>
          </cell>
        </row>
        <row r="2538">
          <cell r="U2538" t="str">
            <v>L105346</v>
          </cell>
          <cell r="V2538" t="str">
            <v>PV FRVDVG 8kg</v>
          </cell>
          <cell r="W2538" t="str">
            <v>Ajuste</v>
          </cell>
          <cell r="X2538">
            <v>20</v>
          </cell>
          <cell r="Y2538">
            <v>160</v>
          </cell>
        </row>
        <row r="2539">
          <cell r="U2539" t="str">
            <v>L105355</v>
          </cell>
          <cell r="V2539" t="str">
            <v>PV FRVDVG 8kg</v>
          </cell>
          <cell r="W2539" t="str">
            <v>Ajuste</v>
          </cell>
          <cell r="X2539">
            <v>2</v>
          </cell>
          <cell r="Y2539">
            <v>16</v>
          </cell>
        </row>
        <row r="2540">
          <cell r="U2540" t="str">
            <v>L105413</v>
          </cell>
          <cell r="V2540" t="str">
            <v>PV FRVDVG 8kg</v>
          </cell>
          <cell r="W2540" t="str">
            <v>Ajuste</v>
          </cell>
          <cell r="X2540">
            <v>28</v>
          </cell>
          <cell r="Y2540">
            <v>224</v>
          </cell>
        </row>
        <row r="2541">
          <cell r="U2541" t="str">
            <v>L105418</v>
          </cell>
          <cell r="V2541" t="str">
            <v>PV FRVDVG 8kg</v>
          </cell>
          <cell r="W2541" t="str">
            <v>Ajuste</v>
          </cell>
          <cell r="X2541">
            <v>12</v>
          </cell>
          <cell r="Y2541">
            <v>96</v>
          </cell>
        </row>
        <row r="2542">
          <cell r="U2542" t="str">
            <v>L105470</v>
          </cell>
          <cell r="V2542" t="str">
            <v>PV FRVDVG 8kg</v>
          </cell>
          <cell r="W2542" t="str">
            <v>Ajuste</v>
          </cell>
          <cell r="X2542">
            <v>18</v>
          </cell>
          <cell r="Y2542">
            <v>144</v>
          </cell>
        </row>
        <row r="2543">
          <cell r="U2543" t="str">
            <v>L105476</v>
          </cell>
          <cell r="V2543" t="str">
            <v>PV FRVDVG 8kg</v>
          </cell>
          <cell r="W2543" t="str">
            <v>Ajuste</v>
          </cell>
          <cell r="X2543">
            <v>14</v>
          </cell>
          <cell r="Y2543">
            <v>112</v>
          </cell>
        </row>
        <row r="2544">
          <cell r="U2544" t="str">
            <v>L105692</v>
          </cell>
          <cell r="V2544" t="str">
            <v>PV FRVDVG 8kg</v>
          </cell>
          <cell r="W2544" t="str">
            <v>Ajuste</v>
          </cell>
          <cell r="X2544">
            <v>26</v>
          </cell>
          <cell r="Y2544">
            <v>208</v>
          </cell>
        </row>
        <row r="2545">
          <cell r="U2545" t="str">
            <v>L105709</v>
          </cell>
          <cell r="V2545" t="str">
            <v>PV FRVDVG 8kg</v>
          </cell>
          <cell r="W2545" t="str">
            <v>Ajuste</v>
          </cell>
          <cell r="X2545">
            <v>14</v>
          </cell>
          <cell r="Y2545">
            <v>112</v>
          </cell>
        </row>
        <row r="2546">
          <cell r="U2546" t="str">
            <v>L105760</v>
          </cell>
          <cell r="V2546" t="str">
            <v>PV FRVDVG 8kg</v>
          </cell>
          <cell r="W2546" t="str">
            <v>Ajuste</v>
          </cell>
          <cell r="X2546">
            <v>14</v>
          </cell>
          <cell r="Y2546">
            <v>112</v>
          </cell>
        </row>
        <row r="2547">
          <cell r="U2547" t="str">
            <v>L105768</v>
          </cell>
          <cell r="V2547" t="str">
            <v>PV FRVDVG 8kg</v>
          </cell>
          <cell r="W2547" t="str">
            <v>Ajuste</v>
          </cell>
          <cell r="X2547">
            <v>16</v>
          </cell>
          <cell r="Y2547">
            <v>128</v>
          </cell>
        </row>
        <row r="2548">
          <cell r="U2548" t="str">
            <v>L105816</v>
          </cell>
          <cell r="V2548" t="str">
            <v>PV FRVDVG 8kg</v>
          </cell>
          <cell r="W2548" t="str">
            <v>Ajuste</v>
          </cell>
          <cell r="X2548">
            <v>6</v>
          </cell>
          <cell r="Y2548">
            <v>48</v>
          </cell>
        </row>
        <row r="2549">
          <cell r="U2549" t="str">
            <v>L105821</v>
          </cell>
          <cell r="V2549" t="str">
            <v>PV FRVDVG 8kg</v>
          </cell>
          <cell r="W2549" t="str">
            <v>Ajuste</v>
          </cell>
          <cell r="X2549">
            <v>12</v>
          </cell>
          <cell r="Y2549">
            <v>96</v>
          </cell>
        </row>
        <row r="2550">
          <cell r="U2550" t="str">
            <v>L105835</v>
          </cell>
          <cell r="V2550" t="str">
            <v>PV FRVDVG 8kg</v>
          </cell>
          <cell r="W2550" t="str">
            <v>Ajuste</v>
          </cell>
          <cell r="X2550">
            <v>36</v>
          </cell>
          <cell r="Y2550">
            <v>288</v>
          </cell>
        </row>
        <row r="2551">
          <cell r="U2551" t="str">
            <v>L105903</v>
          </cell>
          <cell r="V2551" t="str">
            <v>PV FRVDVG 8kg</v>
          </cell>
          <cell r="W2551" t="str">
            <v>Ajuste</v>
          </cell>
          <cell r="X2551">
            <v>16</v>
          </cell>
          <cell r="Y2551">
            <v>128</v>
          </cell>
        </row>
        <row r="2552">
          <cell r="U2552" t="str">
            <v>L105771</v>
          </cell>
          <cell r="V2552" t="str">
            <v>PV GLV 11Kg</v>
          </cell>
          <cell r="W2552" t="str">
            <v>Ajuste</v>
          </cell>
          <cell r="X2552">
            <v>30</v>
          </cell>
          <cell r="Y2552">
            <v>330</v>
          </cell>
        </row>
        <row r="2553">
          <cell r="U2553" t="str">
            <v>L105789</v>
          </cell>
          <cell r="V2553" t="str">
            <v>PV GLV 7kg</v>
          </cell>
          <cell r="W2553" t="str">
            <v>Ajuste</v>
          </cell>
          <cell r="X2553">
            <v>4</v>
          </cell>
          <cell r="Y2553">
            <v>28</v>
          </cell>
        </row>
        <row r="2554">
          <cell r="U2554" t="str">
            <v>L105555</v>
          </cell>
          <cell r="V2554" t="str">
            <v>PV GTA 1kg</v>
          </cell>
          <cell r="W2554" t="str">
            <v>Ajuste</v>
          </cell>
          <cell r="X2554">
            <v>4</v>
          </cell>
          <cell r="Y2554">
            <v>4</v>
          </cell>
        </row>
        <row r="2555">
          <cell r="U2555" t="str">
            <v>L105556</v>
          </cell>
          <cell r="V2555" t="str">
            <v>PV GTA 1kg</v>
          </cell>
          <cell r="W2555" t="str">
            <v>Ajuste</v>
          </cell>
          <cell r="X2555">
            <v>4</v>
          </cell>
          <cell r="Y2555">
            <v>4</v>
          </cell>
        </row>
        <row r="2556">
          <cell r="U2556" t="str">
            <v>L105557</v>
          </cell>
          <cell r="V2556" t="str">
            <v>PV GTA 1kg</v>
          </cell>
          <cell r="W2556" t="str">
            <v>Ajuste</v>
          </cell>
          <cell r="X2556">
            <v>2</v>
          </cell>
          <cell r="Y2556">
            <v>2</v>
          </cell>
        </row>
        <row r="2557">
          <cell r="U2557" t="str">
            <v>L105559</v>
          </cell>
          <cell r="V2557" t="str">
            <v>PV GTA 1kg</v>
          </cell>
          <cell r="W2557" t="str">
            <v>Ajuste</v>
          </cell>
          <cell r="X2557">
            <v>6</v>
          </cell>
          <cell r="Y2557">
            <v>6</v>
          </cell>
        </row>
        <row r="2558">
          <cell r="U2558" t="str">
            <v>L105552</v>
          </cell>
          <cell r="V2558" t="str">
            <v>PV MYN 3kg</v>
          </cell>
          <cell r="W2558" t="str">
            <v>Ajuste</v>
          </cell>
          <cell r="X2558">
            <v>436</v>
          </cell>
          <cell r="Y2558">
            <v>1308</v>
          </cell>
        </row>
        <row r="2559">
          <cell r="U2559" t="str">
            <v>L105553</v>
          </cell>
          <cell r="V2559" t="str">
            <v>PV MYN 3kg</v>
          </cell>
          <cell r="W2559" t="str">
            <v>Ajuste</v>
          </cell>
          <cell r="X2559">
            <v>4</v>
          </cell>
          <cell r="Y2559">
            <v>12</v>
          </cell>
        </row>
        <row r="2560">
          <cell r="U2560" t="str">
            <v>L105763</v>
          </cell>
          <cell r="V2560" t="str">
            <v>PV MYN 3kg</v>
          </cell>
          <cell r="W2560" t="str">
            <v>Ajuste</v>
          </cell>
          <cell r="X2560">
            <v>420</v>
          </cell>
          <cell r="Y2560">
            <v>1260</v>
          </cell>
        </row>
        <row r="2561">
          <cell r="U2561" t="str">
            <v>L105420</v>
          </cell>
          <cell r="V2561" t="str">
            <v>PV PAN 2kg</v>
          </cell>
          <cell r="W2561" t="str">
            <v>Ajuste</v>
          </cell>
          <cell r="X2561">
            <v>48</v>
          </cell>
          <cell r="Y2561">
            <v>96</v>
          </cell>
        </row>
        <row r="2562">
          <cell r="U2562" t="str">
            <v>L105480</v>
          </cell>
          <cell r="V2562" t="str">
            <v>PV PAN 2kg</v>
          </cell>
          <cell r="W2562" t="str">
            <v>Ajuste</v>
          </cell>
          <cell r="X2562">
            <v>66</v>
          </cell>
          <cell r="Y2562">
            <v>132</v>
          </cell>
        </row>
        <row r="2563">
          <cell r="U2563" t="str">
            <v>L105481</v>
          </cell>
          <cell r="V2563" t="str">
            <v>PV PAN 2kg</v>
          </cell>
          <cell r="W2563" t="str">
            <v>Ajuste</v>
          </cell>
          <cell r="X2563">
            <v>34</v>
          </cell>
          <cell r="Y2563">
            <v>68</v>
          </cell>
        </row>
        <row r="2564">
          <cell r="U2564" t="str">
            <v>L104939</v>
          </cell>
          <cell r="V2564" t="str">
            <v>PV PAN 2kg</v>
          </cell>
          <cell r="W2564" t="str">
            <v>Ajuste</v>
          </cell>
          <cell r="X2564">
            <v>16</v>
          </cell>
          <cell r="Y2564">
            <v>32</v>
          </cell>
        </row>
        <row r="2565">
          <cell r="U2565" t="str">
            <v>L104949</v>
          </cell>
          <cell r="V2565" t="str">
            <v>PV PAN 2kg</v>
          </cell>
          <cell r="W2565" t="str">
            <v>Ajuste</v>
          </cell>
          <cell r="X2565">
            <v>2</v>
          </cell>
          <cell r="Y2565">
            <v>4</v>
          </cell>
        </row>
        <row r="2566">
          <cell r="U2566" t="str">
            <v>L104999</v>
          </cell>
          <cell r="V2566" t="str">
            <v>PV PAN 2kg</v>
          </cell>
          <cell r="W2566" t="str">
            <v>Ajuste</v>
          </cell>
          <cell r="X2566">
            <v>4</v>
          </cell>
          <cell r="Y2566">
            <v>8</v>
          </cell>
        </row>
        <row r="2567">
          <cell r="U2567" t="str">
            <v>L105070</v>
          </cell>
          <cell r="V2567" t="str">
            <v>PV PAN 2kg</v>
          </cell>
          <cell r="W2567" t="str">
            <v>Ajuste</v>
          </cell>
          <cell r="X2567">
            <v>6</v>
          </cell>
          <cell r="Y2567">
            <v>12</v>
          </cell>
        </row>
        <row r="2568">
          <cell r="U2568" t="str">
            <v>L105076</v>
          </cell>
          <cell r="V2568" t="str">
            <v>PV PAN 2kg</v>
          </cell>
          <cell r="W2568" t="str">
            <v>Ajuste</v>
          </cell>
          <cell r="X2568">
            <v>4</v>
          </cell>
          <cell r="Y2568">
            <v>8</v>
          </cell>
        </row>
        <row r="2569">
          <cell r="U2569" t="str">
            <v>L105093</v>
          </cell>
          <cell r="V2569" t="str">
            <v>PV PAN 2kg</v>
          </cell>
          <cell r="W2569" t="str">
            <v>Ajuste</v>
          </cell>
          <cell r="X2569">
            <v>4</v>
          </cell>
          <cell r="Y2569">
            <v>8</v>
          </cell>
        </row>
        <row r="2570">
          <cell r="U2570" t="str">
            <v>L105113</v>
          </cell>
          <cell r="V2570" t="str">
            <v>PV PAN 2kg</v>
          </cell>
          <cell r="W2570" t="str">
            <v>Ajuste</v>
          </cell>
          <cell r="X2570">
            <v>24</v>
          </cell>
          <cell r="Y2570">
            <v>48</v>
          </cell>
        </row>
        <row r="2571">
          <cell r="U2571" t="str">
            <v>L105178</v>
          </cell>
          <cell r="V2571" t="str">
            <v>PV PAN 2kg</v>
          </cell>
          <cell r="W2571" t="str">
            <v>Ajuste</v>
          </cell>
          <cell r="X2571">
            <v>18</v>
          </cell>
          <cell r="Y2571">
            <v>36</v>
          </cell>
        </row>
        <row r="2572">
          <cell r="U2572" t="str">
            <v>L105197</v>
          </cell>
          <cell r="V2572" t="str">
            <v>PV PAN 2kg</v>
          </cell>
          <cell r="W2572" t="str">
            <v>Ajuste</v>
          </cell>
          <cell r="X2572">
            <v>8</v>
          </cell>
          <cell r="Y2572">
            <v>16</v>
          </cell>
        </row>
        <row r="2573">
          <cell r="U2573" t="str">
            <v>L105282</v>
          </cell>
          <cell r="V2573" t="str">
            <v>PV PAN 2kg</v>
          </cell>
          <cell r="W2573" t="str">
            <v>Ajuste</v>
          </cell>
          <cell r="X2573">
            <v>4</v>
          </cell>
          <cell r="Y2573">
            <v>8</v>
          </cell>
        </row>
        <row r="2574">
          <cell r="U2574" t="str">
            <v>L105285</v>
          </cell>
          <cell r="V2574" t="str">
            <v>PV PAN 2kg</v>
          </cell>
          <cell r="W2574" t="str">
            <v>Ajuste</v>
          </cell>
          <cell r="X2574">
            <v>6</v>
          </cell>
          <cell r="Y2574">
            <v>12</v>
          </cell>
        </row>
        <row r="2575">
          <cell r="U2575" t="str">
            <v>L105293</v>
          </cell>
          <cell r="V2575" t="str">
            <v>PV PAN 2kg</v>
          </cell>
          <cell r="W2575" t="str">
            <v>Ajuste</v>
          </cell>
          <cell r="X2575">
            <v>12</v>
          </cell>
          <cell r="Y2575">
            <v>24</v>
          </cell>
        </row>
        <row r="2576">
          <cell r="U2576" t="str">
            <v>L105296</v>
          </cell>
          <cell r="V2576" t="str">
            <v>PV PAN 2kg</v>
          </cell>
          <cell r="W2576" t="str">
            <v>Ajuste</v>
          </cell>
          <cell r="X2576">
            <v>40</v>
          </cell>
          <cell r="Y2576">
            <v>80</v>
          </cell>
        </row>
        <row r="2577">
          <cell r="U2577" t="str">
            <v>L105326</v>
          </cell>
          <cell r="V2577" t="str">
            <v>PV PAN 2kg</v>
          </cell>
          <cell r="W2577" t="str">
            <v>Ajuste</v>
          </cell>
          <cell r="X2577">
            <v>24</v>
          </cell>
          <cell r="Y2577">
            <v>48</v>
          </cell>
        </row>
        <row r="2578">
          <cell r="U2578" t="str">
            <v>L105354</v>
          </cell>
          <cell r="V2578" t="str">
            <v>PV PAN 2kg</v>
          </cell>
          <cell r="W2578" t="str">
            <v>Ajuste</v>
          </cell>
          <cell r="X2578">
            <v>8</v>
          </cell>
          <cell r="Y2578">
            <v>16</v>
          </cell>
        </row>
        <row r="2579">
          <cell r="U2579" t="str">
            <v>L105356</v>
          </cell>
          <cell r="V2579" t="str">
            <v>PV PAN 2kg</v>
          </cell>
          <cell r="W2579" t="str">
            <v>Ajuste</v>
          </cell>
          <cell r="X2579">
            <v>26</v>
          </cell>
          <cell r="Y2579">
            <v>52</v>
          </cell>
        </row>
        <row r="2580">
          <cell r="U2580" t="str">
            <v>L105357</v>
          </cell>
          <cell r="V2580" t="str">
            <v>PV PAN 2kg</v>
          </cell>
          <cell r="W2580" t="str">
            <v>Ajuste</v>
          </cell>
          <cell r="X2580">
            <v>4</v>
          </cell>
          <cell r="Y2580">
            <v>8</v>
          </cell>
        </row>
        <row r="2581">
          <cell r="U2581" t="str">
            <v>L105358</v>
          </cell>
          <cell r="V2581" t="str">
            <v>PV PAN 2kg</v>
          </cell>
          <cell r="W2581" t="str">
            <v>Ajuste</v>
          </cell>
          <cell r="X2581">
            <v>12</v>
          </cell>
          <cell r="Y2581">
            <v>24</v>
          </cell>
        </row>
        <row r="2582">
          <cell r="U2582" t="str">
            <v>L105359</v>
          </cell>
          <cell r="V2582" t="str">
            <v>PV PAN 2kg</v>
          </cell>
          <cell r="W2582" t="str">
            <v>Ajuste</v>
          </cell>
          <cell r="X2582">
            <v>8</v>
          </cell>
          <cell r="Y2582">
            <v>16</v>
          </cell>
        </row>
        <row r="2583">
          <cell r="U2583" t="str">
            <v>L105367</v>
          </cell>
          <cell r="V2583" t="str">
            <v>PV PAN 2kg</v>
          </cell>
          <cell r="W2583" t="str">
            <v>Ajuste</v>
          </cell>
          <cell r="X2583">
            <v>6</v>
          </cell>
          <cell r="Y2583">
            <v>12</v>
          </cell>
        </row>
        <row r="2584">
          <cell r="U2584" t="str">
            <v>L105408</v>
          </cell>
          <cell r="V2584" t="str">
            <v>PV PAN 2kg</v>
          </cell>
          <cell r="W2584" t="str">
            <v>Ajuste</v>
          </cell>
          <cell r="X2584">
            <v>44</v>
          </cell>
          <cell r="Y2584">
            <v>88</v>
          </cell>
        </row>
        <row r="2585">
          <cell r="U2585" t="str">
            <v>L105417</v>
          </cell>
          <cell r="V2585" t="str">
            <v>PV PAN 2kg</v>
          </cell>
          <cell r="W2585" t="str">
            <v>Ajuste</v>
          </cell>
          <cell r="X2585">
            <v>2</v>
          </cell>
          <cell r="Y2585">
            <v>4</v>
          </cell>
        </row>
        <row r="2586">
          <cell r="U2586" t="str">
            <v>L105468</v>
          </cell>
          <cell r="V2586" t="str">
            <v>PV PAN 2kg</v>
          </cell>
          <cell r="W2586" t="str">
            <v>Ajuste</v>
          </cell>
          <cell r="X2586">
            <v>6</v>
          </cell>
          <cell r="Y2586">
            <v>12</v>
          </cell>
        </row>
        <row r="2587">
          <cell r="U2587" t="str">
            <v>L105479</v>
          </cell>
          <cell r="V2587" t="str">
            <v>PV PAN 2kg</v>
          </cell>
          <cell r="W2587" t="str">
            <v>Ajuste</v>
          </cell>
          <cell r="X2587">
            <v>68</v>
          </cell>
          <cell r="Y2587">
            <v>136</v>
          </cell>
        </row>
        <row r="2588">
          <cell r="U2588" t="str">
            <v>L105595</v>
          </cell>
          <cell r="V2588" t="str">
            <v>PV PAN 2kg</v>
          </cell>
          <cell r="W2588" t="str">
            <v>Ajuste</v>
          </cell>
          <cell r="X2588">
            <v>58</v>
          </cell>
          <cell r="Y2588">
            <v>116</v>
          </cell>
        </row>
        <row r="2589">
          <cell r="U2589" t="str">
            <v>L105597</v>
          </cell>
          <cell r="V2589" t="str">
            <v>PV PAN 2kg</v>
          </cell>
          <cell r="W2589" t="str">
            <v>Ajuste</v>
          </cell>
          <cell r="X2589">
            <v>10</v>
          </cell>
          <cell r="Y2589">
            <v>20</v>
          </cell>
        </row>
        <row r="2590">
          <cell r="U2590" t="str">
            <v>L105598</v>
          </cell>
          <cell r="V2590" t="str">
            <v>PV PAN 2kg</v>
          </cell>
          <cell r="W2590" t="str">
            <v>Ajuste</v>
          </cell>
          <cell r="X2590">
            <v>2</v>
          </cell>
          <cell r="Y2590">
            <v>4</v>
          </cell>
        </row>
        <row r="2591">
          <cell r="U2591" t="str">
            <v>L105694</v>
          </cell>
          <cell r="V2591" t="str">
            <v>PV PAN 2kg</v>
          </cell>
          <cell r="W2591" t="str">
            <v>Ajuste</v>
          </cell>
          <cell r="X2591">
            <v>12</v>
          </cell>
          <cell r="Y2591">
            <v>24</v>
          </cell>
        </row>
        <row r="2592">
          <cell r="U2592" t="str">
            <v>L105699</v>
          </cell>
          <cell r="V2592" t="str">
            <v>PV PAN 2kg</v>
          </cell>
          <cell r="W2592" t="str">
            <v>Ajuste</v>
          </cell>
          <cell r="X2592">
            <v>8</v>
          </cell>
          <cell r="Y2592">
            <v>16</v>
          </cell>
        </row>
        <row r="2593">
          <cell r="U2593" t="str">
            <v>L105767</v>
          </cell>
          <cell r="V2593" t="str">
            <v>PV PAN 2kg</v>
          </cell>
          <cell r="W2593" t="str">
            <v>Ajuste</v>
          </cell>
          <cell r="X2593">
            <v>6</v>
          </cell>
          <cell r="Y2593">
            <v>12</v>
          </cell>
        </row>
        <row r="2594">
          <cell r="U2594" t="str">
            <v>L105825</v>
          </cell>
          <cell r="V2594" t="str">
            <v>PV PAN 2kg</v>
          </cell>
          <cell r="W2594" t="str">
            <v>Ajuste</v>
          </cell>
          <cell r="X2594">
            <v>34</v>
          </cell>
          <cell r="Y2594">
            <v>68</v>
          </cell>
        </row>
        <row r="2595">
          <cell r="U2595" t="str">
            <v>L105834</v>
          </cell>
          <cell r="V2595" t="str">
            <v>PV PAN 2kg</v>
          </cell>
          <cell r="W2595" t="str">
            <v>Ajuste</v>
          </cell>
          <cell r="X2595">
            <v>6</v>
          </cell>
          <cell r="Y2595">
            <v>12</v>
          </cell>
        </row>
        <row r="2596">
          <cell r="U2596" t="str">
            <v>L105899</v>
          </cell>
          <cell r="V2596" t="str">
            <v>PV PAN 2kg</v>
          </cell>
          <cell r="W2596" t="str">
            <v>Ajuste</v>
          </cell>
          <cell r="X2596">
            <v>4</v>
          </cell>
          <cell r="Y2596">
            <v>8</v>
          </cell>
        </row>
        <row r="2597">
          <cell r="U2597" t="str">
            <v>L105626</v>
          </cell>
          <cell r="V2597" t="str">
            <v>PV PAN 2kg</v>
          </cell>
          <cell r="W2597" t="str">
            <v>Ajuste</v>
          </cell>
          <cell r="X2597">
            <v>4</v>
          </cell>
          <cell r="Y2597">
            <v>8</v>
          </cell>
        </row>
        <row r="2598">
          <cell r="U2598" t="str">
            <v>L105627</v>
          </cell>
          <cell r="V2598" t="str">
            <v>PV PAN 2kg</v>
          </cell>
          <cell r="W2598" t="str">
            <v>Ajuste</v>
          </cell>
          <cell r="X2598">
            <v>5</v>
          </cell>
          <cell r="Y2598">
            <v>10</v>
          </cell>
        </row>
        <row r="2599">
          <cell r="U2599" t="str">
            <v>L105960</v>
          </cell>
          <cell r="V2599" t="str">
            <v>PV PAN 2kg</v>
          </cell>
          <cell r="W2599" t="str">
            <v>Ajuste</v>
          </cell>
          <cell r="X2599">
            <v>6</v>
          </cell>
          <cell r="Y2599">
            <v>12</v>
          </cell>
        </row>
        <row r="2600">
          <cell r="U2600" t="str">
            <v>L104938</v>
          </cell>
          <cell r="V2600" t="str">
            <v>PV PAN 3kg-CAJA</v>
          </cell>
          <cell r="W2600" t="str">
            <v>Ajuste</v>
          </cell>
          <cell r="X2600">
            <v>2</v>
          </cell>
          <cell r="Y2600">
            <v>6</v>
          </cell>
        </row>
        <row r="2601">
          <cell r="U2601" t="str">
            <v>L105475</v>
          </cell>
          <cell r="V2601" t="str">
            <v>PV PAN 3kg-CAJA</v>
          </cell>
          <cell r="W2601" t="str">
            <v>Ajuste</v>
          </cell>
          <cell r="X2601">
            <v>2</v>
          </cell>
          <cell r="Y2601">
            <v>6</v>
          </cell>
        </row>
        <row r="2602">
          <cell r="U2602" t="str">
            <v>L104948</v>
          </cell>
          <cell r="V2602" t="str">
            <v>PV PASTV 2kg</v>
          </cell>
          <cell r="W2602" t="str">
            <v>Ajuste</v>
          </cell>
          <cell r="X2602">
            <v>12</v>
          </cell>
          <cell r="Y2602">
            <v>24</v>
          </cell>
        </row>
        <row r="2603">
          <cell r="U2603" t="str">
            <v>L104960</v>
          </cell>
          <cell r="V2603" t="str">
            <v>PV PASTV 2kg</v>
          </cell>
          <cell r="W2603" t="str">
            <v>Ajuste</v>
          </cell>
          <cell r="X2603">
            <v>4</v>
          </cell>
          <cell r="Y2603">
            <v>8</v>
          </cell>
        </row>
        <row r="2604">
          <cell r="U2604" t="str">
            <v>L104987</v>
          </cell>
          <cell r="V2604" t="str">
            <v>PV PASTV 2kg</v>
          </cell>
          <cell r="W2604" t="str">
            <v>Ajuste</v>
          </cell>
          <cell r="X2604">
            <v>28</v>
          </cell>
          <cell r="Y2604">
            <v>56</v>
          </cell>
        </row>
        <row r="2605">
          <cell r="U2605" t="str">
            <v>L104998</v>
          </cell>
          <cell r="V2605" t="str">
            <v>PV PASTV 2kg</v>
          </cell>
          <cell r="W2605" t="str">
            <v>Ajuste</v>
          </cell>
          <cell r="X2605">
            <v>36</v>
          </cell>
          <cell r="Y2605">
            <v>72</v>
          </cell>
        </row>
        <row r="2606">
          <cell r="U2606" t="str">
            <v>L105024</v>
          </cell>
          <cell r="V2606" t="str">
            <v>PV PASTV 2kg</v>
          </cell>
          <cell r="W2606" t="str">
            <v>Ajuste</v>
          </cell>
          <cell r="X2606">
            <v>4</v>
          </cell>
          <cell r="Y2606">
            <v>8</v>
          </cell>
        </row>
        <row r="2607">
          <cell r="U2607" t="str">
            <v>L105069</v>
          </cell>
          <cell r="V2607" t="str">
            <v>PV PASTV 2kg</v>
          </cell>
          <cell r="W2607" t="str">
            <v>Ajuste</v>
          </cell>
          <cell r="X2607">
            <v>26</v>
          </cell>
          <cell r="Y2607">
            <v>52</v>
          </cell>
        </row>
        <row r="2608">
          <cell r="U2608" t="str">
            <v>L105075</v>
          </cell>
          <cell r="V2608" t="str">
            <v>PV PASTV 2kg</v>
          </cell>
          <cell r="W2608" t="str">
            <v>Ajuste</v>
          </cell>
          <cell r="X2608">
            <v>28</v>
          </cell>
          <cell r="Y2608">
            <v>56</v>
          </cell>
        </row>
        <row r="2609">
          <cell r="U2609" t="str">
            <v>L105091</v>
          </cell>
          <cell r="V2609" t="str">
            <v>PV PASTV 2kg</v>
          </cell>
          <cell r="W2609" t="str">
            <v>Ajuste</v>
          </cell>
          <cell r="X2609">
            <v>28</v>
          </cell>
          <cell r="Y2609">
            <v>56</v>
          </cell>
        </row>
        <row r="2610">
          <cell r="U2610" t="str">
            <v>L105177</v>
          </cell>
          <cell r="V2610" t="str">
            <v>PV PASTV 2kg</v>
          </cell>
          <cell r="W2610" t="str">
            <v>Ajuste</v>
          </cell>
          <cell r="X2610">
            <v>24</v>
          </cell>
          <cell r="Y2610">
            <v>48</v>
          </cell>
        </row>
        <row r="2611">
          <cell r="U2611" t="str">
            <v>L105196</v>
          </cell>
          <cell r="V2611" t="str">
            <v>PV PASTV 2kg</v>
          </cell>
          <cell r="W2611" t="str">
            <v>Ajuste</v>
          </cell>
          <cell r="X2611">
            <v>62</v>
          </cell>
          <cell r="Y2611">
            <v>124</v>
          </cell>
        </row>
        <row r="2612">
          <cell r="U2612" t="str">
            <v>L105281</v>
          </cell>
          <cell r="V2612" t="str">
            <v>PV PASTV 2kg</v>
          </cell>
          <cell r="W2612" t="str">
            <v>Ajuste</v>
          </cell>
          <cell r="X2612">
            <v>16</v>
          </cell>
          <cell r="Y2612">
            <v>32</v>
          </cell>
        </row>
        <row r="2613">
          <cell r="U2613" t="str">
            <v>L105284</v>
          </cell>
          <cell r="V2613" t="str">
            <v>PV PASTV 2kg</v>
          </cell>
          <cell r="W2613" t="str">
            <v>Ajuste</v>
          </cell>
          <cell r="X2613">
            <v>24</v>
          </cell>
          <cell r="Y2613">
            <v>48</v>
          </cell>
        </row>
        <row r="2614">
          <cell r="U2614" t="str">
            <v>L105291</v>
          </cell>
          <cell r="V2614" t="str">
            <v>PV PASTV 2kg</v>
          </cell>
          <cell r="W2614" t="str">
            <v>Ajuste</v>
          </cell>
          <cell r="X2614">
            <v>28</v>
          </cell>
          <cell r="Y2614">
            <v>56</v>
          </cell>
        </row>
        <row r="2615">
          <cell r="U2615" t="str">
            <v>L105345</v>
          </cell>
          <cell r="V2615" t="str">
            <v>PV PASTV 2kg</v>
          </cell>
          <cell r="W2615" t="str">
            <v>Ajuste</v>
          </cell>
          <cell r="X2615">
            <v>12</v>
          </cell>
          <cell r="Y2615">
            <v>24</v>
          </cell>
        </row>
        <row r="2616">
          <cell r="U2616" t="str">
            <v>L105353</v>
          </cell>
          <cell r="V2616" t="str">
            <v>PV PASTV 2kg</v>
          </cell>
          <cell r="W2616" t="str">
            <v>Ajuste</v>
          </cell>
          <cell r="X2616">
            <v>16</v>
          </cell>
          <cell r="Y2616">
            <v>32</v>
          </cell>
        </row>
        <row r="2617">
          <cell r="U2617" t="str">
            <v>L105405</v>
          </cell>
          <cell r="V2617" t="str">
            <v>PV PASTV 2kg</v>
          </cell>
          <cell r="W2617" t="str">
            <v>Ajuste</v>
          </cell>
          <cell r="X2617">
            <v>22</v>
          </cell>
          <cell r="Y2617">
            <v>44</v>
          </cell>
        </row>
        <row r="2618">
          <cell r="U2618" t="str">
            <v>L105407</v>
          </cell>
          <cell r="V2618" t="str">
            <v>PV PASTV 2kg</v>
          </cell>
          <cell r="W2618" t="str">
            <v>Ajuste</v>
          </cell>
          <cell r="X2618">
            <v>8</v>
          </cell>
          <cell r="Y2618">
            <v>16</v>
          </cell>
        </row>
        <row r="2619">
          <cell r="U2619" t="str">
            <v>L105416</v>
          </cell>
          <cell r="V2619" t="str">
            <v>PV PASTV 2kg</v>
          </cell>
          <cell r="W2619" t="str">
            <v>Ajuste</v>
          </cell>
          <cell r="X2619">
            <v>42</v>
          </cell>
          <cell r="Y2619">
            <v>84</v>
          </cell>
        </row>
        <row r="2620">
          <cell r="U2620" t="str">
            <v>L105467</v>
          </cell>
          <cell r="V2620" t="str">
            <v>PV PASTV 2kg</v>
          </cell>
          <cell r="W2620" t="str">
            <v>Ajuste</v>
          </cell>
          <cell r="X2620">
            <v>10</v>
          </cell>
          <cell r="Y2620">
            <v>20</v>
          </cell>
        </row>
        <row r="2621">
          <cell r="U2621" t="str">
            <v>L105473</v>
          </cell>
          <cell r="V2621" t="str">
            <v>PV PASTV 2kg</v>
          </cell>
          <cell r="W2621" t="str">
            <v>Ajuste</v>
          </cell>
          <cell r="X2621">
            <v>6</v>
          </cell>
          <cell r="Y2621">
            <v>12</v>
          </cell>
        </row>
        <row r="2622">
          <cell r="U2622" t="str">
            <v>L105695</v>
          </cell>
          <cell r="V2622" t="str">
            <v>PV PASTV 2kg</v>
          </cell>
          <cell r="W2622" t="str">
            <v>Ajuste</v>
          </cell>
          <cell r="X2622">
            <v>28</v>
          </cell>
          <cell r="Y2622">
            <v>56</v>
          </cell>
        </row>
        <row r="2623">
          <cell r="U2623" t="str">
            <v>L105698</v>
          </cell>
          <cell r="V2623" t="str">
            <v>PV PASTV 2kg</v>
          </cell>
          <cell r="W2623" t="str">
            <v>Ajuste</v>
          </cell>
          <cell r="X2623">
            <v>20</v>
          </cell>
          <cell r="Y2623">
            <v>40</v>
          </cell>
        </row>
        <row r="2624">
          <cell r="U2624" t="str">
            <v>L105759</v>
          </cell>
          <cell r="V2624" t="str">
            <v>PV PASTV 2kg</v>
          </cell>
          <cell r="W2624" t="str">
            <v>Ajuste</v>
          </cell>
          <cell r="X2624">
            <v>26</v>
          </cell>
          <cell r="Y2624">
            <v>52</v>
          </cell>
        </row>
        <row r="2625">
          <cell r="U2625" t="str">
            <v>L105766</v>
          </cell>
          <cell r="V2625" t="str">
            <v>PV PASTV 2kg</v>
          </cell>
          <cell r="W2625" t="str">
            <v>Ajuste</v>
          </cell>
          <cell r="X2625">
            <v>24</v>
          </cell>
          <cell r="Y2625">
            <v>48</v>
          </cell>
        </row>
        <row r="2626">
          <cell r="U2626" t="str">
            <v>L105824</v>
          </cell>
          <cell r="V2626" t="str">
            <v>PV PASTV 2kg</v>
          </cell>
          <cell r="W2626" t="str">
            <v>Ajuste</v>
          </cell>
          <cell r="X2626">
            <v>15</v>
          </cell>
          <cell r="Y2626">
            <v>30</v>
          </cell>
        </row>
        <row r="2627">
          <cell r="U2627" t="str">
            <v>L105824</v>
          </cell>
          <cell r="V2627" t="str">
            <v>PV PASTV 2kg</v>
          </cell>
          <cell r="W2627" t="str">
            <v>Uso del BAP</v>
          </cell>
          <cell r="X2627">
            <v>1</v>
          </cell>
          <cell r="Y2627">
            <v>2</v>
          </cell>
        </row>
        <row r="2628">
          <cell r="U2628" t="str">
            <v>L105833</v>
          </cell>
          <cell r="V2628" t="str">
            <v>PV PASTV 2kg</v>
          </cell>
          <cell r="W2628" t="str">
            <v>Ajuste</v>
          </cell>
          <cell r="X2628">
            <v>28</v>
          </cell>
          <cell r="Y2628">
            <v>56</v>
          </cell>
        </row>
        <row r="2629">
          <cell r="U2629" t="str">
            <v>L105897</v>
          </cell>
          <cell r="V2629" t="str">
            <v>PV PASTV 2kg</v>
          </cell>
          <cell r="W2629" t="str">
            <v>Ajuste</v>
          </cell>
          <cell r="X2629">
            <v>26</v>
          </cell>
          <cell r="Y2629">
            <v>52</v>
          </cell>
        </row>
        <row r="2630">
          <cell r="U2630" t="str">
            <v>L105973</v>
          </cell>
          <cell r="V2630" t="str">
            <v>PV PASTV 2kg</v>
          </cell>
          <cell r="W2630" t="str">
            <v>Ajuste</v>
          </cell>
          <cell r="X2630">
            <v>6</v>
          </cell>
          <cell r="Y2630">
            <v>12</v>
          </cell>
        </row>
        <row r="2631">
          <cell r="U2631" t="str">
            <v>L104947</v>
          </cell>
          <cell r="V2631" t="str">
            <v>PV PASTV 3kg</v>
          </cell>
          <cell r="W2631" t="str">
            <v>Ajuste</v>
          </cell>
          <cell r="X2631">
            <v>4</v>
          </cell>
          <cell r="Y2631">
            <v>12</v>
          </cell>
        </row>
        <row r="2632">
          <cell r="U2632" t="str">
            <v>L104959</v>
          </cell>
          <cell r="V2632" t="str">
            <v>PV PASTV 3kg</v>
          </cell>
          <cell r="W2632" t="str">
            <v>Ajuste</v>
          </cell>
          <cell r="X2632">
            <v>16</v>
          </cell>
          <cell r="Y2632">
            <v>48</v>
          </cell>
        </row>
        <row r="2633">
          <cell r="U2633" t="str">
            <v>L104968</v>
          </cell>
          <cell r="V2633" t="str">
            <v>PV PASTV 3kg</v>
          </cell>
          <cell r="W2633" t="str">
            <v>Ajuste</v>
          </cell>
          <cell r="X2633">
            <v>2</v>
          </cell>
          <cell r="Y2633">
            <v>6</v>
          </cell>
        </row>
        <row r="2634">
          <cell r="U2634" t="str">
            <v>L104986</v>
          </cell>
          <cell r="V2634" t="str">
            <v>PV PASTV 3kg</v>
          </cell>
          <cell r="W2634" t="str">
            <v>Ajuste</v>
          </cell>
          <cell r="X2634">
            <v>14</v>
          </cell>
          <cell r="Y2634">
            <v>42</v>
          </cell>
        </row>
        <row r="2635">
          <cell r="U2635" t="str">
            <v>L104997</v>
          </cell>
          <cell r="V2635" t="str">
            <v>PV PASTV 3kg</v>
          </cell>
          <cell r="W2635" t="str">
            <v>Ajuste</v>
          </cell>
          <cell r="X2635">
            <v>40</v>
          </cell>
          <cell r="Y2635">
            <v>120</v>
          </cell>
        </row>
        <row r="2636">
          <cell r="U2636" t="str">
            <v>L105068</v>
          </cell>
          <cell r="V2636" t="str">
            <v>PV PASTV 3kg</v>
          </cell>
          <cell r="W2636" t="str">
            <v>Ajuste</v>
          </cell>
          <cell r="X2636">
            <v>28</v>
          </cell>
          <cell r="Y2636">
            <v>84</v>
          </cell>
        </row>
        <row r="2637">
          <cell r="U2637" t="str">
            <v>L105074</v>
          </cell>
          <cell r="V2637" t="str">
            <v>PV PASTV 3kg</v>
          </cell>
          <cell r="W2637" t="str">
            <v>Ajuste</v>
          </cell>
          <cell r="X2637">
            <v>42</v>
          </cell>
          <cell r="Y2637">
            <v>126</v>
          </cell>
        </row>
        <row r="2638">
          <cell r="U2638" t="str">
            <v>L105176</v>
          </cell>
          <cell r="V2638" t="str">
            <v>PV PASTV 3kg</v>
          </cell>
          <cell r="W2638" t="str">
            <v>Ajuste</v>
          </cell>
          <cell r="X2638">
            <v>26</v>
          </cell>
          <cell r="Y2638">
            <v>78</v>
          </cell>
        </row>
        <row r="2639">
          <cell r="U2639" t="str">
            <v>L105194</v>
          </cell>
          <cell r="V2639" t="str">
            <v>PV PASTV 3kg</v>
          </cell>
          <cell r="W2639" t="str">
            <v>Ajuste</v>
          </cell>
          <cell r="X2639">
            <v>22</v>
          </cell>
          <cell r="Y2639">
            <v>66</v>
          </cell>
        </row>
        <row r="2640">
          <cell r="U2640" t="str">
            <v>L105280</v>
          </cell>
          <cell r="V2640" t="str">
            <v>PV PASTV 3kg</v>
          </cell>
          <cell r="W2640" t="str">
            <v>Ajuste</v>
          </cell>
          <cell r="X2640">
            <v>22</v>
          </cell>
          <cell r="Y2640">
            <v>66</v>
          </cell>
        </row>
        <row r="2641">
          <cell r="U2641" t="str">
            <v>L105283</v>
          </cell>
          <cell r="V2641" t="str">
            <v>PV PASTV 3kg</v>
          </cell>
          <cell r="W2641" t="str">
            <v>Ajuste</v>
          </cell>
          <cell r="X2641">
            <v>10</v>
          </cell>
          <cell r="Y2641">
            <v>30</v>
          </cell>
        </row>
        <row r="2642">
          <cell r="U2642" t="str">
            <v>L105292</v>
          </cell>
          <cell r="V2642" t="str">
            <v>PV PASTV 3kg</v>
          </cell>
          <cell r="W2642" t="str">
            <v>Ajuste</v>
          </cell>
          <cell r="X2642">
            <v>2</v>
          </cell>
          <cell r="Y2642">
            <v>6</v>
          </cell>
        </row>
        <row r="2643">
          <cell r="U2643" t="str">
            <v>L105344</v>
          </cell>
          <cell r="V2643" t="str">
            <v>PV PASTV 3kg</v>
          </cell>
          <cell r="W2643" t="str">
            <v>Ajuste</v>
          </cell>
          <cell r="X2643">
            <v>26</v>
          </cell>
          <cell r="Y2643">
            <v>78</v>
          </cell>
        </row>
        <row r="2644">
          <cell r="U2644" t="str">
            <v>L105351</v>
          </cell>
          <cell r="V2644" t="str">
            <v>PV PASTV 3kg</v>
          </cell>
          <cell r="W2644" t="str">
            <v>Ajuste</v>
          </cell>
          <cell r="X2644">
            <v>12</v>
          </cell>
          <cell r="Y2644">
            <v>36</v>
          </cell>
        </row>
        <row r="2645">
          <cell r="U2645" t="str">
            <v>L105404</v>
          </cell>
          <cell r="V2645" t="str">
            <v>PV PASTV 3kg</v>
          </cell>
          <cell r="W2645" t="str">
            <v>Ajuste</v>
          </cell>
          <cell r="X2645">
            <v>12</v>
          </cell>
          <cell r="Y2645">
            <v>36</v>
          </cell>
        </row>
        <row r="2646">
          <cell r="U2646" t="str">
            <v>L105406</v>
          </cell>
          <cell r="V2646" t="str">
            <v>PV PASTV 3kg</v>
          </cell>
          <cell r="W2646" t="str">
            <v>Ajuste</v>
          </cell>
          <cell r="X2646">
            <v>12</v>
          </cell>
          <cell r="Y2646">
            <v>36</v>
          </cell>
        </row>
        <row r="2647">
          <cell r="U2647" t="str">
            <v>L105474</v>
          </cell>
          <cell r="V2647" t="str">
            <v>PV PASTV 3kg</v>
          </cell>
          <cell r="W2647" t="str">
            <v>Ajuste</v>
          </cell>
          <cell r="X2647">
            <v>10</v>
          </cell>
          <cell r="Y2647">
            <v>30</v>
          </cell>
        </row>
        <row r="2648">
          <cell r="U2648" t="str">
            <v>L105696</v>
          </cell>
          <cell r="V2648" t="str">
            <v>PV PASTV 3kg</v>
          </cell>
          <cell r="W2648" t="str">
            <v>Ajuste</v>
          </cell>
          <cell r="X2648">
            <v>38</v>
          </cell>
          <cell r="Y2648">
            <v>114</v>
          </cell>
        </row>
        <row r="2649">
          <cell r="U2649" t="str">
            <v>L105697</v>
          </cell>
          <cell r="V2649" t="str">
            <v>PV PASTV 3kg</v>
          </cell>
          <cell r="W2649" t="str">
            <v>Ajuste</v>
          </cell>
          <cell r="X2649">
            <v>8</v>
          </cell>
          <cell r="Y2649">
            <v>24</v>
          </cell>
        </row>
        <row r="2650">
          <cell r="U2650" t="str">
            <v>L105757</v>
          </cell>
          <cell r="V2650" t="str">
            <v>PV PASTV 3kg</v>
          </cell>
          <cell r="W2650" t="str">
            <v>Ajuste</v>
          </cell>
          <cell r="X2650">
            <v>28</v>
          </cell>
          <cell r="Y2650">
            <v>84</v>
          </cell>
        </row>
        <row r="2651">
          <cell r="U2651" t="str">
            <v>L105765</v>
          </cell>
          <cell r="V2651" t="str">
            <v>PV PASTV 3kg</v>
          </cell>
          <cell r="W2651" t="str">
            <v>Ajuste</v>
          </cell>
          <cell r="X2651">
            <v>12</v>
          </cell>
          <cell r="Y2651">
            <v>36</v>
          </cell>
        </row>
        <row r="2652">
          <cell r="U2652" t="str">
            <v>L105823</v>
          </cell>
          <cell r="V2652" t="str">
            <v>PV PASTV 3kg</v>
          </cell>
          <cell r="W2652" t="str">
            <v>Ajuste</v>
          </cell>
          <cell r="X2652">
            <v>24</v>
          </cell>
          <cell r="Y2652">
            <v>72</v>
          </cell>
        </row>
        <row r="2653">
          <cell r="U2653" t="str">
            <v>L105832</v>
          </cell>
          <cell r="V2653" t="str">
            <v>PV PASTV 3kg</v>
          </cell>
          <cell r="W2653" t="str">
            <v>Ajuste</v>
          </cell>
          <cell r="X2653">
            <v>4</v>
          </cell>
          <cell r="Y2653">
            <v>12</v>
          </cell>
        </row>
        <row r="2654">
          <cell r="U2654" t="str">
            <v>L105898</v>
          </cell>
          <cell r="V2654" t="str">
            <v>PV PASTV 3kg</v>
          </cell>
          <cell r="W2654" t="str">
            <v>Ajuste</v>
          </cell>
          <cell r="X2654">
            <v>8</v>
          </cell>
          <cell r="Y2654">
            <v>24</v>
          </cell>
        </row>
        <row r="2655">
          <cell r="U2655" t="str">
            <v>L105961</v>
          </cell>
          <cell r="V2655" t="str">
            <v>PV PASTV 3kg</v>
          </cell>
          <cell r="W2655" t="str">
            <v>Ajuste</v>
          </cell>
          <cell r="X2655">
            <v>3</v>
          </cell>
          <cell r="Y2655">
            <v>9</v>
          </cell>
        </row>
        <row r="2656">
          <cell r="U2656" t="str">
            <v>L104980</v>
          </cell>
          <cell r="V2656" t="str">
            <v>PV PASTV 4kg</v>
          </cell>
          <cell r="W2656" t="str">
            <v>Ajuste</v>
          </cell>
          <cell r="X2656">
            <v>2</v>
          </cell>
          <cell r="Y2656">
            <v>8</v>
          </cell>
        </row>
        <row r="2657">
          <cell r="U2657" t="str">
            <v>L104993</v>
          </cell>
          <cell r="V2657" t="str">
            <v>PV PASTV 4kg</v>
          </cell>
          <cell r="W2657" t="str">
            <v>Ajuste</v>
          </cell>
          <cell r="X2657">
            <v>8</v>
          </cell>
          <cell r="Y2657">
            <v>32</v>
          </cell>
        </row>
        <row r="2658">
          <cell r="U2658" t="str">
            <v>L105067</v>
          </cell>
          <cell r="V2658" t="str">
            <v>PV PASTV 4kg</v>
          </cell>
          <cell r="W2658" t="str">
            <v>Ajuste</v>
          </cell>
          <cell r="X2658">
            <v>8</v>
          </cell>
          <cell r="Y2658">
            <v>32</v>
          </cell>
        </row>
        <row r="2659">
          <cell r="U2659" t="str">
            <v>L105073</v>
          </cell>
          <cell r="V2659" t="str">
            <v>PV PASTV 4kg</v>
          </cell>
          <cell r="W2659" t="str">
            <v>Ajuste</v>
          </cell>
          <cell r="X2659">
            <v>2</v>
          </cell>
          <cell r="Y2659">
            <v>8</v>
          </cell>
        </row>
        <row r="2660">
          <cell r="U2660" t="str">
            <v>L105089</v>
          </cell>
          <cell r="V2660" t="str">
            <v>PV PASTV 4kg</v>
          </cell>
          <cell r="W2660" t="str">
            <v>Ajuste</v>
          </cell>
          <cell r="X2660">
            <v>2</v>
          </cell>
          <cell r="Y2660">
            <v>8</v>
          </cell>
        </row>
        <row r="2661">
          <cell r="U2661" t="str">
            <v>L105195</v>
          </cell>
          <cell r="V2661" t="str">
            <v>PV PASTV 4kg</v>
          </cell>
          <cell r="W2661" t="str">
            <v>Ajuste</v>
          </cell>
          <cell r="X2661">
            <v>4</v>
          </cell>
          <cell r="Y2661">
            <v>16</v>
          </cell>
        </row>
        <row r="2662">
          <cell r="U2662" t="str">
            <v>L105279</v>
          </cell>
          <cell r="V2662" t="str">
            <v>PV PASTV 4kg</v>
          </cell>
          <cell r="W2662" t="str">
            <v>Ajuste</v>
          </cell>
          <cell r="X2662">
            <v>6</v>
          </cell>
          <cell r="Y2662">
            <v>24</v>
          </cell>
        </row>
        <row r="2663">
          <cell r="U2663" t="str">
            <v>L105758</v>
          </cell>
          <cell r="V2663" t="str">
            <v>PV PASTV 4kg</v>
          </cell>
          <cell r="W2663" t="str">
            <v>Ajuste</v>
          </cell>
          <cell r="X2663">
            <v>4</v>
          </cell>
          <cell r="Y2663">
            <v>16</v>
          </cell>
        </row>
        <row r="2664">
          <cell r="U2664" t="str">
            <v>L105175</v>
          </cell>
          <cell r="V2664" t="str">
            <v>PV PRTZ UND</v>
          </cell>
          <cell r="W2664" t="str">
            <v>Ajuste</v>
          </cell>
          <cell r="X2664">
            <v>18</v>
          </cell>
          <cell r="Y2664">
            <v>18</v>
          </cell>
        </row>
        <row r="2665">
          <cell r="U2665" t="str">
            <v>L105181</v>
          </cell>
          <cell r="V2665" t="str">
            <v>PV PRTZ UND</v>
          </cell>
          <cell r="W2665" t="str">
            <v>Ajuste</v>
          </cell>
          <cell r="X2665">
            <v>20</v>
          </cell>
          <cell r="Y2665">
            <v>20</v>
          </cell>
        </row>
        <row r="2666">
          <cell r="U2666" t="str">
            <v>L105325</v>
          </cell>
          <cell r="V2666" t="str">
            <v>PV PRTZ UND</v>
          </cell>
          <cell r="W2666" t="str">
            <v>Ajuste</v>
          </cell>
          <cell r="X2666">
            <v>16</v>
          </cell>
          <cell r="Y2666">
            <v>16</v>
          </cell>
        </row>
        <row r="2667">
          <cell r="U2667" t="str">
            <v>L105684</v>
          </cell>
          <cell r="V2667" t="str">
            <v>PV PRTZ UND</v>
          </cell>
          <cell r="W2667" t="str">
            <v>Ajuste</v>
          </cell>
          <cell r="X2667">
            <v>24</v>
          </cell>
          <cell r="Y2667">
            <v>24</v>
          </cell>
        </row>
        <row r="2668">
          <cell r="U2668" t="str">
            <v>L105755</v>
          </cell>
          <cell r="V2668" t="str">
            <v>PV PRTZ UND</v>
          </cell>
          <cell r="W2668" t="str">
            <v>Ajuste</v>
          </cell>
          <cell r="X2668">
            <v>10</v>
          </cell>
          <cell r="Y2668">
            <v>10</v>
          </cell>
        </row>
        <row r="2669">
          <cell r="U2669" t="str">
            <v>L105802</v>
          </cell>
          <cell r="V2669" t="str">
            <v>PV PRTZ UND</v>
          </cell>
          <cell r="W2669" t="str">
            <v>Ajuste</v>
          </cell>
          <cell r="X2669">
            <v>30</v>
          </cell>
          <cell r="Y2669">
            <v>30</v>
          </cell>
        </row>
        <row r="2670">
          <cell r="U2670" t="str">
            <v>L105811</v>
          </cell>
          <cell r="V2670" t="str">
            <v>PV PRTZ UND</v>
          </cell>
          <cell r="W2670" t="str">
            <v>Ajuste</v>
          </cell>
          <cell r="X2670">
            <v>20</v>
          </cell>
          <cell r="Y2670">
            <v>20</v>
          </cell>
        </row>
        <row r="2671">
          <cell r="U2671" t="str">
            <v>L105815</v>
          </cell>
          <cell r="V2671" t="str">
            <v>PV PRTZ UND</v>
          </cell>
          <cell r="W2671" t="str">
            <v>Ajuste</v>
          </cell>
          <cell r="X2671">
            <v>32</v>
          </cell>
          <cell r="Y2671">
            <v>32</v>
          </cell>
        </row>
        <row r="2672">
          <cell r="U2672" t="str">
            <v>L105895</v>
          </cell>
          <cell r="V2672" t="str">
            <v>PV PRTZ UND</v>
          </cell>
          <cell r="W2672" t="str">
            <v>Ajuste</v>
          </cell>
          <cell r="X2672">
            <v>44</v>
          </cell>
          <cell r="Y2672">
            <v>44</v>
          </cell>
        </row>
        <row r="2673">
          <cell r="U2673" t="str">
            <v>L105938</v>
          </cell>
          <cell r="V2673" t="str">
            <v>PV PTD 2 kg</v>
          </cell>
          <cell r="W2673" t="str">
            <v>Ajuste</v>
          </cell>
          <cell r="X2673">
            <v>2</v>
          </cell>
          <cell r="Y2673">
            <v>4</v>
          </cell>
        </row>
        <row r="2674">
          <cell r="U2674" t="str">
            <v>L105985</v>
          </cell>
          <cell r="V2674" t="str">
            <v>PV PTM 5kg-CAJA</v>
          </cell>
          <cell r="W2674" t="str">
            <v>Ajuste</v>
          </cell>
          <cell r="X2674">
            <v>258</v>
          </cell>
          <cell r="Y2674">
            <v>1290</v>
          </cell>
        </row>
        <row r="2675">
          <cell r="U2675" t="str">
            <v>L105922</v>
          </cell>
          <cell r="V2675" t="str">
            <v>PV SBC 2kg</v>
          </cell>
          <cell r="W2675" t="str">
            <v>Ajuste</v>
          </cell>
          <cell r="X2675">
            <v>1</v>
          </cell>
          <cell r="Y2675">
            <v>2</v>
          </cell>
        </row>
        <row r="2676">
          <cell r="U2676" t="str">
            <v>L105838</v>
          </cell>
          <cell r="V2676" t="str">
            <v>SNK 1.5kg-CAJA</v>
          </cell>
          <cell r="W2676" t="str">
            <v>Ajuste</v>
          </cell>
          <cell r="X2676">
            <v>1</v>
          </cell>
          <cell r="Y2676">
            <v>1.5</v>
          </cell>
        </row>
        <row r="2677">
          <cell r="U2677" t="str">
            <v>L105838</v>
          </cell>
          <cell r="V2677" t="str">
            <v>PV SNK 1.5kg</v>
          </cell>
          <cell r="W2677" t="str">
            <v>Ajuste</v>
          </cell>
          <cell r="X2677">
            <v>2</v>
          </cell>
          <cell r="Y2677">
            <v>3</v>
          </cell>
        </row>
        <row r="2678">
          <cell r="U2678" t="str">
            <v>L105570</v>
          </cell>
          <cell r="V2678" t="str">
            <v>PV SNK 1Kg</v>
          </cell>
          <cell r="W2678" t="str">
            <v>Ajuste</v>
          </cell>
          <cell r="X2678">
            <v>4</v>
          </cell>
          <cell r="Y2678">
            <v>4</v>
          </cell>
        </row>
        <row r="2679">
          <cell r="U2679" t="str">
            <v>L105571</v>
          </cell>
          <cell r="V2679" t="str">
            <v>PV SNK 1Kg</v>
          </cell>
          <cell r="W2679" t="str">
            <v>Ajuste</v>
          </cell>
          <cell r="X2679">
            <v>6</v>
          </cell>
          <cell r="Y2679">
            <v>6</v>
          </cell>
        </row>
        <row r="2680">
          <cell r="U2680" t="str">
            <v>L105572</v>
          </cell>
          <cell r="V2680" t="str">
            <v>PV SNK 1Kg</v>
          </cell>
          <cell r="W2680" t="str">
            <v>Ajuste</v>
          </cell>
          <cell r="X2680">
            <v>6</v>
          </cell>
          <cell r="Y2680">
            <v>6</v>
          </cell>
        </row>
        <row r="2681">
          <cell r="U2681" t="str">
            <v>L105573</v>
          </cell>
          <cell r="V2681" t="str">
            <v>PV SNK 1Kg</v>
          </cell>
          <cell r="W2681" t="str">
            <v>Ajuste</v>
          </cell>
          <cell r="X2681">
            <v>2</v>
          </cell>
          <cell r="Y2681">
            <v>2</v>
          </cell>
        </row>
        <row r="2682">
          <cell r="U2682" t="str">
            <v>L105574</v>
          </cell>
          <cell r="V2682" t="str">
            <v>PV SNK 1Kg</v>
          </cell>
          <cell r="W2682" t="str">
            <v>Ajuste</v>
          </cell>
          <cell r="X2682">
            <v>4</v>
          </cell>
          <cell r="Y2682">
            <v>4</v>
          </cell>
        </row>
        <row r="2683">
          <cell r="U2683" t="str">
            <v>L105562</v>
          </cell>
          <cell r="V2683" t="str">
            <v>PV SNK 2kg</v>
          </cell>
          <cell r="W2683" t="str">
            <v>Ajuste</v>
          </cell>
          <cell r="X2683">
            <v>11</v>
          </cell>
          <cell r="Y2683">
            <v>22</v>
          </cell>
        </row>
        <row r="2684">
          <cell r="U2684" t="str">
            <v>L105562</v>
          </cell>
          <cell r="V2684" t="str">
            <v>PV SNK 2kg</v>
          </cell>
          <cell r="W2684" t="str">
            <v>Uso del BAP</v>
          </cell>
          <cell r="X2684">
            <v>1</v>
          </cell>
          <cell r="Y2684">
            <v>2</v>
          </cell>
        </row>
        <row r="2685">
          <cell r="U2685" t="str">
            <v>L105563</v>
          </cell>
          <cell r="V2685" t="str">
            <v>PV SNK 2kg</v>
          </cell>
          <cell r="W2685" t="str">
            <v>Ajuste</v>
          </cell>
          <cell r="X2685">
            <v>6</v>
          </cell>
          <cell r="Y2685">
            <v>12</v>
          </cell>
        </row>
        <row r="2686">
          <cell r="U2686" t="str">
            <v>L105564</v>
          </cell>
          <cell r="V2686" t="str">
            <v>PV SNK 2kg</v>
          </cell>
          <cell r="W2686" t="str">
            <v>Ajuste</v>
          </cell>
          <cell r="X2686">
            <v>8</v>
          </cell>
          <cell r="Y2686">
            <v>16</v>
          </cell>
        </row>
        <row r="2687">
          <cell r="U2687" t="str">
            <v>L105565</v>
          </cell>
          <cell r="V2687" t="str">
            <v>PV SNK 2kg</v>
          </cell>
          <cell r="W2687" t="str">
            <v>Ajuste</v>
          </cell>
          <cell r="X2687">
            <v>4</v>
          </cell>
          <cell r="Y2687">
            <v>8</v>
          </cell>
        </row>
        <row r="2688">
          <cell r="U2688" t="str">
            <v>L105566</v>
          </cell>
          <cell r="V2688" t="str">
            <v>PV SNK 2kg</v>
          </cell>
          <cell r="W2688" t="str">
            <v>Ajuste</v>
          </cell>
          <cell r="X2688">
            <v>2</v>
          </cell>
          <cell r="Y2688">
            <v>4</v>
          </cell>
        </row>
        <row r="2689">
          <cell r="U2689" t="str">
            <v>L105937</v>
          </cell>
          <cell r="V2689" t="str">
            <v>PV SZD 5kg</v>
          </cell>
          <cell r="W2689" t="str">
            <v>Ajuste</v>
          </cell>
          <cell r="X2689">
            <v>4</v>
          </cell>
          <cell r="Y2689">
            <v>20</v>
          </cell>
        </row>
        <row r="2690">
          <cell r="U2690" t="str">
            <v>L105770</v>
          </cell>
          <cell r="V2690" t="str">
            <v>PV TMCH 5kg</v>
          </cell>
          <cell r="W2690" t="str">
            <v>Ajuste</v>
          </cell>
          <cell r="X2690">
            <v>284</v>
          </cell>
          <cell r="Y2690">
            <v>1420</v>
          </cell>
        </row>
        <row r="2691">
          <cell r="U2691" t="str">
            <v>L105244</v>
          </cell>
          <cell r="V2691" t="str">
            <v>SAL 1kg-PAQUETE</v>
          </cell>
          <cell r="W2691" t="str">
            <v>Ajuste</v>
          </cell>
          <cell r="X2691">
            <v>159</v>
          </cell>
          <cell r="Y2691">
            <v>159</v>
          </cell>
        </row>
        <row r="2692">
          <cell r="U2692" t="str">
            <v>L105529</v>
          </cell>
          <cell r="V2692" t="str">
            <v>SAL 1kg-PAQUETE</v>
          </cell>
          <cell r="W2692" t="str">
            <v>Ajuste</v>
          </cell>
          <cell r="X2692">
            <v>48</v>
          </cell>
          <cell r="Y2692">
            <v>48</v>
          </cell>
        </row>
        <row r="2693">
          <cell r="U2693" t="str">
            <v>l105398</v>
          </cell>
          <cell r="V2693" t="str">
            <v>SAL 2kg-PAQUETE</v>
          </cell>
          <cell r="W2693" t="str">
            <v>Ajuste</v>
          </cell>
          <cell r="X2693">
            <v>10</v>
          </cell>
          <cell r="Y2693">
            <v>20</v>
          </cell>
        </row>
        <row r="2694">
          <cell r="U2694" t="str">
            <v>L105064</v>
          </cell>
          <cell r="V2694" t="str">
            <v>SAL 2kg-PAQUETE</v>
          </cell>
          <cell r="W2694" t="str">
            <v>Ajuste</v>
          </cell>
          <cell r="X2694">
            <v>12</v>
          </cell>
          <cell r="Y2694">
            <v>24</v>
          </cell>
        </row>
        <row r="2695">
          <cell r="U2695" t="str">
            <v>L105150</v>
          </cell>
          <cell r="V2695" t="str">
            <v>SAL 2kg-PAQUETE</v>
          </cell>
          <cell r="W2695" t="str">
            <v>Ajuste</v>
          </cell>
          <cell r="X2695">
            <v>2</v>
          </cell>
          <cell r="Y2695">
            <v>4</v>
          </cell>
        </row>
        <row r="2696">
          <cell r="U2696" t="str">
            <v>L105319</v>
          </cell>
          <cell r="V2696" t="str">
            <v>SAL 2kg-PAQUETE</v>
          </cell>
          <cell r="W2696" t="str">
            <v>Ajuste</v>
          </cell>
          <cell r="X2696">
            <v>2</v>
          </cell>
          <cell r="Y2696">
            <v>4</v>
          </cell>
        </row>
        <row r="2697">
          <cell r="U2697" t="str">
            <v>L105942</v>
          </cell>
          <cell r="V2697" t="str">
            <v>Salsa de Tomate kg</v>
          </cell>
          <cell r="W2697" t="str">
            <v>Ajuste</v>
          </cell>
          <cell r="X2697">
            <v>33.200000000000003</v>
          </cell>
          <cell r="Y2697">
            <v>33.200000000000003</v>
          </cell>
        </row>
        <row r="2698">
          <cell r="U2698" t="str">
            <v>L105944</v>
          </cell>
          <cell r="V2698" t="str">
            <v>Salsa variada kg</v>
          </cell>
          <cell r="W2698" t="str">
            <v>Ajuste</v>
          </cell>
          <cell r="X2698">
            <v>13</v>
          </cell>
          <cell r="Y2698">
            <v>13</v>
          </cell>
        </row>
        <row r="2699">
          <cell r="U2699" t="str">
            <v>L105943</v>
          </cell>
          <cell r="V2699" t="str">
            <v>Sardina kg</v>
          </cell>
          <cell r="W2699" t="str">
            <v>Ajuste</v>
          </cell>
          <cell r="X2699">
            <v>3</v>
          </cell>
          <cell r="Y2699">
            <v>3</v>
          </cell>
        </row>
        <row r="2700">
          <cell r="U2700" t="str">
            <v>L105525</v>
          </cell>
          <cell r="V2700" t="str">
            <v>SAV 2kg-CAJA</v>
          </cell>
          <cell r="W2700" t="str">
            <v>Ajuste</v>
          </cell>
          <cell r="X2700">
            <v>2</v>
          </cell>
          <cell r="Y2700">
            <v>4</v>
          </cell>
        </row>
        <row r="2701">
          <cell r="U2701" t="str">
            <v>L105732</v>
          </cell>
          <cell r="V2701" t="str">
            <v>SAV 2kg-CAJA</v>
          </cell>
          <cell r="W2701" t="str">
            <v>Ajuste</v>
          </cell>
          <cell r="X2701">
            <v>36</v>
          </cell>
          <cell r="Y2701">
            <v>72</v>
          </cell>
        </row>
        <row r="2702">
          <cell r="U2702" t="str">
            <v>L105733</v>
          </cell>
          <cell r="V2702" t="str">
            <v>SAV 2kg-CAJA</v>
          </cell>
          <cell r="W2702" t="str">
            <v>Ajuste</v>
          </cell>
          <cell r="X2702">
            <v>48</v>
          </cell>
          <cell r="Y2702">
            <v>96</v>
          </cell>
        </row>
        <row r="2703">
          <cell r="U2703" t="str">
            <v>L105734</v>
          </cell>
          <cell r="V2703" t="str">
            <v>SAV 2kg-CAJA</v>
          </cell>
          <cell r="W2703" t="str">
            <v>Ajuste</v>
          </cell>
          <cell r="X2703">
            <v>2</v>
          </cell>
          <cell r="Y2703">
            <v>4</v>
          </cell>
        </row>
        <row r="2704">
          <cell r="U2704" t="str">
            <v>L105735</v>
          </cell>
          <cell r="V2704" t="str">
            <v>SAV 2kg-CAJA</v>
          </cell>
          <cell r="W2704" t="str">
            <v>Ajuste</v>
          </cell>
          <cell r="X2704">
            <v>2</v>
          </cell>
          <cell r="Y2704">
            <v>4</v>
          </cell>
        </row>
        <row r="2705">
          <cell r="U2705" t="str">
            <v>L105756</v>
          </cell>
          <cell r="V2705" t="str">
            <v>SAV 2kg-CAJA</v>
          </cell>
          <cell r="W2705" t="str">
            <v>Ajuste</v>
          </cell>
          <cell r="X2705">
            <v>4</v>
          </cell>
          <cell r="Y2705">
            <v>8</v>
          </cell>
        </row>
        <row r="2706">
          <cell r="U2706" t="str">
            <v>L105862</v>
          </cell>
          <cell r="V2706" t="str">
            <v>SAV 2kg-CAJA</v>
          </cell>
          <cell r="W2706" t="str">
            <v>Ajuste</v>
          </cell>
          <cell r="X2706">
            <v>14</v>
          </cell>
          <cell r="Y2706">
            <v>28</v>
          </cell>
        </row>
        <row r="2707">
          <cell r="U2707" t="str">
            <v>L105864</v>
          </cell>
          <cell r="V2707" t="str">
            <v>SAV 2kg-CAJA</v>
          </cell>
          <cell r="W2707" t="str">
            <v>Ajuste</v>
          </cell>
          <cell r="X2707">
            <v>24</v>
          </cell>
          <cell r="Y2707">
            <v>48</v>
          </cell>
        </row>
        <row r="2708">
          <cell r="U2708" t="str">
            <v>L105865</v>
          </cell>
          <cell r="V2708" t="str">
            <v>SAV 2kg-CAJA</v>
          </cell>
          <cell r="W2708" t="str">
            <v>Ajuste</v>
          </cell>
          <cell r="X2708">
            <v>10</v>
          </cell>
          <cell r="Y2708">
            <v>20</v>
          </cell>
        </row>
        <row r="2709">
          <cell r="U2709" t="str">
            <v>L105896</v>
          </cell>
          <cell r="V2709" t="str">
            <v>SAV 2kg-CAJA</v>
          </cell>
          <cell r="W2709" t="str">
            <v>Ajuste</v>
          </cell>
          <cell r="X2709">
            <v>2</v>
          </cell>
          <cell r="Y2709">
            <v>4</v>
          </cell>
        </row>
        <row r="2710">
          <cell r="U2710" t="str">
            <v>L105496</v>
          </cell>
          <cell r="V2710" t="str">
            <v>Sazonador kg</v>
          </cell>
          <cell r="W2710" t="str">
            <v>Ajuste</v>
          </cell>
          <cell r="X2710">
            <v>38</v>
          </cell>
          <cell r="Y2710">
            <v>38</v>
          </cell>
        </row>
        <row r="2711">
          <cell r="U2711" t="str">
            <v>L105397</v>
          </cell>
          <cell r="V2711" t="str">
            <v>SBC 2kg</v>
          </cell>
          <cell r="W2711" t="str">
            <v>Ajuste</v>
          </cell>
          <cell r="X2711">
            <v>4</v>
          </cell>
          <cell r="Y2711">
            <v>8</v>
          </cell>
        </row>
        <row r="2712">
          <cell r="U2712" t="str">
            <v>L105878</v>
          </cell>
          <cell r="V2712" t="str">
            <v>SBC 2kg</v>
          </cell>
          <cell r="W2712" t="str">
            <v>Ajuste</v>
          </cell>
          <cell r="X2712">
            <v>2</v>
          </cell>
          <cell r="Y2712">
            <v>4</v>
          </cell>
        </row>
        <row r="2713">
          <cell r="U2713" t="str">
            <v>L105879</v>
          </cell>
          <cell r="V2713" t="str">
            <v>SBC 2kg</v>
          </cell>
          <cell r="W2713" t="str">
            <v>Ajuste</v>
          </cell>
          <cell r="X2713">
            <v>2</v>
          </cell>
          <cell r="Y2713">
            <v>4</v>
          </cell>
        </row>
        <row r="2714">
          <cell r="U2714" t="str">
            <v>L105800</v>
          </cell>
          <cell r="V2714" t="str">
            <v>SCL 2kg-CAJA</v>
          </cell>
          <cell r="W2714" t="str">
            <v>Ajuste</v>
          </cell>
          <cell r="X2714">
            <v>2</v>
          </cell>
          <cell r="Y2714">
            <v>4</v>
          </cell>
        </row>
        <row r="2715">
          <cell r="U2715" t="str">
            <v>L105801</v>
          </cell>
          <cell r="V2715" t="str">
            <v>SCL 2kg-CAJA</v>
          </cell>
          <cell r="W2715" t="str">
            <v>Ajuste</v>
          </cell>
          <cell r="X2715">
            <v>4</v>
          </cell>
          <cell r="Y2715">
            <v>8</v>
          </cell>
        </row>
        <row r="2716">
          <cell r="U2716" t="str">
            <v>L105863</v>
          </cell>
          <cell r="V2716" t="str">
            <v>SDO 2kg-CAJA</v>
          </cell>
          <cell r="W2716" t="str">
            <v>Ajuste</v>
          </cell>
          <cell r="X2716">
            <v>14</v>
          </cell>
          <cell r="Y2716">
            <v>28</v>
          </cell>
        </row>
        <row r="2717">
          <cell r="U2717" t="str">
            <v>L105866</v>
          </cell>
          <cell r="V2717" t="str">
            <v>SDO 2kg-CAJA</v>
          </cell>
          <cell r="W2717" t="str">
            <v>Ajuste</v>
          </cell>
          <cell r="X2717">
            <v>2</v>
          </cell>
          <cell r="Y2717">
            <v>4</v>
          </cell>
        </row>
        <row r="2718">
          <cell r="U2718" t="str">
            <v>L105871</v>
          </cell>
          <cell r="V2718" t="str">
            <v>SDO 2kg-CAJA</v>
          </cell>
          <cell r="W2718" t="str">
            <v>Ajuste</v>
          </cell>
          <cell r="X2718">
            <v>4</v>
          </cell>
          <cell r="Y2718">
            <v>8</v>
          </cell>
        </row>
        <row r="2719">
          <cell r="U2719" t="str">
            <v>L105061</v>
          </cell>
          <cell r="V2719" t="str">
            <v>SDR 2Kg-UNIDAD</v>
          </cell>
          <cell r="W2719" t="str">
            <v>Ajuste</v>
          </cell>
          <cell r="X2719">
            <v>6</v>
          </cell>
          <cell r="Y2719">
            <v>12</v>
          </cell>
        </row>
        <row r="2720">
          <cell r="U2720" t="str">
            <v>L105666</v>
          </cell>
          <cell r="V2720" t="str">
            <v>SDR 2Kg-UNIDAD</v>
          </cell>
          <cell r="W2720" t="str">
            <v>Ajuste</v>
          </cell>
          <cell r="X2720">
            <v>2</v>
          </cell>
          <cell r="Y2720">
            <v>4</v>
          </cell>
        </row>
        <row r="2721">
          <cell r="U2721" t="str">
            <v>L105062</v>
          </cell>
          <cell r="V2721" t="str">
            <v>SDR 8kg</v>
          </cell>
          <cell r="W2721" t="str">
            <v>Ajuste</v>
          </cell>
          <cell r="X2721">
            <v>2</v>
          </cell>
          <cell r="Y2721">
            <v>16</v>
          </cell>
        </row>
        <row r="2722">
          <cell r="U2722" t="str">
            <v>L105379</v>
          </cell>
          <cell r="V2722" t="str">
            <v>SDR 9kg-CAJA</v>
          </cell>
          <cell r="W2722" t="str">
            <v>Ajuste</v>
          </cell>
          <cell r="X2722">
            <v>2</v>
          </cell>
          <cell r="Y2722">
            <v>18</v>
          </cell>
        </row>
        <row r="2723">
          <cell r="U2723" t="str">
            <v>L105065</v>
          </cell>
          <cell r="V2723" t="str">
            <v>SHMP 1kg Caja</v>
          </cell>
          <cell r="W2723" t="str">
            <v>Ajuste</v>
          </cell>
          <cell r="X2723">
            <v>6</v>
          </cell>
          <cell r="Y2723">
            <v>6</v>
          </cell>
        </row>
        <row r="2724">
          <cell r="U2724" t="str">
            <v>L105929</v>
          </cell>
          <cell r="V2724" t="str">
            <v>SNK 1.5kg-CAJA</v>
          </cell>
          <cell r="W2724" t="str">
            <v>Ajuste</v>
          </cell>
          <cell r="X2724">
            <v>1</v>
          </cell>
          <cell r="Y2724">
            <v>1.5</v>
          </cell>
        </row>
        <row r="2725">
          <cell r="U2725" t="str">
            <v>L105567</v>
          </cell>
          <cell r="V2725" t="str">
            <v>SNK 2.5kg</v>
          </cell>
          <cell r="W2725" t="str">
            <v>Ajuste</v>
          </cell>
          <cell r="X2725">
            <v>2</v>
          </cell>
          <cell r="Y2725">
            <v>5</v>
          </cell>
        </row>
        <row r="2726">
          <cell r="U2726" t="str">
            <v>L105568</v>
          </cell>
          <cell r="V2726" t="str">
            <v>SNK 2.5kg</v>
          </cell>
          <cell r="W2726" t="str">
            <v>Ajuste</v>
          </cell>
          <cell r="X2726">
            <v>2</v>
          </cell>
          <cell r="Y2726">
            <v>5</v>
          </cell>
        </row>
        <row r="2727">
          <cell r="U2727" t="str">
            <v>L105560</v>
          </cell>
          <cell r="V2727" t="str">
            <v>SNK 3.5kg-CAJA</v>
          </cell>
          <cell r="W2727" t="str">
            <v>Ajuste</v>
          </cell>
          <cell r="X2727">
            <v>2</v>
          </cell>
          <cell r="Y2727">
            <v>7</v>
          </cell>
        </row>
        <row r="2728">
          <cell r="U2728" t="str">
            <v>L105561</v>
          </cell>
          <cell r="V2728" t="str">
            <v>SNK 3.5kg-CAJA</v>
          </cell>
          <cell r="W2728" t="str">
            <v>Ajuste</v>
          </cell>
          <cell r="X2728">
            <v>4</v>
          </cell>
          <cell r="Y2728">
            <v>14</v>
          </cell>
        </row>
        <row r="2729">
          <cell r="U2729" t="str">
            <v>L105141</v>
          </cell>
          <cell r="V2729" t="str">
            <v>SNK 3kg-CAJA</v>
          </cell>
          <cell r="W2729" t="str">
            <v>Ajuste</v>
          </cell>
          <cell r="X2729">
            <v>14</v>
          </cell>
          <cell r="Y2729">
            <v>42</v>
          </cell>
        </row>
        <row r="2730">
          <cell r="U2730" t="str">
            <v>L105569</v>
          </cell>
          <cell r="V2730" t="str">
            <v>SNK 3kg-CAJA</v>
          </cell>
          <cell r="W2730" t="str">
            <v>Ajuste</v>
          </cell>
          <cell r="X2730">
            <v>1</v>
          </cell>
          <cell r="Y2730">
            <v>3</v>
          </cell>
        </row>
        <row r="2731">
          <cell r="U2731" t="str">
            <v>L105569</v>
          </cell>
          <cell r="V2731" t="str">
            <v>SNK 3kg-CAJA</v>
          </cell>
          <cell r="W2731" t="str">
            <v>Uso del BAP</v>
          </cell>
          <cell r="X2731">
            <v>1</v>
          </cell>
          <cell r="Y2731">
            <v>3</v>
          </cell>
        </row>
        <row r="2732">
          <cell r="U2732" t="str">
            <v>L105166</v>
          </cell>
          <cell r="V2732" t="str">
            <v>SPAV 1kg-CAJA</v>
          </cell>
          <cell r="W2732" t="str">
            <v>Ajuste</v>
          </cell>
          <cell r="X2732">
            <v>6</v>
          </cell>
          <cell r="Y2732">
            <v>6</v>
          </cell>
        </row>
        <row r="2733">
          <cell r="U2733" t="str">
            <v>L105753</v>
          </cell>
          <cell r="V2733" t="str">
            <v>SPAV 1kg-CAJA</v>
          </cell>
          <cell r="W2733" t="str">
            <v>Ajuste</v>
          </cell>
          <cell r="X2733">
            <v>2</v>
          </cell>
          <cell r="Y2733">
            <v>2</v>
          </cell>
        </row>
        <row r="2734">
          <cell r="U2734" t="str">
            <v>L105494</v>
          </cell>
          <cell r="V2734" t="str">
            <v>SPAV 3kg-CAJA</v>
          </cell>
          <cell r="W2734" t="str">
            <v>Ajuste</v>
          </cell>
          <cell r="X2734">
            <v>46</v>
          </cell>
          <cell r="Y2734">
            <v>138</v>
          </cell>
        </row>
        <row r="2735">
          <cell r="U2735" t="str">
            <v>L105498</v>
          </cell>
          <cell r="V2735" t="str">
            <v>SPAV 3kg-CAJA</v>
          </cell>
          <cell r="W2735" t="str">
            <v>Ajuste</v>
          </cell>
          <cell r="X2735">
            <v>6</v>
          </cell>
          <cell r="Y2735">
            <v>18</v>
          </cell>
        </row>
        <row r="2736">
          <cell r="U2736" t="str">
            <v>L105499</v>
          </cell>
          <cell r="V2736" t="str">
            <v>SPAV 3kg-CAJA</v>
          </cell>
          <cell r="W2736" t="str">
            <v>Ajuste</v>
          </cell>
          <cell r="X2736">
            <v>2</v>
          </cell>
          <cell r="Y2736">
            <v>6</v>
          </cell>
        </row>
        <row r="2737">
          <cell r="U2737" t="str">
            <v>L105731</v>
          </cell>
          <cell r="V2737" t="str">
            <v>SPT 2kg-CAJA</v>
          </cell>
          <cell r="W2737" t="str">
            <v>Ajuste</v>
          </cell>
          <cell r="X2737">
            <v>22</v>
          </cell>
          <cell r="Y2737">
            <v>44</v>
          </cell>
        </row>
        <row r="2738">
          <cell r="U2738" t="str">
            <v>L105867</v>
          </cell>
          <cell r="V2738" t="str">
            <v>SPT 2kg-CAJA</v>
          </cell>
          <cell r="W2738" t="str">
            <v>Ajuste</v>
          </cell>
          <cell r="X2738">
            <v>3</v>
          </cell>
          <cell r="Y2738">
            <v>6</v>
          </cell>
        </row>
        <row r="2739">
          <cell r="U2739" t="str">
            <v>L105033</v>
          </cell>
          <cell r="V2739" t="str">
            <v>SRD 1kg-CAJA</v>
          </cell>
          <cell r="W2739" t="str">
            <v>Ajuste</v>
          </cell>
          <cell r="X2739">
            <v>8</v>
          </cell>
          <cell r="Y2739">
            <v>8</v>
          </cell>
        </row>
        <row r="2740">
          <cell r="U2740" t="str">
            <v>L105167</v>
          </cell>
          <cell r="V2740" t="str">
            <v>SRD 1kg-CAJA</v>
          </cell>
          <cell r="W2740" t="str">
            <v>Ajuste</v>
          </cell>
          <cell r="X2740">
            <v>2</v>
          </cell>
          <cell r="Y2740">
            <v>2</v>
          </cell>
        </row>
        <row r="2741">
          <cell r="U2741" t="str">
            <v>L105384</v>
          </cell>
          <cell r="V2741" t="str">
            <v>SRD 1kg-CAJA</v>
          </cell>
          <cell r="W2741" t="str">
            <v>Ajuste</v>
          </cell>
          <cell r="X2741">
            <v>2</v>
          </cell>
          <cell r="Y2741">
            <v>2</v>
          </cell>
        </row>
        <row r="2742">
          <cell r="U2742" t="str">
            <v>L105851</v>
          </cell>
          <cell r="V2742" t="str">
            <v>SRD 1kg-CAJA</v>
          </cell>
          <cell r="W2742" t="str">
            <v>Ajuste</v>
          </cell>
          <cell r="X2742">
            <v>14</v>
          </cell>
          <cell r="Y2742">
            <v>14</v>
          </cell>
        </row>
        <row r="2743">
          <cell r="U2743" t="str">
            <v>L105034</v>
          </cell>
          <cell r="V2743" t="str">
            <v>SRDP 2kg-CAJA</v>
          </cell>
          <cell r="W2743" t="str">
            <v>Ajuste</v>
          </cell>
          <cell r="X2743">
            <v>4</v>
          </cell>
          <cell r="Y2743">
            <v>8</v>
          </cell>
        </row>
        <row r="2744">
          <cell r="U2744" t="str">
            <v>L105168</v>
          </cell>
          <cell r="V2744" t="str">
            <v>SRDP 2kg-CAJA</v>
          </cell>
          <cell r="W2744" t="str">
            <v>Ajuste</v>
          </cell>
          <cell r="X2744">
            <v>2</v>
          </cell>
          <cell r="Y2744">
            <v>4</v>
          </cell>
        </row>
        <row r="2745">
          <cell r="U2745" t="str">
            <v>L105852</v>
          </cell>
          <cell r="V2745" t="str">
            <v>SRDP 2kg-CAJA</v>
          </cell>
          <cell r="W2745" t="str">
            <v>Ajuste</v>
          </cell>
          <cell r="X2745">
            <v>2</v>
          </cell>
          <cell r="Y2745">
            <v>4</v>
          </cell>
        </row>
        <row r="2746">
          <cell r="U2746" t="str">
            <v>L105751</v>
          </cell>
          <cell r="V2746" t="str">
            <v>srp 1.5kg - caja</v>
          </cell>
          <cell r="W2746" t="str">
            <v>Ajuste</v>
          </cell>
          <cell r="X2746">
            <v>2</v>
          </cell>
          <cell r="Y2746">
            <v>3</v>
          </cell>
        </row>
        <row r="2747">
          <cell r="U2747" t="str">
            <v>L105870</v>
          </cell>
          <cell r="V2747" t="str">
            <v>SSY 2kg-CAJA</v>
          </cell>
          <cell r="W2747" t="str">
            <v>Ajuste</v>
          </cell>
          <cell r="X2747">
            <v>6</v>
          </cell>
          <cell r="Y2747">
            <v>12</v>
          </cell>
        </row>
        <row r="2748">
          <cell r="U2748" t="str">
            <v>L105880</v>
          </cell>
          <cell r="V2748" t="str">
            <v>STM 3kg-CAJA</v>
          </cell>
          <cell r="W2748" t="str">
            <v>Ajuste</v>
          </cell>
          <cell r="X2748">
            <v>17</v>
          </cell>
          <cell r="Y2748">
            <v>51</v>
          </cell>
        </row>
        <row r="2749">
          <cell r="U2749" t="str">
            <v>L105914</v>
          </cell>
          <cell r="V2749" t="str">
            <v>STM 3kg-CAJA</v>
          </cell>
          <cell r="W2749" t="str">
            <v>Ajuste</v>
          </cell>
          <cell r="X2749">
            <v>6</v>
          </cell>
          <cell r="Y2749">
            <v>18</v>
          </cell>
        </row>
        <row r="2750">
          <cell r="U2750" t="str">
            <v>L105940</v>
          </cell>
          <cell r="V2750" t="str">
            <v>STM 3kg-CAJA</v>
          </cell>
          <cell r="W2750" t="str">
            <v>Ajuste</v>
          </cell>
          <cell r="X2750">
            <v>2</v>
          </cell>
          <cell r="Y2750">
            <v>6</v>
          </cell>
        </row>
        <row r="2751">
          <cell r="U2751" t="str">
            <v>L105453</v>
          </cell>
          <cell r="V2751" t="str">
            <v>STM 3kg-CAJA</v>
          </cell>
          <cell r="W2751" t="str">
            <v>Ajuste</v>
          </cell>
          <cell r="X2751">
            <v>4</v>
          </cell>
          <cell r="Y2751">
            <v>12</v>
          </cell>
        </row>
        <row r="2752">
          <cell r="U2752" t="str">
            <v>L105453</v>
          </cell>
          <cell r="V2752" t="str">
            <v>STM 5kg-CAJA</v>
          </cell>
          <cell r="W2752" t="str">
            <v>Ajuste</v>
          </cell>
          <cell r="X2752">
            <v>1742</v>
          </cell>
          <cell r="Y2752">
            <v>8710</v>
          </cell>
        </row>
        <row r="2753">
          <cell r="U2753" t="str">
            <v>L105255</v>
          </cell>
          <cell r="V2753" t="str">
            <v>SZD 2kg-Caja</v>
          </cell>
          <cell r="W2753" t="str">
            <v>Ajuste</v>
          </cell>
          <cell r="X2753">
            <v>15</v>
          </cell>
          <cell r="Y2753">
            <v>30</v>
          </cell>
        </row>
        <row r="2754">
          <cell r="U2754" t="str">
            <v>L105256</v>
          </cell>
          <cell r="V2754" t="str">
            <v>SZD 2kg-Caja</v>
          </cell>
          <cell r="W2754" t="str">
            <v>Ajuste</v>
          </cell>
          <cell r="X2754">
            <v>12</v>
          </cell>
          <cell r="Y2754">
            <v>24</v>
          </cell>
        </row>
        <row r="2755">
          <cell r="U2755" t="str">
            <v>L105257</v>
          </cell>
          <cell r="V2755" t="str">
            <v>SZD 2kg-Caja</v>
          </cell>
          <cell r="W2755" t="str">
            <v>Ajuste</v>
          </cell>
          <cell r="X2755">
            <v>2</v>
          </cell>
          <cell r="Y2755">
            <v>4</v>
          </cell>
        </row>
        <row r="2756">
          <cell r="U2756" t="str">
            <v>L105258</v>
          </cell>
          <cell r="V2756" t="str">
            <v>SZD 2kg-Caja</v>
          </cell>
          <cell r="W2756" t="str">
            <v>Ajuste</v>
          </cell>
          <cell r="X2756">
            <v>4</v>
          </cell>
          <cell r="Y2756">
            <v>8</v>
          </cell>
        </row>
        <row r="2757">
          <cell r="U2757" t="str">
            <v>L105259</v>
          </cell>
          <cell r="V2757" t="str">
            <v>SZD 2kg-Caja</v>
          </cell>
          <cell r="W2757" t="str">
            <v>Ajuste</v>
          </cell>
          <cell r="X2757">
            <v>10</v>
          </cell>
          <cell r="Y2757">
            <v>20</v>
          </cell>
        </row>
        <row r="2758">
          <cell r="U2758" t="str">
            <v>L105274</v>
          </cell>
          <cell r="V2758" t="str">
            <v>SZD 2kg-Caja</v>
          </cell>
          <cell r="W2758" t="str">
            <v>Ajuste</v>
          </cell>
          <cell r="X2758">
            <v>2</v>
          </cell>
          <cell r="Y2758">
            <v>4</v>
          </cell>
        </row>
        <row r="2759">
          <cell r="U2759" t="str">
            <v>L105275</v>
          </cell>
          <cell r="V2759" t="str">
            <v>SZD 2kg-Caja</v>
          </cell>
          <cell r="W2759" t="str">
            <v>Ajuste</v>
          </cell>
          <cell r="X2759">
            <v>12</v>
          </cell>
          <cell r="Y2759">
            <v>24</v>
          </cell>
        </row>
        <row r="2760">
          <cell r="U2760" t="str">
            <v>L105520</v>
          </cell>
          <cell r="V2760" t="str">
            <v>SZD 2kg-Caja</v>
          </cell>
          <cell r="W2760" t="str">
            <v>Ajuste</v>
          </cell>
          <cell r="X2760">
            <v>6</v>
          </cell>
          <cell r="Y2760">
            <v>12</v>
          </cell>
        </row>
        <row r="2761">
          <cell r="U2761" t="str">
            <v>L105894</v>
          </cell>
          <cell r="V2761" t="str">
            <v>SZD 2kg-Caja</v>
          </cell>
          <cell r="W2761" t="str">
            <v>Ajuste</v>
          </cell>
          <cell r="X2761">
            <v>14</v>
          </cell>
          <cell r="Y2761">
            <v>28</v>
          </cell>
        </row>
        <row r="2762">
          <cell r="U2762" t="str">
            <v>L105431</v>
          </cell>
          <cell r="V2762" t="str">
            <v>SZD 3kg-Caja</v>
          </cell>
          <cell r="W2762" t="str">
            <v>Ajuste</v>
          </cell>
          <cell r="X2762">
            <v>456</v>
          </cell>
          <cell r="Y2762">
            <v>1368</v>
          </cell>
        </row>
        <row r="2763">
          <cell r="U2763" t="str">
            <v>L105466</v>
          </cell>
          <cell r="V2763" t="str">
            <v>SZD 3kg-Caja</v>
          </cell>
          <cell r="W2763" t="str">
            <v>Ajuste</v>
          </cell>
          <cell r="X2763">
            <v>96</v>
          </cell>
          <cell r="Y2763">
            <v>288</v>
          </cell>
        </row>
        <row r="2764">
          <cell r="U2764" t="str">
            <v>L105495</v>
          </cell>
          <cell r="V2764" t="str">
            <v>SZD 3kg-Caja</v>
          </cell>
          <cell r="W2764" t="str">
            <v>Ajuste</v>
          </cell>
          <cell r="X2764">
            <v>140</v>
          </cell>
          <cell r="Y2764">
            <v>420</v>
          </cell>
        </row>
        <row r="2765">
          <cell r="U2765" t="str">
            <v>L105464</v>
          </cell>
          <cell r="V2765" t="str">
            <v>SZD 5kg-Caja</v>
          </cell>
          <cell r="W2765" t="str">
            <v>Ajuste</v>
          </cell>
          <cell r="X2765">
            <v>598</v>
          </cell>
          <cell r="Y2765">
            <v>2990</v>
          </cell>
        </row>
        <row r="2766">
          <cell r="U2766" t="str">
            <v>L105152</v>
          </cell>
          <cell r="V2766" t="str">
            <v>TE 1kg-CAJA</v>
          </cell>
          <cell r="W2766" t="str">
            <v>Ajuste</v>
          </cell>
          <cell r="X2766">
            <v>2</v>
          </cell>
          <cell r="Y2766">
            <v>2</v>
          </cell>
        </row>
        <row r="2767">
          <cell r="U2767" t="str">
            <v>L105545</v>
          </cell>
          <cell r="V2767" t="str">
            <v>TE 1kg-CAJA</v>
          </cell>
          <cell r="W2767" t="str">
            <v>Ajuste</v>
          </cell>
          <cell r="X2767">
            <v>2</v>
          </cell>
          <cell r="Y2767">
            <v>2</v>
          </cell>
        </row>
        <row r="2768">
          <cell r="U2768" t="str">
            <v>L105169</v>
          </cell>
          <cell r="V2768" t="str">
            <v>TFP 4kg-CAJA</v>
          </cell>
          <cell r="W2768" t="str">
            <v>Ajuste</v>
          </cell>
          <cell r="X2768">
            <v>6</v>
          </cell>
          <cell r="Y2768">
            <v>24</v>
          </cell>
        </row>
        <row r="2769">
          <cell r="U2769" t="str">
            <v>L105140</v>
          </cell>
          <cell r="V2769" t="str">
            <v>TMT 3kg-CAJA</v>
          </cell>
          <cell r="W2769" t="str">
            <v>Ajuste</v>
          </cell>
          <cell r="X2769">
            <v>57</v>
          </cell>
          <cell r="Y2769">
            <v>171</v>
          </cell>
        </row>
        <row r="2770">
          <cell r="U2770" t="str">
            <v>L105911</v>
          </cell>
          <cell r="V2770" t="str">
            <v>TMT 3kg-CAJA</v>
          </cell>
          <cell r="W2770" t="str">
            <v>Ajuste</v>
          </cell>
          <cell r="X2770">
            <v>3</v>
          </cell>
          <cell r="Y2770">
            <v>9</v>
          </cell>
        </row>
        <row r="2771">
          <cell r="U2771" t="str">
            <v>L105668</v>
          </cell>
          <cell r="V2771" t="str">
            <v>TPC 3kg-CAJA</v>
          </cell>
          <cell r="W2771" t="str">
            <v>Ajuste</v>
          </cell>
          <cell r="X2771">
            <v>1</v>
          </cell>
          <cell r="Y2771">
            <v>3</v>
          </cell>
        </row>
        <row r="2772">
          <cell r="U2772" t="str">
            <v>L105918</v>
          </cell>
          <cell r="V2772" t="str">
            <v>TRZPCDP 18kg</v>
          </cell>
          <cell r="W2772" t="str">
            <v>Ajuste</v>
          </cell>
          <cell r="X2772">
            <v>160</v>
          </cell>
          <cell r="Y2772">
            <v>2880</v>
          </cell>
        </row>
        <row r="2773">
          <cell r="U2773" t="str">
            <v>L105172</v>
          </cell>
          <cell r="V2773" t="str">
            <v>TUR 1Kg</v>
          </cell>
          <cell r="W2773" t="str">
            <v>Ajuste</v>
          </cell>
          <cell r="X2773">
            <v>7</v>
          </cell>
          <cell r="Y2773">
            <v>7</v>
          </cell>
        </row>
        <row r="2774">
          <cell r="U2774" t="str">
            <v>L105730</v>
          </cell>
          <cell r="V2774" t="str">
            <v>Vinagre kg</v>
          </cell>
          <cell r="W2774" t="str">
            <v>Ajuste</v>
          </cell>
          <cell r="X2774">
            <v>1.86</v>
          </cell>
          <cell r="Y2774">
            <v>1.86</v>
          </cell>
        </row>
        <row r="2775">
          <cell r="U2775" t="str">
            <v>L105530</v>
          </cell>
          <cell r="V2775" t="str">
            <v>VM 3kg-CAJA</v>
          </cell>
          <cell r="W2775" t="str">
            <v>Ajuste</v>
          </cell>
          <cell r="X2775">
            <v>14</v>
          </cell>
          <cell r="Y2775">
            <v>42</v>
          </cell>
        </row>
        <row r="2776">
          <cell r="U2776" t="str">
            <v>L105645</v>
          </cell>
          <cell r="V2776" t="str">
            <v>VM 3kg-CAJA</v>
          </cell>
          <cell r="W2776" t="str">
            <v>Ajuste</v>
          </cell>
          <cell r="X2776">
            <v>8</v>
          </cell>
          <cell r="Y2776">
            <v>24</v>
          </cell>
        </row>
        <row r="2777">
          <cell r="U2777" t="str">
            <v>L105842</v>
          </cell>
          <cell r="V2777" t="str">
            <v>VM 3kg-CAJA</v>
          </cell>
          <cell r="W2777" t="str">
            <v>Ajuste</v>
          </cell>
          <cell r="X2777">
            <v>10</v>
          </cell>
          <cell r="Y2777">
            <v>30</v>
          </cell>
        </row>
        <row r="2778">
          <cell r="U2778" t="str">
            <v>L105038</v>
          </cell>
          <cell r="V2778" t="str">
            <v>VM 5kg-CAJA</v>
          </cell>
          <cell r="W2778" t="str">
            <v>Ajuste</v>
          </cell>
          <cell r="X2778">
            <v>5</v>
          </cell>
          <cell r="Y2778">
            <v>25</v>
          </cell>
        </row>
        <row r="2779">
          <cell r="U2779" t="str">
            <v>L105395</v>
          </cell>
          <cell r="V2779" t="str">
            <v>VM 5kg-CAJA</v>
          </cell>
          <cell r="W2779" t="str">
            <v>Ajuste</v>
          </cell>
          <cell r="X2779">
            <v>6</v>
          </cell>
          <cell r="Y2779">
            <v>30</v>
          </cell>
        </row>
        <row r="2780">
          <cell r="U2780" t="str">
            <v>L105912</v>
          </cell>
          <cell r="V2780" t="str">
            <v>VM 5kg-CAJA</v>
          </cell>
          <cell r="W2780" t="str">
            <v>Ajuste</v>
          </cell>
          <cell r="X2780">
            <v>4</v>
          </cell>
          <cell r="Y2780">
            <v>20</v>
          </cell>
        </row>
        <row r="2781">
          <cell r="U2781" t="str">
            <v>L105884</v>
          </cell>
          <cell r="V2781" t="str">
            <v>VNG 3KG</v>
          </cell>
          <cell r="W2781" t="str">
            <v>Ajuste</v>
          </cell>
          <cell r="X2781">
            <v>16</v>
          </cell>
          <cell r="Y2781">
            <v>48</v>
          </cell>
        </row>
        <row r="2782">
          <cell r="U2782" t="str">
            <v>L105315</v>
          </cell>
          <cell r="V2782" t="str">
            <v>WDP 2kg</v>
          </cell>
          <cell r="W2782" t="str">
            <v>Ajuste</v>
          </cell>
          <cell r="X2782">
            <v>112</v>
          </cell>
          <cell r="Y2782">
            <v>224</v>
          </cell>
        </row>
        <row r="2783">
          <cell r="U2783" t="str">
            <v>L105648</v>
          </cell>
          <cell r="V2783" t="str">
            <v>WDP 2kg</v>
          </cell>
          <cell r="W2783" t="str">
            <v>Ajuste</v>
          </cell>
          <cell r="X2783">
            <v>10</v>
          </cell>
          <cell r="Y2783">
            <v>20</v>
          </cell>
        </row>
        <row r="2784">
          <cell r="U2784" t="str">
            <v>L105650</v>
          </cell>
          <cell r="V2784" t="str">
            <v>WDP 3kg</v>
          </cell>
          <cell r="W2784" t="str">
            <v>Ajuste</v>
          </cell>
          <cell r="X2784">
            <v>2</v>
          </cell>
          <cell r="Y2784">
            <v>6</v>
          </cell>
        </row>
        <row r="2785">
          <cell r="U2785" t="str">
            <v>L105905</v>
          </cell>
          <cell r="V2785" t="str">
            <v>WPV 3kg</v>
          </cell>
          <cell r="W2785" t="str">
            <v>Ajuste</v>
          </cell>
          <cell r="X2785">
            <v>22</v>
          </cell>
          <cell r="Y2785">
            <v>66</v>
          </cell>
        </row>
        <row r="2786">
          <cell r="U2786" t="str">
            <v>L105409</v>
          </cell>
          <cell r="V2786" t="str">
            <v>YGT 2kg-CAJA</v>
          </cell>
          <cell r="W2786" t="str">
            <v>Ajuste</v>
          </cell>
          <cell r="X2786">
            <v>10</v>
          </cell>
          <cell r="Y2786">
            <v>20</v>
          </cell>
        </row>
        <row r="2787">
          <cell r="U2787" t="str">
            <v>L105410</v>
          </cell>
          <cell r="V2787" t="str">
            <v>YGT 2kg-CAJA</v>
          </cell>
          <cell r="W2787" t="str">
            <v>Ajuste</v>
          </cell>
          <cell r="X2787">
            <v>40</v>
          </cell>
          <cell r="Y2787">
            <v>80</v>
          </cell>
        </row>
        <row r="2788">
          <cell r="U2788" t="str">
            <v>L106313</v>
          </cell>
          <cell r="V2788" t="str">
            <v>ACECC 3kg</v>
          </cell>
          <cell r="W2788" t="str">
            <v>Ajuste</v>
          </cell>
          <cell r="X2788">
            <v>4</v>
          </cell>
          <cell r="Y2788">
            <v>12</v>
          </cell>
        </row>
        <row r="2789">
          <cell r="U2789" t="str">
            <v>L107072</v>
          </cell>
          <cell r="V2789" t="str">
            <v>ACT 2kg</v>
          </cell>
          <cell r="W2789" t="str">
            <v>Ajuste</v>
          </cell>
          <cell r="X2789">
            <v>2</v>
          </cell>
          <cell r="Y2789">
            <v>4.1399999999999997</v>
          </cell>
        </row>
        <row r="2790">
          <cell r="U2790" t="str">
            <v>L106386</v>
          </cell>
          <cell r="V2790" t="str">
            <v>ACT 5kg</v>
          </cell>
          <cell r="W2790" t="str">
            <v>Ajuste</v>
          </cell>
          <cell r="X2790">
            <v>1</v>
          </cell>
          <cell r="Y2790">
            <v>5</v>
          </cell>
        </row>
        <row r="2791">
          <cell r="U2791" t="str">
            <v>L100465</v>
          </cell>
          <cell r="V2791" t="str">
            <v>ACT 5kg</v>
          </cell>
          <cell r="W2791" t="str">
            <v>Ajuste</v>
          </cell>
          <cell r="X2791">
            <v>1</v>
          </cell>
          <cell r="Y2791">
            <v>5</v>
          </cell>
        </row>
        <row r="2792">
          <cell r="U2792" t="str">
            <v>L106246</v>
          </cell>
          <cell r="V2792" t="str">
            <v>Aderezo de pavo kg</v>
          </cell>
          <cell r="W2792" t="str">
            <v>Ajuste</v>
          </cell>
          <cell r="X2792">
            <v>1.51</v>
          </cell>
          <cell r="Y2792">
            <v>1.51</v>
          </cell>
        </row>
        <row r="2793">
          <cell r="U2793" t="str">
            <v>L107402</v>
          </cell>
          <cell r="V2793" t="str">
            <v>Aderezo kg</v>
          </cell>
          <cell r="W2793" t="str">
            <v>Ajuste</v>
          </cell>
          <cell r="X2793">
            <v>1.2</v>
          </cell>
          <cell r="Y2793">
            <v>1.2</v>
          </cell>
        </row>
        <row r="2794">
          <cell r="U2794" t="str">
            <v>L106235</v>
          </cell>
          <cell r="V2794" t="str">
            <v>ADP 1kg</v>
          </cell>
          <cell r="W2794" t="str">
            <v>Ajuste</v>
          </cell>
          <cell r="X2794">
            <v>1</v>
          </cell>
          <cell r="Y2794">
            <v>1</v>
          </cell>
        </row>
        <row r="2795">
          <cell r="U2795" t="str">
            <v>L106236</v>
          </cell>
          <cell r="V2795" t="str">
            <v>ADP 1kg</v>
          </cell>
          <cell r="W2795" t="str">
            <v>Ajuste</v>
          </cell>
          <cell r="X2795">
            <v>1</v>
          </cell>
          <cell r="Y2795">
            <v>1</v>
          </cell>
        </row>
        <row r="2796">
          <cell r="U2796" t="str">
            <v>L106237</v>
          </cell>
          <cell r="V2796" t="str">
            <v>ADP 1kg</v>
          </cell>
          <cell r="W2796" t="str">
            <v>Ajuste</v>
          </cell>
          <cell r="X2796">
            <v>7</v>
          </cell>
          <cell r="Y2796">
            <v>7</v>
          </cell>
        </row>
        <row r="2797">
          <cell r="U2797" t="str">
            <v>L106555</v>
          </cell>
          <cell r="V2797" t="str">
            <v>ADP 2Kg</v>
          </cell>
          <cell r="W2797" t="str">
            <v>Ajuste</v>
          </cell>
          <cell r="X2797">
            <v>4</v>
          </cell>
          <cell r="Y2797">
            <v>8</v>
          </cell>
        </row>
        <row r="2798">
          <cell r="U2798" t="str">
            <v>L106962</v>
          </cell>
          <cell r="V2798" t="str">
            <v>ADP 2Kg</v>
          </cell>
          <cell r="W2798" t="str">
            <v>Ajuste</v>
          </cell>
          <cell r="X2798">
            <v>1</v>
          </cell>
          <cell r="Y2798">
            <v>2</v>
          </cell>
        </row>
        <row r="2799">
          <cell r="U2799" t="str">
            <v>L107377</v>
          </cell>
          <cell r="V2799" t="str">
            <v>ADP 2Kg</v>
          </cell>
          <cell r="W2799" t="str">
            <v>Ajuste</v>
          </cell>
          <cell r="X2799">
            <v>1</v>
          </cell>
          <cell r="Y2799">
            <v>2</v>
          </cell>
        </row>
        <row r="2800">
          <cell r="U2800" t="str">
            <v>L107376</v>
          </cell>
          <cell r="V2800" t="str">
            <v>ADR 2kg</v>
          </cell>
          <cell r="W2800" t="str">
            <v>Ajuste</v>
          </cell>
          <cell r="X2800">
            <v>7</v>
          </cell>
          <cell r="Y2800">
            <v>14</v>
          </cell>
        </row>
        <row r="2801">
          <cell r="U2801" t="str">
            <v>L106863</v>
          </cell>
          <cell r="V2801" t="str">
            <v>ADR 3kg</v>
          </cell>
          <cell r="W2801" t="str">
            <v>Ajuste</v>
          </cell>
          <cell r="X2801">
            <v>120</v>
          </cell>
          <cell r="Y2801">
            <v>360</v>
          </cell>
        </row>
        <row r="2802">
          <cell r="U2802" t="str">
            <v>L106777</v>
          </cell>
          <cell r="V2802" t="str">
            <v>AGA 12x1.5L-CAJA</v>
          </cell>
          <cell r="W2802" t="str">
            <v>Ajuste</v>
          </cell>
          <cell r="X2802">
            <v>4</v>
          </cell>
          <cell r="Y2802">
            <v>72</v>
          </cell>
        </row>
        <row r="2803">
          <cell r="U2803" t="str">
            <v>L106779</v>
          </cell>
          <cell r="V2803" t="str">
            <v>AGU 12X355ml - CAJA</v>
          </cell>
          <cell r="W2803" t="str">
            <v>Ajuste</v>
          </cell>
          <cell r="X2803">
            <v>14</v>
          </cell>
          <cell r="Y2803">
            <v>59.639999999999993</v>
          </cell>
        </row>
        <row r="2804">
          <cell r="U2804" t="str">
            <v>L106776</v>
          </cell>
          <cell r="V2804" t="str">
            <v>AGU 15x1L-CAJA</v>
          </cell>
          <cell r="W2804" t="str">
            <v>Ajuste</v>
          </cell>
          <cell r="X2804">
            <v>26</v>
          </cell>
          <cell r="Y2804">
            <v>390</v>
          </cell>
        </row>
        <row r="2805">
          <cell r="U2805" t="str">
            <v>L106775</v>
          </cell>
          <cell r="V2805" t="str">
            <v>AGU 4x1gal-CAJA</v>
          </cell>
          <cell r="W2805" t="str">
            <v>Ajuste</v>
          </cell>
          <cell r="X2805">
            <v>61</v>
          </cell>
          <cell r="Y2805">
            <v>923.54000000000008</v>
          </cell>
        </row>
        <row r="2806">
          <cell r="U2806" t="str">
            <v>L106774</v>
          </cell>
          <cell r="V2806" t="str">
            <v>AGU 4X5L-CAJA</v>
          </cell>
          <cell r="W2806" t="str">
            <v>Ajuste</v>
          </cell>
          <cell r="X2806">
            <v>51</v>
          </cell>
          <cell r="Y2806">
            <v>1020</v>
          </cell>
        </row>
        <row r="2807">
          <cell r="U2807" t="str">
            <v>L106778</v>
          </cell>
          <cell r="V2807" t="str">
            <v>AGU 6X2L-CAJA</v>
          </cell>
          <cell r="W2807" t="str">
            <v>Ajuste</v>
          </cell>
          <cell r="X2807">
            <v>5</v>
          </cell>
          <cell r="Y2807">
            <v>60</v>
          </cell>
        </row>
        <row r="2808">
          <cell r="U2808" t="str">
            <v>L106383</v>
          </cell>
          <cell r="V2808" t="str">
            <v>AJP 1.5kg</v>
          </cell>
          <cell r="W2808" t="str">
            <v>Ajuste</v>
          </cell>
          <cell r="X2808">
            <v>40</v>
          </cell>
          <cell r="Y2808">
            <v>60</v>
          </cell>
        </row>
        <row r="2809">
          <cell r="U2809" t="str">
            <v>L102763</v>
          </cell>
          <cell r="V2809" t="str">
            <v>ALCHF 3Kg</v>
          </cell>
          <cell r="W2809" t="str">
            <v>Ajuste</v>
          </cell>
          <cell r="X2809">
            <v>2</v>
          </cell>
          <cell r="Y2809">
            <v>6</v>
          </cell>
        </row>
        <row r="2810">
          <cell r="U2810" t="str">
            <v>L106607</v>
          </cell>
          <cell r="V2810" t="str">
            <v>AMI 12x500ml - CAJA</v>
          </cell>
          <cell r="W2810" t="str">
            <v>Ajuste</v>
          </cell>
          <cell r="X2810">
            <v>4</v>
          </cell>
          <cell r="Y2810">
            <v>41.2</v>
          </cell>
        </row>
        <row r="2811">
          <cell r="U2811" t="str">
            <v>L106937</v>
          </cell>
          <cell r="V2811" t="str">
            <v>APP 2Kg</v>
          </cell>
          <cell r="W2811" t="str">
            <v>Ajuste</v>
          </cell>
          <cell r="X2811">
            <v>2</v>
          </cell>
          <cell r="Y2811">
            <v>4</v>
          </cell>
        </row>
        <row r="2812">
          <cell r="U2812" t="str">
            <v>L106937</v>
          </cell>
          <cell r="V2812" t="str">
            <v>DSF 1kg</v>
          </cell>
          <cell r="W2812" t="str">
            <v>Ajuste</v>
          </cell>
          <cell r="X2812">
            <v>28</v>
          </cell>
          <cell r="Y2812">
            <v>28</v>
          </cell>
        </row>
        <row r="2813">
          <cell r="U2813" t="str">
            <v>L106938</v>
          </cell>
          <cell r="V2813" t="str">
            <v>APP 2Kg</v>
          </cell>
          <cell r="W2813" t="str">
            <v>Ajuste</v>
          </cell>
          <cell r="X2813">
            <v>357</v>
          </cell>
          <cell r="Y2813">
            <v>714</v>
          </cell>
        </row>
        <row r="2814">
          <cell r="U2814" t="str">
            <v>L106363</v>
          </cell>
          <cell r="V2814" t="str">
            <v>ARPG 6Kg</v>
          </cell>
          <cell r="W2814" t="str">
            <v>Ajuste</v>
          </cell>
          <cell r="X2814">
            <v>6</v>
          </cell>
          <cell r="Y2814">
            <v>36</v>
          </cell>
        </row>
        <row r="2815">
          <cell r="U2815" t="str">
            <v>L106364</v>
          </cell>
          <cell r="V2815" t="str">
            <v>ARPG 9Kg</v>
          </cell>
          <cell r="W2815" t="str">
            <v>Ajuste</v>
          </cell>
          <cell r="X2815">
            <v>2</v>
          </cell>
          <cell r="Y2815">
            <v>18</v>
          </cell>
        </row>
        <row r="2816">
          <cell r="U2816" t="str">
            <v>L106890</v>
          </cell>
          <cell r="V2816" t="str">
            <v>Arroz kg</v>
          </cell>
          <cell r="W2816" t="str">
            <v>Ajuste</v>
          </cell>
          <cell r="X2816">
            <v>11</v>
          </cell>
          <cell r="Y2816">
            <v>11</v>
          </cell>
        </row>
        <row r="2817">
          <cell r="U2817" t="str">
            <v>L107393</v>
          </cell>
          <cell r="V2817" t="str">
            <v>Arroz kg</v>
          </cell>
          <cell r="W2817" t="str">
            <v>Ajuste</v>
          </cell>
          <cell r="X2817">
            <v>121.29</v>
          </cell>
          <cell r="Y2817">
            <v>121.29</v>
          </cell>
        </row>
        <row r="2818">
          <cell r="U2818" t="str">
            <v>L106923</v>
          </cell>
          <cell r="V2818" t="str">
            <v>ARZ 2 kg-Unidad</v>
          </cell>
          <cell r="W2818" t="str">
            <v>Ajuste</v>
          </cell>
          <cell r="X2818">
            <v>32</v>
          </cell>
          <cell r="Y2818">
            <v>64</v>
          </cell>
        </row>
        <row r="2819">
          <cell r="U2819" t="str">
            <v>L106924</v>
          </cell>
          <cell r="V2819" t="str">
            <v>ARZ 6kg-UNIDAD</v>
          </cell>
          <cell r="W2819" t="str">
            <v>Ajuste</v>
          </cell>
          <cell r="X2819">
            <v>2</v>
          </cell>
          <cell r="Y2819">
            <v>12</v>
          </cell>
        </row>
        <row r="2820">
          <cell r="U2820" t="str">
            <v>L10667</v>
          </cell>
          <cell r="V2820" t="str">
            <v>ARZ AY 5Kg</v>
          </cell>
          <cell r="W2820" t="str">
            <v>Ajuste</v>
          </cell>
          <cell r="X2820">
            <v>10</v>
          </cell>
          <cell r="Y2820">
            <v>50</v>
          </cell>
        </row>
        <row r="2821">
          <cell r="U2821" t="str">
            <v>....</v>
          </cell>
          <cell r="V2821" t="str">
            <v>ARZ AY 5Kg</v>
          </cell>
          <cell r="W2821" t="str">
            <v>Ajuste</v>
          </cell>
          <cell r="X2821">
            <v>2</v>
          </cell>
          <cell r="Y2821">
            <v>10</v>
          </cell>
        </row>
        <row r="2822">
          <cell r="U2822" t="str">
            <v>L106075</v>
          </cell>
          <cell r="V2822" t="str">
            <v>ARZ AY 5Kg</v>
          </cell>
          <cell r="W2822" t="str">
            <v>Ajuste</v>
          </cell>
          <cell r="X2822">
            <v>62</v>
          </cell>
          <cell r="Y2822">
            <v>310</v>
          </cell>
        </row>
        <row r="2823">
          <cell r="U2823" t="str">
            <v>L106076</v>
          </cell>
          <cell r="V2823" t="str">
            <v>ARZEPA 14kg (CAJA)</v>
          </cell>
          <cell r="W2823" t="str">
            <v>Ajuste</v>
          </cell>
          <cell r="X2823">
            <v>108</v>
          </cell>
          <cell r="Y2823">
            <v>1512</v>
          </cell>
        </row>
        <row r="2824">
          <cell r="U2824" t="str">
            <v>L107035</v>
          </cell>
          <cell r="V2824" t="str">
            <v>ARZEPA 14kg (CAJA)</v>
          </cell>
          <cell r="W2824" t="str">
            <v>Ajuste</v>
          </cell>
          <cell r="X2824">
            <v>180</v>
          </cell>
          <cell r="Y2824">
            <v>2520</v>
          </cell>
        </row>
        <row r="2825">
          <cell r="U2825" t="str">
            <v>L106762</v>
          </cell>
          <cell r="V2825" t="str">
            <v>ARZEPF 5kg (CAJA)</v>
          </cell>
          <cell r="W2825" t="str">
            <v>Ajuste</v>
          </cell>
          <cell r="X2825">
            <v>208</v>
          </cell>
          <cell r="Y2825">
            <v>1040</v>
          </cell>
        </row>
        <row r="2826">
          <cell r="U2826" t="str">
            <v>L106514</v>
          </cell>
          <cell r="V2826" t="str">
            <v>ARZEPF14kg (CAJA)</v>
          </cell>
          <cell r="W2826" t="str">
            <v>Ajuste</v>
          </cell>
          <cell r="X2826">
            <v>144</v>
          </cell>
          <cell r="Y2826">
            <v>2016</v>
          </cell>
        </row>
        <row r="2827">
          <cell r="U2827" t="str">
            <v>L106514</v>
          </cell>
          <cell r="V2827" t="str">
            <v>DIV ARZEPF14kg</v>
          </cell>
          <cell r="W2827" t="str">
            <v>Ajuste</v>
          </cell>
          <cell r="X2827">
            <v>72</v>
          </cell>
          <cell r="Y2827">
            <v>1008</v>
          </cell>
        </row>
        <row r="2828">
          <cell r="U2828" t="str">
            <v>L106761</v>
          </cell>
          <cell r="V2828" t="str">
            <v>ARZEPF14kg (CAJA)</v>
          </cell>
          <cell r="W2828" t="str">
            <v>Ajuste</v>
          </cell>
          <cell r="X2828">
            <v>180</v>
          </cell>
          <cell r="Y2828">
            <v>2520</v>
          </cell>
        </row>
        <row r="2829">
          <cell r="U2829" t="str">
            <v>L106761</v>
          </cell>
          <cell r="V2829" t="str">
            <v>DIV ARZEPF14kg</v>
          </cell>
          <cell r="W2829" t="str">
            <v>Ajuste</v>
          </cell>
          <cell r="X2829">
            <v>71</v>
          </cell>
          <cell r="Y2829">
            <v>994</v>
          </cell>
        </row>
        <row r="2830">
          <cell r="U2830" t="str">
            <v>L106312</v>
          </cell>
          <cell r="V2830" t="str">
            <v>ATN 1kg-CAJA</v>
          </cell>
          <cell r="W2830" t="str">
            <v>Ajuste</v>
          </cell>
          <cell r="X2830">
            <v>12</v>
          </cell>
          <cell r="Y2830">
            <v>12</v>
          </cell>
        </row>
        <row r="2831">
          <cell r="U2831" t="str">
            <v>L107236</v>
          </cell>
          <cell r="V2831" t="str">
            <v>ATN 1kg-CAJA</v>
          </cell>
          <cell r="W2831" t="str">
            <v>Ajuste</v>
          </cell>
          <cell r="X2831">
            <v>5</v>
          </cell>
          <cell r="Y2831">
            <v>5</v>
          </cell>
        </row>
        <row r="2832">
          <cell r="U2832" t="str">
            <v>L107400</v>
          </cell>
          <cell r="V2832" t="str">
            <v>Atun kg</v>
          </cell>
          <cell r="W2832" t="str">
            <v>Ajuste</v>
          </cell>
          <cell r="X2832">
            <v>3.64</v>
          </cell>
          <cell r="Y2832">
            <v>3.64</v>
          </cell>
        </row>
        <row r="2833">
          <cell r="U2833" t="str">
            <v>L106106</v>
          </cell>
          <cell r="V2833" t="str">
            <v>AZC 1kg-PAQUETE</v>
          </cell>
          <cell r="W2833" t="str">
            <v>Ajuste</v>
          </cell>
          <cell r="X2833">
            <v>2</v>
          </cell>
          <cell r="Y2833">
            <v>2</v>
          </cell>
        </row>
        <row r="2834">
          <cell r="U2834" t="str">
            <v>L106259</v>
          </cell>
          <cell r="V2834" t="str">
            <v>AZC 1kg-PAQUETE</v>
          </cell>
          <cell r="W2834" t="str">
            <v>Ajuste</v>
          </cell>
          <cell r="X2834">
            <v>2</v>
          </cell>
          <cell r="Y2834">
            <v>2</v>
          </cell>
        </row>
        <row r="2835">
          <cell r="U2835" t="str">
            <v>L106745</v>
          </cell>
          <cell r="V2835" t="str">
            <v>AZC 1kg-PAQUETE</v>
          </cell>
          <cell r="W2835" t="str">
            <v>Ajuste</v>
          </cell>
          <cell r="X2835">
            <v>2</v>
          </cell>
          <cell r="Y2835">
            <v>2</v>
          </cell>
        </row>
        <row r="2836">
          <cell r="U2836" t="str">
            <v>L106105</v>
          </cell>
          <cell r="V2836" t="str">
            <v>AZC 2kg-PAQUETE</v>
          </cell>
          <cell r="W2836" t="str">
            <v>Ajuste</v>
          </cell>
          <cell r="X2836">
            <v>124</v>
          </cell>
          <cell r="Y2836">
            <v>248</v>
          </cell>
        </row>
        <row r="2837">
          <cell r="U2837" t="str">
            <v>L106248</v>
          </cell>
          <cell r="V2837" t="str">
            <v>AZC 2kg-PAQUETE</v>
          </cell>
          <cell r="W2837" t="str">
            <v>Ajuste</v>
          </cell>
          <cell r="X2837">
            <v>158</v>
          </cell>
          <cell r="Y2837">
            <v>316</v>
          </cell>
        </row>
        <row r="2838">
          <cell r="U2838" t="str">
            <v>L106743</v>
          </cell>
          <cell r="V2838" t="str">
            <v>AZC 2kg-PAQUETE</v>
          </cell>
          <cell r="W2838" t="str">
            <v>Ajuste</v>
          </cell>
          <cell r="X2838">
            <v>60</v>
          </cell>
          <cell r="Y2838">
            <v>120</v>
          </cell>
        </row>
        <row r="2839">
          <cell r="U2839" t="str">
            <v>L107246</v>
          </cell>
          <cell r="V2839" t="str">
            <v>AZC 2kg-PAQUETE</v>
          </cell>
          <cell r="W2839" t="str">
            <v>Ajuste</v>
          </cell>
          <cell r="X2839">
            <v>30</v>
          </cell>
          <cell r="Y2839">
            <v>60</v>
          </cell>
        </row>
        <row r="2840">
          <cell r="U2840" t="str">
            <v>L107157</v>
          </cell>
          <cell r="V2840" t="str">
            <v>BASP 1kg</v>
          </cell>
          <cell r="W2840" t="str">
            <v>Ajuste</v>
          </cell>
          <cell r="X2840">
            <v>299</v>
          </cell>
          <cell r="Y2840">
            <v>299</v>
          </cell>
        </row>
        <row r="2841">
          <cell r="U2841" t="str">
            <v>L105810</v>
          </cell>
          <cell r="V2841" t="str">
            <v>BASPAY 5kg</v>
          </cell>
          <cell r="W2841" t="str">
            <v>Ajuste</v>
          </cell>
          <cell r="X2841">
            <v>99</v>
          </cell>
          <cell r="Y2841">
            <v>495</v>
          </cell>
        </row>
        <row r="2842">
          <cell r="U2842" t="str">
            <v>L106362</v>
          </cell>
          <cell r="V2842" t="str">
            <v>BCD 1kg</v>
          </cell>
          <cell r="W2842" t="str">
            <v>Ajuste</v>
          </cell>
          <cell r="X2842">
            <v>24</v>
          </cell>
          <cell r="Y2842">
            <v>24</v>
          </cell>
        </row>
        <row r="2843">
          <cell r="U2843" t="str">
            <v>L106413</v>
          </cell>
          <cell r="V2843" t="str">
            <v>BCLC 2.5kg</v>
          </cell>
          <cell r="W2843" t="str">
            <v>Ajuste</v>
          </cell>
          <cell r="X2843">
            <v>325</v>
          </cell>
          <cell r="Y2843">
            <v>812.5</v>
          </cell>
        </row>
        <row r="2844">
          <cell r="U2844" t="str">
            <v>L107079</v>
          </cell>
          <cell r="V2844" t="str">
            <v>BEALOE 2kg</v>
          </cell>
          <cell r="W2844" t="str">
            <v>Ajuste</v>
          </cell>
          <cell r="X2844">
            <v>1</v>
          </cell>
          <cell r="Y2844">
            <v>2</v>
          </cell>
        </row>
        <row r="2845">
          <cell r="U2845" t="str">
            <v>L106361</v>
          </cell>
          <cell r="V2845" t="str">
            <v>BMU 1kg-CAJA</v>
          </cell>
          <cell r="W2845" t="str">
            <v>Ajuste</v>
          </cell>
          <cell r="X2845">
            <v>8</v>
          </cell>
          <cell r="Y2845">
            <v>8</v>
          </cell>
        </row>
        <row r="2846">
          <cell r="U2846" t="str">
            <v>L106249</v>
          </cell>
          <cell r="V2846" t="str">
            <v>BPB 1Kg-UNIDAD</v>
          </cell>
          <cell r="W2846" t="str">
            <v>Ajuste</v>
          </cell>
          <cell r="X2846">
            <v>30</v>
          </cell>
          <cell r="Y2846">
            <v>30</v>
          </cell>
        </row>
        <row r="2847">
          <cell r="U2847" t="str">
            <v>L106366</v>
          </cell>
          <cell r="V2847" t="str">
            <v>BPB 1Kg-UNIDAD</v>
          </cell>
          <cell r="W2847" t="str">
            <v>Ajuste</v>
          </cell>
          <cell r="X2847">
            <v>42</v>
          </cell>
          <cell r="Y2847">
            <v>42</v>
          </cell>
        </row>
        <row r="2848">
          <cell r="U2848" t="str">
            <v>L106244</v>
          </cell>
          <cell r="V2848" t="str">
            <v>BPV 5kg</v>
          </cell>
          <cell r="W2848" t="str">
            <v>Ajuste</v>
          </cell>
          <cell r="X2848">
            <v>6</v>
          </cell>
          <cell r="Y2848">
            <v>30</v>
          </cell>
        </row>
        <row r="2849">
          <cell r="U2849" t="str">
            <v>L106337</v>
          </cell>
          <cell r="V2849" t="str">
            <v>BPV 5kg</v>
          </cell>
          <cell r="W2849" t="str">
            <v>Ajuste</v>
          </cell>
          <cell r="X2849">
            <v>29</v>
          </cell>
          <cell r="Y2849">
            <v>145</v>
          </cell>
        </row>
        <row r="2850">
          <cell r="U2850" t="str">
            <v>L106376</v>
          </cell>
          <cell r="V2850" t="str">
            <v>BPV 5kg</v>
          </cell>
          <cell r="W2850" t="str">
            <v>Ajuste</v>
          </cell>
          <cell r="X2850">
            <v>4</v>
          </cell>
          <cell r="Y2850">
            <v>20</v>
          </cell>
        </row>
        <row r="2851">
          <cell r="U2851" t="str">
            <v>L106648</v>
          </cell>
          <cell r="V2851" t="str">
            <v>BPV 5kg</v>
          </cell>
          <cell r="W2851" t="str">
            <v>Ajuste</v>
          </cell>
          <cell r="X2851">
            <v>14</v>
          </cell>
          <cell r="Y2851">
            <v>70</v>
          </cell>
        </row>
        <row r="2852">
          <cell r="U2852" t="str">
            <v>L106731</v>
          </cell>
          <cell r="V2852" t="str">
            <v>BPV 5kg</v>
          </cell>
          <cell r="W2852" t="str">
            <v>Ajuste</v>
          </cell>
          <cell r="X2852">
            <v>2</v>
          </cell>
          <cell r="Y2852">
            <v>10</v>
          </cell>
        </row>
        <row r="2853">
          <cell r="U2853" t="str">
            <v>L106732</v>
          </cell>
          <cell r="V2853" t="str">
            <v>BPV 5kg</v>
          </cell>
          <cell r="W2853" t="str">
            <v>Ajuste</v>
          </cell>
          <cell r="X2853">
            <v>2</v>
          </cell>
          <cell r="Y2853">
            <v>10</v>
          </cell>
        </row>
        <row r="2854">
          <cell r="U2854" t="str">
            <v>L106733</v>
          </cell>
          <cell r="V2854" t="str">
            <v>BPV 5kg</v>
          </cell>
          <cell r="W2854" t="str">
            <v>Ajuste</v>
          </cell>
          <cell r="X2854">
            <v>2</v>
          </cell>
          <cell r="Y2854">
            <v>10</v>
          </cell>
        </row>
        <row r="2855">
          <cell r="U2855" t="str">
            <v>L106734</v>
          </cell>
          <cell r="V2855" t="str">
            <v>BPV 5kg</v>
          </cell>
          <cell r="W2855" t="str">
            <v>Ajuste</v>
          </cell>
          <cell r="X2855">
            <v>2</v>
          </cell>
          <cell r="Y2855">
            <v>10</v>
          </cell>
        </row>
        <row r="2856">
          <cell r="U2856" t="str">
            <v>L106735</v>
          </cell>
          <cell r="V2856" t="str">
            <v>BPV 5kg</v>
          </cell>
          <cell r="W2856" t="str">
            <v>Ajuste</v>
          </cell>
          <cell r="X2856">
            <v>2</v>
          </cell>
          <cell r="Y2856">
            <v>10</v>
          </cell>
        </row>
        <row r="2857">
          <cell r="U2857" t="str">
            <v>L106736</v>
          </cell>
          <cell r="V2857" t="str">
            <v>BPV 5kg</v>
          </cell>
          <cell r="W2857" t="str">
            <v>Ajuste</v>
          </cell>
          <cell r="X2857">
            <v>2</v>
          </cell>
          <cell r="Y2857">
            <v>10</v>
          </cell>
        </row>
        <row r="2858">
          <cell r="U2858" t="str">
            <v>L106974</v>
          </cell>
          <cell r="V2858" t="str">
            <v>BPV 5kg</v>
          </cell>
          <cell r="W2858" t="str">
            <v>Ajuste</v>
          </cell>
          <cell r="X2858">
            <v>2</v>
          </cell>
          <cell r="Y2858">
            <v>10</v>
          </cell>
        </row>
        <row r="2859">
          <cell r="U2859" t="str">
            <v>L107083</v>
          </cell>
          <cell r="V2859" t="str">
            <v>BPV 5kg</v>
          </cell>
          <cell r="W2859" t="str">
            <v>Ajuste</v>
          </cell>
          <cell r="X2859">
            <v>4</v>
          </cell>
          <cell r="Y2859">
            <v>20</v>
          </cell>
        </row>
        <row r="2860">
          <cell r="U2860" t="str">
            <v>L107244</v>
          </cell>
          <cell r="V2860" t="str">
            <v>BPV 5kg</v>
          </cell>
          <cell r="W2860" t="str">
            <v>Ajuste</v>
          </cell>
          <cell r="X2860">
            <v>2</v>
          </cell>
          <cell r="Y2860">
            <v>10</v>
          </cell>
        </row>
        <row r="2861">
          <cell r="U2861" t="str">
            <v>L105612</v>
          </cell>
          <cell r="V2861" t="str">
            <v>BPVAY 10kg</v>
          </cell>
          <cell r="W2861" t="str">
            <v>Ajuste</v>
          </cell>
          <cell r="X2861">
            <v>2</v>
          </cell>
          <cell r="Y2861">
            <v>20</v>
          </cell>
        </row>
        <row r="2862">
          <cell r="U2862" t="str">
            <v>L105809</v>
          </cell>
          <cell r="V2862" t="str">
            <v>BPVAY 10kg</v>
          </cell>
          <cell r="W2862" t="str">
            <v>Ajuste</v>
          </cell>
          <cell r="X2862">
            <v>100</v>
          </cell>
          <cell r="Y2862">
            <v>1000</v>
          </cell>
        </row>
        <row r="2863">
          <cell r="U2863" t="str">
            <v>.......</v>
          </cell>
          <cell r="V2863" t="str">
            <v>BPVAY 5kg</v>
          </cell>
          <cell r="W2863" t="str">
            <v>Ajuste</v>
          </cell>
          <cell r="X2863">
            <v>2</v>
          </cell>
          <cell r="Y2863">
            <v>10</v>
          </cell>
        </row>
        <row r="2864">
          <cell r="U2864" t="str">
            <v>L106780</v>
          </cell>
          <cell r="V2864" t="str">
            <v>CAF 1kg</v>
          </cell>
          <cell r="W2864" t="str">
            <v>Ajuste</v>
          </cell>
          <cell r="X2864">
            <v>24</v>
          </cell>
          <cell r="Y2864">
            <v>24</v>
          </cell>
        </row>
        <row r="2865">
          <cell r="U2865" t="str">
            <v>L106781</v>
          </cell>
          <cell r="V2865" t="str">
            <v>CAF 1kg</v>
          </cell>
          <cell r="W2865" t="str">
            <v>Ajuste</v>
          </cell>
          <cell r="X2865">
            <v>8</v>
          </cell>
          <cell r="Y2865">
            <v>8</v>
          </cell>
        </row>
        <row r="2866">
          <cell r="U2866" t="str">
            <v>L106782</v>
          </cell>
          <cell r="V2866" t="str">
            <v>CAF 1kg</v>
          </cell>
          <cell r="W2866" t="str">
            <v>Ajuste</v>
          </cell>
          <cell r="X2866">
            <v>2</v>
          </cell>
          <cell r="Y2866">
            <v>2</v>
          </cell>
        </row>
        <row r="2867">
          <cell r="U2867" t="str">
            <v>L107310</v>
          </cell>
          <cell r="V2867" t="str">
            <v>CAF 1kg</v>
          </cell>
          <cell r="W2867" t="str">
            <v>Ajuste</v>
          </cell>
          <cell r="X2867">
            <v>6</v>
          </cell>
          <cell r="Y2867">
            <v>6</v>
          </cell>
        </row>
        <row r="2868">
          <cell r="U2868" t="str">
            <v>L107311</v>
          </cell>
          <cell r="V2868" t="str">
            <v>CAF 1kg</v>
          </cell>
          <cell r="W2868" t="str">
            <v>Ajuste</v>
          </cell>
          <cell r="X2868">
            <v>3</v>
          </cell>
          <cell r="Y2868">
            <v>3</v>
          </cell>
        </row>
        <row r="2869">
          <cell r="U2869" t="str">
            <v>L107312</v>
          </cell>
          <cell r="V2869" t="str">
            <v>CAF 1kg</v>
          </cell>
          <cell r="W2869" t="str">
            <v>Ajuste</v>
          </cell>
          <cell r="X2869">
            <v>1</v>
          </cell>
          <cell r="Y2869">
            <v>1</v>
          </cell>
        </row>
        <row r="2870">
          <cell r="U2870" t="str">
            <v>L107313</v>
          </cell>
          <cell r="V2870" t="str">
            <v>CAF 1kg</v>
          </cell>
          <cell r="W2870" t="str">
            <v>Ajuste</v>
          </cell>
          <cell r="X2870">
            <v>7</v>
          </cell>
          <cell r="Y2870">
            <v>7</v>
          </cell>
        </row>
        <row r="2871">
          <cell r="U2871" t="str">
            <v>L107309</v>
          </cell>
          <cell r="V2871" t="str">
            <v>CAF 2kg</v>
          </cell>
          <cell r="W2871" t="str">
            <v>Ajuste</v>
          </cell>
          <cell r="X2871">
            <v>4</v>
          </cell>
          <cell r="Y2871">
            <v>8</v>
          </cell>
        </row>
        <row r="2872">
          <cell r="U2872" t="str">
            <v>L107331</v>
          </cell>
          <cell r="V2872" t="str">
            <v>CAFG 2kg</v>
          </cell>
          <cell r="W2872" t="str">
            <v>Ajuste</v>
          </cell>
          <cell r="X2872">
            <v>44</v>
          </cell>
          <cell r="Y2872">
            <v>88</v>
          </cell>
        </row>
        <row r="2873">
          <cell r="U2873" t="str">
            <v>L107336</v>
          </cell>
          <cell r="V2873" t="str">
            <v>Carretilla</v>
          </cell>
          <cell r="W2873" t="str">
            <v>Ajuste</v>
          </cell>
          <cell r="X2873">
            <v>1</v>
          </cell>
          <cell r="Y2873">
            <v>10</v>
          </cell>
        </row>
        <row r="2874">
          <cell r="U2874" t="str">
            <v>L107337</v>
          </cell>
          <cell r="V2874" t="str">
            <v>CarretillaH</v>
          </cell>
          <cell r="W2874" t="str">
            <v>Ajuste</v>
          </cell>
          <cell r="X2874">
            <v>1</v>
          </cell>
          <cell r="Y2874">
            <v>70</v>
          </cell>
        </row>
        <row r="2875">
          <cell r="U2875" t="str">
            <v>L107047</v>
          </cell>
          <cell r="V2875" t="str">
            <v>CBCJ 1.5kg</v>
          </cell>
          <cell r="W2875" t="str">
            <v>Ajuste</v>
          </cell>
          <cell r="X2875">
            <v>75</v>
          </cell>
          <cell r="Y2875">
            <v>112.5</v>
          </cell>
        </row>
        <row r="2876">
          <cell r="U2876" t="str">
            <v>L107046</v>
          </cell>
          <cell r="V2876" t="str">
            <v>CDP 1kg-CAJA</v>
          </cell>
          <cell r="W2876" t="str">
            <v>Ajuste</v>
          </cell>
          <cell r="X2876">
            <v>33</v>
          </cell>
          <cell r="Y2876">
            <v>33</v>
          </cell>
        </row>
        <row r="2877">
          <cell r="U2877" t="str">
            <v>L107392</v>
          </cell>
          <cell r="V2877" t="str">
            <v>CHANC 1 X T41 - UNIDAD</v>
          </cell>
          <cell r="W2877" t="str">
            <v>Ajuste</v>
          </cell>
          <cell r="X2877">
            <v>1</v>
          </cell>
          <cell r="Y2877">
            <v>0.4</v>
          </cell>
        </row>
        <row r="2878">
          <cell r="U2878" t="str">
            <v>L107391</v>
          </cell>
          <cell r="V2878" t="str">
            <v>CHANI 1 X T37 - UNIDAD</v>
          </cell>
          <cell r="W2878" t="str">
            <v>Ajuste</v>
          </cell>
          <cell r="X2878">
            <v>3</v>
          </cell>
          <cell r="Y2878">
            <v>1.2000000000000002</v>
          </cell>
        </row>
        <row r="2879">
          <cell r="U2879" t="str">
            <v>L106550</v>
          </cell>
          <cell r="V2879" t="str">
            <v>CHCHM 2kg</v>
          </cell>
          <cell r="W2879" t="str">
            <v>Ajuste</v>
          </cell>
          <cell r="X2879">
            <v>2</v>
          </cell>
          <cell r="Y2879">
            <v>4</v>
          </cell>
        </row>
        <row r="2880">
          <cell r="U2880" t="str">
            <v>L106551</v>
          </cell>
          <cell r="V2880" t="str">
            <v>CHCHM 2kg</v>
          </cell>
          <cell r="W2880" t="str">
            <v>Ajuste</v>
          </cell>
          <cell r="X2880">
            <v>4</v>
          </cell>
          <cell r="Y2880">
            <v>8</v>
          </cell>
        </row>
        <row r="2881">
          <cell r="U2881" t="str">
            <v>L106558</v>
          </cell>
          <cell r="V2881" t="str">
            <v>CHWM 2kg</v>
          </cell>
          <cell r="W2881" t="str">
            <v>Ajuste</v>
          </cell>
          <cell r="X2881">
            <v>10</v>
          </cell>
          <cell r="Y2881">
            <v>20</v>
          </cell>
        </row>
        <row r="2882">
          <cell r="U2882" t="str">
            <v>L106559</v>
          </cell>
          <cell r="V2882" t="str">
            <v>CHWM 2kg</v>
          </cell>
          <cell r="W2882" t="str">
            <v>Ajuste</v>
          </cell>
          <cell r="X2882">
            <v>4</v>
          </cell>
          <cell r="Y2882">
            <v>8</v>
          </cell>
        </row>
        <row r="2883">
          <cell r="U2883" t="str">
            <v>L106251</v>
          </cell>
          <cell r="V2883" t="str">
            <v>CLX 2kg</v>
          </cell>
          <cell r="W2883" t="str">
            <v>Ajuste</v>
          </cell>
          <cell r="X2883">
            <v>30</v>
          </cell>
          <cell r="Y2883">
            <v>60</v>
          </cell>
        </row>
        <row r="2884">
          <cell r="U2884" t="str">
            <v>L106254</v>
          </cell>
          <cell r="V2884" t="str">
            <v>CLX 4kg</v>
          </cell>
          <cell r="W2884" t="str">
            <v>Ajuste</v>
          </cell>
          <cell r="X2884">
            <v>12</v>
          </cell>
          <cell r="Y2884">
            <v>48</v>
          </cell>
        </row>
        <row r="2885">
          <cell r="U2885" t="str">
            <v>L106833</v>
          </cell>
          <cell r="V2885" t="str">
            <v>CLX 4kg</v>
          </cell>
          <cell r="W2885" t="str">
            <v>Ajuste</v>
          </cell>
          <cell r="X2885">
            <v>28</v>
          </cell>
          <cell r="Y2885">
            <v>112</v>
          </cell>
        </row>
        <row r="2886">
          <cell r="U2886" t="str">
            <v>L107128</v>
          </cell>
          <cell r="V2886" t="str">
            <v>CLX 4kg</v>
          </cell>
          <cell r="W2886" t="str">
            <v>Ajuste</v>
          </cell>
          <cell r="X2886">
            <v>2</v>
          </cell>
          <cell r="Y2886">
            <v>8</v>
          </cell>
        </row>
        <row r="2887">
          <cell r="U2887" t="str">
            <v>L102384</v>
          </cell>
          <cell r="V2887" t="str">
            <v>CMPD 40x454g</v>
          </cell>
          <cell r="W2887" t="str">
            <v>Ajuste</v>
          </cell>
          <cell r="X2887">
            <v>5</v>
          </cell>
          <cell r="Y2887">
            <v>0</v>
          </cell>
        </row>
        <row r="2888">
          <cell r="U2888" t="str">
            <v>L107403</v>
          </cell>
          <cell r="V2888" t="str">
            <v>CMPP - UNIDAD</v>
          </cell>
          <cell r="W2888" t="str">
            <v>Ajuste</v>
          </cell>
          <cell r="X2888">
            <v>5</v>
          </cell>
          <cell r="Y2888">
            <v>5</v>
          </cell>
        </row>
        <row r="2889">
          <cell r="U2889" t="str">
            <v>L106277</v>
          </cell>
          <cell r="V2889" t="str">
            <v>CMSL 1kg - UNIDAD</v>
          </cell>
          <cell r="W2889" t="str">
            <v>Ajuste</v>
          </cell>
          <cell r="X2889">
            <v>38</v>
          </cell>
          <cell r="Y2889">
            <v>38</v>
          </cell>
        </row>
        <row r="2890">
          <cell r="U2890" t="str">
            <v>L106316</v>
          </cell>
          <cell r="V2890" t="str">
            <v>Coctel de frutas kg</v>
          </cell>
          <cell r="W2890" t="str">
            <v>Ajuste</v>
          </cell>
          <cell r="X2890">
            <v>14.5</v>
          </cell>
          <cell r="Y2890">
            <v>14.5</v>
          </cell>
        </row>
        <row r="2891">
          <cell r="U2891" t="str">
            <v>L106392</v>
          </cell>
          <cell r="V2891" t="str">
            <v>Coctel de frutas kg</v>
          </cell>
          <cell r="W2891" t="str">
            <v>Ajuste</v>
          </cell>
          <cell r="X2891">
            <v>3.36</v>
          </cell>
          <cell r="Y2891">
            <v>3.36</v>
          </cell>
        </row>
        <row r="2892">
          <cell r="U2892" t="str">
            <v>L106894</v>
          </cell>
          <cell r="V2892" t="str">
            <v>Coctel de frutas kg</v>
          </cell>
          <cell r="W2892" t="str">
            <v>Ajuste</v>
          </cell>
          <cell r="X2892">
            <v>6.5</v>
          </cell>
          <cell r="Y2892">
            <v>6.5</v>
          </cell>
        </row>
        <row r="2893">
          <cell r="U2893" t="str">
            <v>L106443</v>
          </cell>
          <cell r="V2893" t="str">
            <v>COSDC 3KG</v>
          </cell>
          <cell r="W2893" t="str">
            <v>Ajuste</v>
          </cell>
          <cell r="X2893">
            <v>464</v>
          </cell>
          <cell r="Y2893">
            <v>1392</v>
          </cell>
        </row>
        <row r="2894">
          <cell r="U2894" t="str">
            <v>L107023</v>
          </cell>
          <cell r="V2894" t="str">
            <v>COSDC 3KG</v>
          </cell>
          <cell r="W2894" t="str">
            <v>Ajuste</v>
          </cell>
          <cell r="X2894">
            <v>448</v>
          </cell>
          <cell r="Y2894">
            <v>1344</v>
          </cell>
        </row>
        <row r="2895">
          <cell r="U2895" t="str">
            <v>L106470</v>
          </cell>
          <cell r="V2895" t="str">
            <v>COSDC 5KG</v>
          </cell>
          <cell r="W2895" t="str">
            <v>Ajuste</v>
          </cell>
          <cell r="X2895">
            <v>2</v>
          </cell>
          <cell r="Y2895">
            <v>10</v>
          </cell>
        </row>
        <row r="2896">
          <cell r="U2896" t="str">
            <v>L107013</v>
          </cell>
          <cell r="V2896" t="str">
            <v>COSDCAY 3KG</v>
          </cell>
          <cell r="W2896" t="str">
            <v>Ajuste</v>
          </cell>
          <cell r="X2896">
            <v>150</v>
          </cell>
          <cell r="Y2896">
            <v>450</v>
          </cell>
        </row>
        <row r="2897">
          <cell r="U2897" t="str">
            <v>L102385</v>
          </cell>
          <cell r="V2897" t="str">
            <v>CPTNPD 40x320g</v>
          </cell>
          <cell r="W2897" t="str">
            <v>Ajuste</v>
          </cell>
          <cell r="X2897">
            <v>3</v>
          </cell>
          <cell r="Y2897">
            <v>0</v>
          </cell>
        </row>
        <row r="2898">
          <cell r="U2898" t="str">
            <v>L107082</v>
          </cell>
          <cell r="V2898" t="str">
            <v>CRAV 1KG</v>
          </cell>
          <cell r="W2898" t="str">
            <v>Ajuste</v>
          </cell>
          <cell r="X2898">
            <v>1</v>
          </cell>
          <cell r="Y2898">
            <v>1</v>
          </cell>
        </row>
        <row r="2899">
          <cell r="U2899" t="str">
            <v>L106388</v>
          </cell>
          <cell r="V2899" t="str">
            <v>CRC 1kg</v>
          </cell>
          <cell r="W2899" t="str">
            <v>Ajuste</v>
          </cell>
          <cell r="X2899">
            <v>10</v>
          </cell>
          <cell r="Y2899">
            <v>10</v>
          </cell>
        </row>
        <row r="2900">
          <cell r="U2900" t="str">
            <v>L107103</v>
          </cell>
          <cell r="V2900" t="str">
            <v>Crema chocolate kg</v>
          </cell>
          <cell r="W2900" t="str">
            <v>Ajuste</v>
          </cell>
          <cell r="X2900">
            <v>1.8</v>
          </cell>
          <cell r="Y2900">
            <v>1.8</v>
          </cell>
        </row>
        <row r="2901">
          <cell r="U2901" t="str">
            <v>L102386</v>
          </cell>
          <cell r="V2901" t="str">
            <v>CRM 10kg-CAJA</v>
          </cell>
          <cell r="W2901" t="str">
            <v>Ajuste</v>
          </cell>
          <cell r="X2901">
            <v>4</v>
          </cell>
          <cell r="Y2901">
            <v>0</v>
          </cell>
        </row>
        <row r="2902">
          <cell r="U2902" t="str">
            <v>L106552</v>
          </cell>
          <cell r="V2902" t="str">
            <v>CRM 2kg</v>
          </cell>
          <cell r="W2902" t="str">
            <v>Ajuste</v>
          </cell>
          <cell r="X2902">
            <v>2</v>
          </cell>
          <cell r="Y2902">
            <v>4</v>
          </cell>
        </row>
        <row r="2903">
          <cell r="U2903" t="str">
            <v>L106553</v>
          </cell>
          <cell r="V2903" t="str">
            <v>CRM 2kg</v>
          </cell>
          <cell r="W2903" t="str">
            <v>Ajuste</v>
          </cell>
          <cell r="X2903">
            <v>2</v>
          </cell>
          <cell r="Y2903">
            <v>4</v>
          </cell>
        </row>
        <row r="2904">
          <cell r="U2904" t="str">
            <v>L107273</v>
          </cell>
          <cell r="V2904" t="str">
            <v>CRV 1.5kg</v>
          </cell>
          <cell r="W2904" t="str">
            <v>Ajuste</v>
          </cell>
          <cell r="X2904">
            <v>1</v>
          </cell>
          <cell r="Y2904">
            <v>1.5</v>
          </cell>
        </row>
        <row r="2905">
          <cell r="U2905" t="str">
            <v>L106490</v>
          </cell>
          <cell r="V2905" t="str">
            <v>CRV 1kg</v>
          </cell>
          <cell r="W2905" t="str">
            <v>Ajuste</v>
          </cell>
          <cell r="X2905">
            <v>2016</v>
          </cell>
          <cell r="Y2905">
            <v>2016</v>
          </cell>
        </row>
        <row r="2906">
          <cell r="U2906" t="str">
            <v>L106490</v>
          </cell>
          <cell r="V2906" t="str">
            <v>DIV CRV 1kg</v>
          </cell>
          <cell r="W2906" t="str">
            <v>Ajuste</v>
          </cell>
          <cell r="X2906">
            <v>367</v>
          </cell>
          <cell r="Y2906">
            <v>367</v>
          </cell>
        </row>
        <row r="2907">
          <cell r="U2907" t="str">
            <v>L106489</v>
          </cell>
          <cell r="V2907" t="str">
            <v>CRV 1kg</v>
          </cell>
          <cell r="W2907" t="str">
            <v>Ajuste</v>
          </cell>
          <cell r="X2907">
            <v>2750</v>
          </cell>
          <cell r="Y2907">
            <v>2750</v>
          </cell>
        </row>
        <row r="2908">
          <cell r="U2908" t="str">
            <v>L106506</v>
          </cell>
          <cell r="V2908" t="str">
            <v>CRV 1kg</v>
          </cell>
          <cell r="W2908" t="str">
            <v>Ajuste</v>
          </cell>
          <cell r="X2908">
            <v>384</v>
          </cell>
          <cell r="Y2908">
            <v>384</v>
          </cell>
        </row>
        <row r="2909">
          <cell r="U2909" t="str">
            <v>L106853</v>
          </cell>
          <cell r="V2909" t="str">
            <v>CRV 1kg</v>
          </cell>
          <cell r="W2909" t="str">
            <v>Ajuste</v>
          </cell>
          <cell r="X2909">
            <v>1</v>
          </cell>
          <cell r="Y2909">
            <v>1</v>
          </cell>
        </row>
        <row r="2910">
          <cell r="U2910" t="str">
            <v>L107271</v>
          </cell>
          <cell r="V2910" t="str">
            <v>CRV 1kg</v>
          </cell>
          <cell r="W2910" t="str">
            <v>Ajuste</v>
          </cell>
          <cell r="X2910">
            <v>8</v>
          </cell>
          <cell r="Y2910">
            <v>8</v>
          </cell>
        </row>
        <row r="2911">
          <cell r="U2911" t="str">
            <v>L107272</v>
          </cell>
          <cell r="V2911" t="str">
            <v>CRV 1kg</v>
          </cell>
          <cell r="W2911" t="str">
            <v>Ajuste</v>
          </cell>
          <cell r="X2911">
            <v>2</v>
          </cell>
          <cell r="Y2911">
            <v>2</v>
          </cell>
        </row>
        <row r="2912">
          <cell r="U2912" t="str">
            <v>L106650</v>
          </cell>
          <cell r="V2912" t="str">
            <v>CRV 2.5kg-CAJA</v>
          </cell>
          <cell r="W2912" t="str">
            <v>Ajuste</v>
          </cell>
          <cell r="X2912">
            <v>143</v>
          </cell>
          <cell r="Y2912">
            <v>357.5</v>
          </cell>
        </row>
        <row r="2913">
          <cell r="U2913" t="str">
            <v>L106280</v>
          </cell>
          <cell r="V2913" t="str">
            <v>CSTD L - UNIDAD</v>
          </cell>
          <cell r="W2913" t="str">
            <v>Ajuste</v>
          </cell>
          <cell r="X2913">
            <v>82</v>
          </cell>
          <cell r="Y2913">
            <v>20.5</v>
          </cell>
        </row>
        <row r="2914">
          <cell r="U2914" t="str">
            <v>L106279</v>
          </cell>
          <cell r="V2914" t="str">
            <v>CSTD M - UNIDAD</v>
          </cell>
          <cell r="W2914" t="str">
            <v>Ajuste</v>
          </cell>
          <cell r="X2914">
            <v>64</v>
          </cell>
          <cell r="Y2914">
            <v>16</v>
          </cell>
        </row>
        <row r="2915">
          <cell r="U2915" t="str">
            <v>L106278</v>
          </cell>
          <cell r="V2915" t="str">
            <v>CSTD S - UNIDAD</v>
          </cell>
          <cell r="W2915" t="str">
            <v>Ajuste</v>
          </cell>
          <cell r="X2915">
            <v>40</v>
          </cell>
          <cell r="Y2915">
            <v>10</v>
          </cell>
        </row>
        <row r="2916">
          <cell r="U2916" t="str">
            <v>L106281</v>
          </cell>
          <cell r="V2916" t="str">
            <v>CSTD XL - UNIDAD</v>
          </cell>
          <cell r="W2916" t="str">
            <v>Ajuste</v>
          </cell>
          <cell r="X2916">
            <v>56</v>
          </cell>
          <cell r="Y2916">
            <v>14</v>
          </cell>
        </row>
        <row r="2917">
          <cell r="U2917" t="str">
            <v>L106367</v>
          </cell>
          <cell r="V2917" t="str">
            <v>CTF 2Kg-CAJA</v>
          </cell>
          <cell r="W2917" t="str">
            <v>Ajuste</v>
          </cell>
          <cell r="X2917">
            <v>16</v>
          </cell>
          <cell r="Y2917">
            <v>32</v>
          </cell>
        </row>
        <row r="2918">
          <cell r="U2918" t="str">
            <v>L106369</v>
          </cell>
          <cell r="V2918" t="str">
            <v>CTF 2Kg-CAJA</v>
          </cell>
          <cell r="W2918" t="str">
            <v>Ajuste</v>
          </cell>
          <cell r="X2918">
            <v>4</v>
          </cell>
          <cell r="Y2918">
            <v>8</v>
          </cell>
        </row>
        <row r="2919">
          <cell r="U2919" t="str">
            <v>L106370</v>
          </cell>
          <cell r="V2919" t="str">
            <v>CTF 2Kg-CAJA</v>
          </cell>
          <cell r="W2919" t="str">
            <v>Ajuste</v>
          </cell>
          <cell r="X2919">
            <v>4</v>
          </cell>
          <cell r="Y2919">
            <v>8</v>
          </cell>
        </row>
        <row r="2920">
          <cell r="U2920" t="str">
            <v>L106302</v>
          </cell>
          <cell r="V2920" t="str">
            <v>CTF 3Kg-CAJA</v>
          </cell>
          <cell r="W2920" t="str">
            <v>Ajuste</v>
          </cell>
          <cell r="X2920">
            <v>4</v>
          </cell>
          <cell r="Y2920">
            <v>12</v>
          </cell>
        </row>
        <row r="2921">
          <cell r="U2921" t="str">
            <v>L107321</v>
          </cell>
          <cell r="V2921" t="str">
            <v>Desinfectante kg</v>
          </cell>
          <cell r="W2921" t="str">
            <v>Ajuste</v>
          </cell>
          <cell r="X2921">
            <v>1.8</v>
          </cell>
          <cell r="Y2921">
            <v>1.8</v>
          </cell>
        </row>
        <row r="2922">
          <cell r="U2922" t="str">
            <v>L106686</v>
          </cell>
          <cell r="V2922" t="str">
            <v>DIV ADR 2kg</v>
          </cell>
          <cell r="W2922" t="str">
            <v>Ajuste</v>
          </cell>
          <cell r="X2922">
            <v>2</v>
          </cell>
          <cell r="Y2922">
            <v>4</v>
          </cell>
        </row>
        <row r="2923">
          <cell r="U2923" t="str">
            <v>L106849</v>
          </cell>
          <cell r="V2923" t="str">
            <v>DIV AGU 1 GLN</v>
          </cell>
          <cell r="W2923" t="str">
            <v>Ajuste</v>
          </cell>
          <cell r="X2923">
            <v>313</v>
          </cell>
          <cell r="Y2923">
            <v>1183.1400000000001</v>
          </cell>
        </row>
        <row r="2924">
          <cell r="U2924" t="str">
            <v>L107038</v>
          </cell>
          <cell r="V2924" t="str">
            <v>DIV AGU 1 GLN</v>
          </cell>
          <cell r="W2924" t="str">
            <v>Ajuste</v>
          </cell>
          <cell r="X2924">
            <v>328</v>
          </cell>
          <cell r="Y2924">
            <v>1239.8399999999999</v>
          </cell>
        </row>
        <row r="2925">
          <cell r="U2925" t="str">
            <v>L106770</v>
          </cell>
          <cell r="V2925" t="str">
            <v>DIV ALP 5kg</v>
          </cell>
          <cell r="W2925" t="str">
            <v>Ajuste</v>
          </cell>
          <cell r="X2925">
            <v>4</v>
          </cell>
          <cell r="Y2925">
            <v>20</v>
          </cell>
        </row>
        <row r="2926">
          <cell r="U2926" t="str">
            <v>L106983</v>
          </cell>
          <cell r="V2926" t="str">
            <v>DIV ALP 7kg</v>
          </cell>
          <cell r="W2926" t="str">
            <v>Ajuste</v>
          </cell>
          <cell r="X2926">
            <v>4</v>
          </cell>
          <cell r="Y2926">
            <v>28</v>
          </cell>
        </row>
        <row r="2927">
          <cell r="U2927" t="str">
            <v>L107370</v>
          </cell>
          <cell r="V2927" t="str">
            <v>DIV ALP 7kg</v>
          </cell>
          <cell r="W2927" t="str">
            <v>Ajuste</v>
          </cell>
          <cell r="X2927">
            <v>4</v>
          </cell>
          <cell r="Y2927">
            <v>28</v>
          </cell>
        </row>
        <row r="2928">
          <cell r="U2928" t="str">
            <v>L106083</v>
          </cell>
          <cell r="V2928" t="str">
            <v>DIV AZC 2kg</v>
          </cell>
          <cell r="W2928" t="str">
            <v>Ajuste</v>
          </cell>
          <cell r="X2928">
            <v>66</v>
          </cell>
          <cell r="Y2928">
            <v>132</v>
          </cell>
        </row>
        <row r="2929">
          <cell r="U2929" t="str">
            <v>L106107</v>
          </cell>
          <cell r="V2929" t="str">
            <v>DIV BAVHLR 1kg</v>
          </cell>
          <cell r="W2929" t="str">
            <v>Ajuste</v>
          </cell>
          <cell r="X2929">
            <v>2</v>
          </cell>
          <cell r="Y2929">
            <v>2</v>
          </cell>
        </row>
        <row r="2930">
          <cell r="U2930" t="str">
            <v>L106688</v>
          </cell>
          <cell r="V2930" t="str">
            <v>DIV BPV 5kg</v>
          </cell>
          <cell r="W2930" t="str">
            <v>Ajuste</v>
          </cell>
          <cell r="X2930">
            <v>6</v>
          </cell>
          <cell r="Y2930">
            <v>30</v>
          </cell>
        </row>
        <row r="2931">
          <cell r="U2931" t="str">
            <v>L106691</v>
          </cell>
          <cell r="V2931" t="str">
            <v>DIV BPV 5kg</v>
          </cell>
          <cell r="W2931" t="str">
            <v>Ajuste</v>
          </cell>
          <cell r="X2931">
            <v>6</v>
          </cell>
          <cell r="Y2931">
            <v>30</v>
          </cell>
        </row>
        <row r="2932">
          <cell r="U2932" t="str">
            <v>L107274</v>
          </cell>
          <cell r="V2932" t="str">
            <v>DIV BPV 5kg</v>
          </cell>
          <cell r="W2932" t="str">
            <v>Ajuste</v>
          </cell>
          <cell r="X2932">
            <v>16</v>
          </cell>
          <cell r="Y2932">
            <v>80</v>
          </cell>
        </row>
        <row r="2933">
          <cell r="U2933" t="str">
            <v>L106693</v>
          </cell>
          <cell r="V2933" t="str">
            <v>DIV CHWM 2kg</v>
          </cell>
          <cell r="W2933" t="str">
            <v>Ajuste</v>
          </cell>
          <cell r="X2933">
            <v>2</v>
          </cell>
          <cell r="Y2933">
            <v>4</v>
          </cell>
        </row>
        <row r="2934">
          <cell r="U2934" t="str">
            <v>L106084</v>
          </cell>
          <cell r="V2934" t="str">
            <v>DIV CLZCAB T8</v>
          </cell>
          <cell r="W2934" t="str">
            <v>Ajuste</v>
          </cell>
          <cell r="X2934">
            <v>2</v>
          </cell>
          <cell r="Y2934">
            <v>1.4</v>
          </cell>
        </row>
        <row r="2935">
          <cell r="U2935" t="str">
            <v>L106085</v>
          </cell>
          <cell r="V2935" t="str">
            <v>DIV CLZCAB T9</v>
          </cell>
          <cell r="W2935" t="str">
            <v>Ajuste</v>
          </cell>
          <cell r="X2935">
            <v>2</v>
          </cell>
          <cell r="Y2935">
            <v>1.4</v>
          </cell>
        </row>
        <row r="2936">
          <cell r="U2936" t="str">
            <v>L106086</v>
          </cell>
          <cell r="V2936" t="str">
            <v>DIV CLZDAM T37</v>
          </cell>
          <cell r="W2936" t="str">
            <v>Ajuste</v>
          </cell>
          <cell r="X2936">
            <v>2</v>
          </cell>
          <cell r="Y2936">
            <v>1.2</v>
          </cell>
        </row>
        <row r="2937">
          <cell r="U2937" t="str">
            <v>L106285</v>
          </cell>
          <cell r="V2937" t="str">
            <v>DIV CNPH 4.5kg</v>
          </cell>
          <cell r="W2937" t="str">
            <v>Ajuste</v>
          </cell>
          <cell r="X2937">
            <v>200</v>
          </cell>
          <cell r="Y2937">
            <v>900</v>
          </cell>
        </row>
        <row r="2938">
          <cell r="U2938" t="str">
            <v>L106986</v>
          </cell>
          <cell r="V2938" t="str">
            <v>DIV CNPH 4.5kg</v>
          </cell>
          <cell r="W2938" t="str">
            <v>Ajuste</v>
          </cell>
          <cell r="X2938">
            <v>3</v>
          </cell>
          <cell r="Y2938">
            <v>13.5</v>
          </cell>
        </row>
        <row r="2939">
          <cell r="U2939" t="str">
            <v>L106228</v>
          </cell>
          <cell r="V2939" t="str">
            <v>DIV COSDC 14KG</v>
          </cell>
          <cell r="W2939" t="str">
            <v>Ajuste</v>
          </cell>
          <cell r="X2939">
            <v>50</v>
          </cell>
          <cell r="Y2939">
            <v>700</v>
          </cell>
        </row>
        <row r="2940">
          <cell r="U2940" t="str">
            <v>L106284</v>
          </cell>
          <cell r="V2940" t="str">
            <v>DIV COSDC 14KG</v>
          </cell>
          <cell r="W2940" t="str">
            <v>Ajuste</v>
          </cell>
          <cell r="X2940">
            <v>100</v>
          </cell>
          <cell r="Y2940">
            <v>1400</v>
          </cell>
        </row>
        <row r="2941">
          <cell r="U2941" t="str">
            <v>L106917</v>
          </cell>
          <cell r="V2941" t="str">
            <v>DIV COSDC 14KG</v>
          </cell>
          <cell r="W2941" t="str">
            <v>Ajuste</v>
          </cell>
          <cell r="X2941">
            <v>50</v>
          </cell>
          <cell r="Y2941">
            <v>700</v>
          </cell>
        </row>
        <row r="2942">
          <cell r="U2942" t="str">
            <v>L107162</v>
          </cell>
          <cell r="V2942" t="str">
            <v>DIV COSDC 14KG</v>
          </cell>
          <cell r="W2942" t="str">
            <v>Ajuste</v>
          </cell>
          <cell r="X2942">
            <v>48</v>
          </cell>
          <cell r="Y2942">
            <v>672</v>
          </cell>
        </row>
        <row r="2943">
          <cell r="U2943" t="str">
            <v>L106682</v>
          </cell>
          <cell r="V2943" t="str">
            <v>DIV CRM 2kg</v>
          </cell>
          <cell r="W2943" t="str">
            <v>Ajuste</v>
          </cell>
          <cell r="X2943">
            <v>12</v>
          </cell>
          <cell r="Y2943">
            <v>24</v>
          </cell>
        </row>
        <row r="2944">
          <cell r="U2944" t="str">
            <v>L106690</v>
          </cell>
          <cell r="V2944" t="str">
            <v>DIV CRM 2kg</v>
          </cell>
          <cell r="W2944" t="str">
            <v>Ajuste</v>
          </cell>
          <cell r="X2944">
            <v>10</v>
          </cell>
          <cell r="Y2944">
            <v>20</v>
          </cell>
        </row>
        <row r="2945">
          <cell r="U2945" t="str">
            <v>L107205</v>
          </cell>
          <cell r="V2945" t="str">
            <v>DIV CRM 2kg</v>
          </cell>
          <cell r="W2945" t="str">
            <v>Ajuste</v>
          </cell>
          <cell r="X2945">
            <v>2</v>
          </cell>
          <cell r="Y2945">
            <v>4</v>
          </cell>
        </row>
        <row r="2946">
          <cell r="U2946" t="str">
            <v>L106540</v>
          </cell>
          <cell r="V2946" t="str">
            <v>DIV CRV 2kg</v>
          </cell>
          <cell r="W2946" t="str">
            <v>Ajuste</v>
          </cell>
          <cell r="X2946">
            <v>272</v>
          </cell>
          <cell r="Y2946">
            <v>544</v>
          </cell>
        </row>
        <row r="2947">
          <cell r="U2947" t="str">
            <v>L106539</v>
          </cell>
          <cell r="V2947" t="str">
            <v>DIV CRV 6kg</v>
          </cell>
          <cell r="W2947" t="str">
            <v>Ajuste</v>
          </cell>
          <cell r="X2947">
            <v>69</v>
          </cell>
          <cell r="Y2947">
            <v>414</v>
          </cell>
        </row>
        <row r="2948">
          <cell r="U2948" t="str">
            <v>L106201</v>
          </cell>
          <cell r="V2948" t="str">
            <v>DIV ECDP 7kg</v>
          </cell>
          <cell r="W2948" t="str">
            <v>Ajuste</v>
          </cell>
          <cell r="X2948">
            <v>4</v>
          </cell>
          <cell r="Y2948">
            <v>28</v>
          </cell>
        </row>
        <row r="2949">
          <cell r="U2949" t="str">
            <v>L106994</v>
          </cell>
          <cell r="V2949" t="str">
            <v>DIV ECTO - UNIDAD</v>
          </cell>
          <cell r="W2949" t="str">
            <v>Ajuste</v>
          </cell>
          <cell r="X2949">
            <v>24</v>
          </cell>
          <cell r="Y2949">
            <v>1200</v>
          </cell>
        </row>
        <row r="2950">
          <cell r="U2950" t="str">
            <v>L106919</v>
          </cell>
          <cell r="V2950" t="str">
            <v>DIV EMBV 2kg</v>
          </cell>
          <cell r="W2950" t="str">
            <v>Ajuste</v>
          </cell>
          <cell r="X2950">
            <v>12</v>
          </cell>
          <cell r="Y2950">
            <v>24</v>
          </cell>
        </row>
        <row r="2951">
          <cell r="U2951" t="str">
            <v>L107122</v>
          </cell>
          <cell r="V2951" t="str">
            <v>DIV EMP 1kg</v>
          </cell>
          <cell r="W2951" t="str">
            <v>Ajuste</v>
          </cell>
          <cell r="X2951">
            <v>12</v>
          </cell>
          <cell r="Y2951">
            <v>12</v>
          </cell>
        </row>
        <row r="2952">
          <cell r="U2952" t="str">
            <v>L107207</v>
          </cell>
          <cell r="V2952" t="str">
            <v>DIV EMP 1kg</v>
          </cell>
          <cell r="W2952" t="str">
            <v>Ajuste</v>
          </cell>
          <cell r="X2952">
            <v>1</v>
          </cell>
          <cell r="Y2952">
            <v>1</v>
          </cell>
        </row>
        <row r="2953">
          <cell r="U2953" t="str">
            <v>L106712</v>
          </cell>
          <cell r="V2953" t="str">
            <v>DIV EMP 2kg</v>
          </cell>
          <cell r="W2953" t="str">
            <v>Ajuste</v>
          </cell>
          <cell r="X2953">
            <v>4</v>
          </cell>
          <cell r="Y2953">
            <v>8</v>
          </cell>
        </row>
        <row r="2954">
          <cell r="U2954" t="str">
            <v>L106417</v>
          </cell>
          <cell r="V2954" t="str">
            <v>ESQPCD 8kg</v>
          </cell>
          <cell r="W2954" t="str">
            <v>Ajuste</v>
          </cell>
          <cell r="X2954">
            <v>88</v>
          </cell>
          <cell r="Y2954">
            <v>704</v>
          </cell>
        </row>
        <row r="2955">
          <cell r="U2955" t="str">
            <v>L106417</v>
          </cell>
          <cell r="V2955" t="str">
            <v>DIV ESQPCD 8kg</v>
          </cell>
          <cell r="W2955" t="str">
            <v>Ajuste</v>
          </cell>
          <cell r="X2955">
            <v>240</v>
          </cell>
          <cell r="Y2955">
            <v>1920</v>
          </cell>
        </row>
        <row r="2956">
          <cell r="U2956" t="str">
            <v>L106915</v>
          </cell>
          <cell r="V2956" t="str">
            <v>DIV ESQPCD 8kg</v>
          </cell>
          <cell r="W2956" t="str">
            <v>Ajuste</v>
          </cell>
          <cell r="X2956">
            <v>5</v>
          </cell>
          <cell r="Y2956">
            <v>40</v>
          </cell>
        </row>
        <row r="2957">
          <cell r="U2957" t="str">
            <v>L106692</v>
          </cell>
          <cell r="V2957" t="str">
            <v>DIV ESV 2kg</v>
          </cell>
          <cell r="W2957" t="str">
            <v>Ajuste</v>
          </cell>
          <cell r="X2957">
            <v>4</v>
          </cell>
          <cell r="Y2957">
            <v>8</v>
          </cell>
        </row>
        <row r="2958">
          <cell r="U2958" t="str">
            <v>L107211</v>
          </cell>
          <cell r="V2958" t="str">
            <v>DIV ESV 2kg</v>
          </cell>
          <cell r="W2958" t="str">
            <v>Ajuste</v>
          </cell>
          <cell r="X2958">
            <v>1</v>
          </cell>
          <cell r="Y2958">
            <v>2</v>
          </cell>
        </row>
        <row r="2959">
          <cell r="U2959" t="str">
            <v>L106396</v>
          </cell>
          <cell r="V2959" t="str">
            <v>DIV FDE 3KG</v>
          </cell>
          <cell r="W2959" t="str">
            <v>Ajuste</v>
          </cell>
          <cell r="X2959">
            <v>70</v>
          </cell>
          <cell r="Y2959">
            <v>210</v>
          </cell>
        </row>
        <row r="2960">
          <cell r="U2960" t="str">
            <v>L106088</v>
          </cell>
          <cell r="V2960" t="str">
            <v>DIV FRCONG 2kg</v>
          </cell>
          <cell r="W2960" t="str">
            <v>Ajuste</v>
          </cell>
          <cell r="X2960">
            <v>2</v>
          </cell>
          <cell r="Y2960">
            <v>4</v>
          </cell>
        </row>
        <row r="2961">
          <cell r="U2961" t="str">
            <v>L106091</v>
          </cell>
          <cell r="V2961" t="str">
            <v>DIV FRUVER 10kg</v>
          </cell>
          <cell r="W2961" t="str">
            <v>Ajuste</v>
          </cell>
          <cell r="X2961">
            <v>10</v>
          </cell>
          <cell r="Y2961">
            <v>100</v>
          </cell>
        </row>
        <row r="2962">
          <cell r="U2962" t="str">
            <v>L106111</v>
          </cell>
          <cell r="V2962" t="str">
            <v>DIV FRUVER 10kg</v>
          </cell>
          <cell r="W2962" t="str">
            <v>Ajuste</v>
          </cell>
          <cell r="X2962">
            <v>30</v>
          </cell>
          <cell r="Y2962">
            <v>300</v>
          </cell>
        </row>
        <row r="2963">
          <cell r="U2963" t="str">
            <v>L106113</v>
          </cell>
          <cell r="V2963" t="str">
            <v>DIV FRUVER 10kg</v>
          </cell>
          <cell r="W2963" t="str">
            <v>Ajuste</v>
          </cell>
          <cell r="X2963">
            <v>10</v>
          </cell>
          <cell r="Y2963">
            <v>100</v>
          </cell>
        </row>
        <row r="2964">
          <cell r="U2964" t="str">
            <v>L106115</v>
          </cell>
          <cell r="V2964" t="str">
            <v>DIV FRUVER 10kg</v>
          </cell>
          <cell r="W2964" t="str">
            <v>Ajuste</v>
          </cell>
          <cell r="X2964">
            <v>18</v>
          </cell>
          <cell r="Y2964">
            <v>180</v>
          </cell>
        </row>
        <row r="2965">
          <cell r="U2965" t="str">
            <v>L106220</v>
          </cell>
          <cell r="V2965" t="str">
            <v>DIV FRUVER 10kg</v>
          </cell>
          <cell r="W2965" t="str">
            <v>Ajuste</v>
          </cell>
          <cell r="X2965">
            <v>10</v>
          </cell>
          <cell r="Y2965">
            <v>100</v>
          </cell>
        </row>
        <row r="2966">
          <cell r="U2966" t="str">
            <v>L106222</v>
          </cell>
          <cell r="V2966" t="str">
            <v>DIV FRUVER 10kg</v>
          </cell>
          <cell r="W2966" t="str">
            <v>Ajuste</v>
          </cell>
          <cell r="X2966">
            <v>10</v>
          </cell>
          <cell r="Y2966">
            <v>100</v>
          </cell>
        </row>
        <row r="2967">
          <cell r="U2967" t="str">
            <v>L106224</v>
          </cell>
          <cell r="V2967" t="str">
            <v>DIV FRUVER 10kg</v>
          </cell>
          <cell r="W2967" t="str">
            <v>Ajuste</v>
          </cell>
          <cell r="X2967">
            <v>16</v>
          </cell>
          <cell r="Y2967">
            <v>160</v>
          </cell>
        </row>
        <row r="2968">
          <cell r="U2968" t="str">
            <v>L106226</v>
          </cell>
          <cell r="V2968" t="str">
            <v>DIV FRUVER 10kg</v>
          </cell>
          <cell r="W2968" t="str">
            <v>Ajuste</v>
          </cell>
          <cell r="X2968">
            <v>10</v>
          </cell>
          <cell r="Y2968">
            <v>100</v>
          </cell>
        </row>
        <row r="2969">
          <cell r="U2969" t="str">
            <v>L106287</v>
          </cell>
          <cell r="V2969" t="str">
            <v>DIV FRUVER 10kg</v>
          </cell>
          <cell r="W2969" t="str">
            <v>Ajuste</v>
          </cell>
          <cell r="X2969">
            <v>10</v>
          </cell>
          <cell r="Y2969">
            <v>100</v>
          </cell>
        </row>
        <row r="2970">
          <cell r="U2970" t="str">
            <v>L106289</v>
          </cell>
          <cell r="V2970" t="str">
            <v>DIV FRUVER 10kg</v>
          </cell>
          <cell r="W2970" t="str">
            <v>Ajuste</v>
          </cell>
          <cell r="X2970">
            <v>8</v>
          </cell>
          <cell r="Y2970">
            <v>80</v>
          </cell>
        </row>
        <row r="2971">
          <cell r="U2971" t="str">
            <v>L106291</v>
          </cell>
          <cell r="V2971" t="str">
            <v>DIV FRUVER 10kg</v>
          </cell>
          <cell r="W2971" t="str">
            <v>Ajuste</v>
          </cell>
          <cell r="X2971">
            <v>26</v>
          </cell>
          <cell r="Y2971">
            <v>260</v>
          </cell>
        </row>
        <row r="2972">
          <cell r="U2972" t="str">
            <v>L106293</v>
          </cell>
          <cell r="V2972" t="str">
            <v>DIV FRUVER 10kg</v>
          </cell>
          <cell r="W2972" t="str">
            <v>Ajuste</v>
          </cell>
          <cell r="X2972">
            <v>8</v>
          </cell>
          <cell r="Y2972">
            <v>80</v>
          </cell>
        </row>
        <row r="2973">
          <cell r="U2973" t="str">
            <v>L106332</v>
          </cell>
          <cell r="V2973" t="str">
            <v>DIV FRUVER 10kg</v>
          </cell>
          <cell r="W2973" t="str">
            <v>Ajuste</v>
          </cell>
          <cell r="X2973">
            <v>16</v>
          </cell>
          <cell r="Y2973">
            <v>160</v>
          </cell>
        </row>
        <row r="2974">
          <cell r="U2974" t="str">
            <v>L106405</v>
          </cell>
          <cell r="V2974" t="str">
            <v>DIV FRUVER 10kg</v>
          </cell>
          <cell r="W2974" t="str">
            <v>Ajuste</v>
          </cell>
          <cell r="X2974">
            <v>26</v>
          </cell>
          <cell r="Y2974">
            <v>260</v>
          </cell>
        </row>
        <row r="2975">
          <cell r="U2975" t="str">
            <v>L106407</v>
          </cell>
          <cell r="V2975" t="str">
            <v>DIV FRUVER 10kg</v>
          </cell>
          <cell r="W2975" t="str">
            <v>Ajuste</v>
          </cell>
          <cell r="X2975">
            <v>14</v>
          </cell>
          <cell r="Y2975">
            <v>140</v>
          </cell>
        </row>
        <row r="2976">
          <cell r="U2976" t="str">
            <v>L106409</v>
          </cell>
          <cell r="V2976" t="str">
            <v>DIV FRUVER 10kg</v>
          </cell>
          <cell r="W2976" t="str">
            <v>Ajuste</v>
          </cell>
          <cell r="X2976">
            <v>4</v>
          </cell>
          <cell r="Y2976">
            <v>40</v>
          </cell>
        </row>
        <row r="2977">
          <cell r="U2977" t="str">
            <v>L106441</v>
          </cell>
          <cell r="V2977" t="str">
            <v>DIV FRUVER 10kg</v>
          </cell>
          <cell r="W2977" t="str">
            <v>Ajuste</v>
          </cell>
          <cell r="X2977">
            <v>12</v>
          </cell>
          <cell r="Y2977">
            <v>120</v>
          </cell>
        </row>
        <row r="2978">
          <cell r="U2978" t="str">
            <v>L106444</v>
          </cell>
          <cell r="V2978" t="str">
            <v>DIV FRUVER 10kg</v>
          </cell>
          <cell r="W2978" t="str">
            <v>Ajuste</v>
          </cell>
          <cell r="X2978">
            <v>14</v>
          </cell>
          <cell r="Y2978">
            <v>140</v>
          </cell>
        </row>
        <row r="2979">
          <cell r="U2979" t="str">
            <v>L106492</v>
          </cell>
          <cell r="V2979" t="str">
            <v>DIV FRUVER 10kg</v>
          </cell>
          <cell r="W2979" t="str">
            <v>Ajuste</v>
          </cell>
          <cell r="X2979">
            <v>6</v>
          </cell>
          <cell r="Y2979">
            <v>60</v>
          </cell>
        </row>
        <row r="2980">
          <cell r="U2980" t="str">
            <v>L106520</v>
          </cell>
          <cell r="V2980" t="str">
            <v>DIV FRUVER 10kg</v>
          </cell>
          <cell r="W2980" t="str">
            <v>Ajuste</v>
          </cell>
          <cell r="X2980">
            <v>4</v>
          </cell>
          <cell r="Y2980">
            <v>40</v>
          </cell>
        </row>
        <row r="2981">
          <cell r="U2981" t="str">
            <v>L106522</v>
          </cell>
          <cell r="V2981" t="str">
            <v>DIV FRUVER 10kg</v>
          </cell>
          <cell r="W2981" t="str">
            <v>Ajuste</v>
          </cell>
          <cell r="X2981">
            <v>10</v>
          </cell>
          <cell r="Y2981">
            <v>100</v>
          </cell>
        </row>
        <row r="2982">
          <cell r="U2982" t="str">
            <v>L106526</v>
          </cell>
          <cell r="V2982" t="str">
            <v>DIV FRUVER 10kg</v>
          </cell>
          <cell r="W2982" t="str">
            <v>Ajuste</v>
          </cell>
          <cell r="X2982">
            <v>14</v>
          </cell>
          <cell r="Y2982">
            <v>140</v>
          </cell>
        </row>
        <row r="2983">
          <cell r="U2983" t="str">
            <v>L106528</v>
          </cell>
          <cell r="V2983" t="str">
            <v>DIV FRUVER 10kg</v>
          </cell>
          <cell r="W2983" t="str">
            <v>Ajuste</v>
          </cell>
          <cell r="X2983">
            <v>12</v>
          </cell>
          <cell r="Y2983">
            <v>120</v>
          </cell>
        </row>
        <row r="2984">
          <cell r="U2984" t="str">
            <v>L106655</v>
          </cell>
          <cell r="V2984" t="str">
            <v>DIV FRUVER 10kg</v>
          </cell>
          <cell r="W2984" t="str">
            <v>Ajuste</v>
          </cell>
          <cell r="X2984">
            <v>44</v>
          </cell>
          <cell r="Y2984">
            <v>440</v>
          </cell>
        </row>
        <row r="2985">
          <cell r="U2985" t="str">
            <v>L106700</v>
          </cell>
          <cell r="V2985" t="str">
            <v>DIV FRUVER 10kg</v>
          </cell>
          <cell r="W2985" t="str">
            <v>Ajuste</v>
          </cell>
          <cell r="X2985">
            <v>4</v>
          </cell>
          <cell r="Y2985">
            <v>40</v>
          </cell>
        </row>
        <row r="2986">
          <cell r="U2986" t="str">
            <v>L106704</v>
          </cell>
          <cell r="V2986" t="str">
            <v>DIV FRUVER 10kg</v>
          </cell>
          <cell r="W2986" t="str">
            <v>Ajuste</v>
          </cell>
          <cell r="X2986">
            <v>18</v>
          </cell>
          <cell r="Y2986">
            <v>180</v>
          </cell>
        </row>
        <row r="2987">
          <cell r="U2987" t="str">
            <v>L106706</v>
          </cell>
          <cell r="V2987" t="str">
            <v>DIV FRUVER 10kg</v>
          </cell>
          <cell r="W2987" t="str">
            <v>Ajuste</v>
          </cell>
          <cell r="X2987">
            <v>6</v>
          </cell>
          <cell r="Y2987">
            <v>60</v>
          </cell>
        </row>
        <row r="2988">
          <cell r="U2988" t="str">
            <v>L106708</v>
          </cell>
          <cell r="V2988" t="str">
            <v>DIV FRUVER 10kg</v>
          </cell>
          <cell r="W2988" t="str">
            <v>Ajuste</v>
          </cell>
          <cell r="X2988">
            <v>24</v>
          </cell>
          <cell r="Y2988">
            <v>240</v>
          </cell>
        </row>
        <row r="2989">
          <cell r="U2989" t="str">
            <v>L106758</v>
          </cell>
          <cell r="V2989" t="str">
            <v>DIV FRUVER 10kg</v>
          </cell>
          <cell r="W2989" t="str">
            <v>Ajuste</v>
          </cell>
          <cell r="X2989">
            <v>8</v>
          </cell>
          <cell r="Y2989">
            <v>80</v>
          </cell>
        </row>
        <row r="2990">
          <cell r="U2990" t="str">
            <v>L106763</v>
          </cell>
          <cell r="V2990" t="str">
            <v>DIV FRUVER 10kg</v>
          </cell>
          <cell r="W2990" t="str">
            <v>Ajuste</v>
          </cell>
          <cell r="X2990">
            <v>12</v>
          </cell>
          <cell r="Y2990">
            <v>120</v>
          </cell>
        </row>
        <row r="2991">
          <cell r="U2991" t="str">
            <v>L106766</v>
          </cell>
          <cell r="V2991" t="str">
            <v>DIV FRUVER 10kg</v>
          </cell>
          <cell r="W2991" t="str">
            <v>Ajuste</v>
          </cell>
          <cell r="X2991">
            <v>6</v>
          </cell>
          <cell r="Y2991">
            <v>60</v>
          </cell>
        </row>
        <row r="2992">
          <cell r="U2992" t="str">
            <v>L106867</v>
          </cell>
          <cell r="V2992" t="str">
            <v>DIV FRUVER 10kg</v>
          </cell>
          <cell r="W2992" t="str">
            <v>Ajuste</v>
          </cell>
          <cell r="X2992">
            <v>16</v>
          </cell>
          <cell r="Y2992">
            <v>160</v>
          </cell>
        </row>
        <row r="2993">
          <cell r="U2993" t="str">
            <v>L106903</v>
          </cell>
          <cell r="V2993" t="str">
            <v>DIV FRUVER 10kg</v>
          </cell>
          <cell r="W2993" t="str">
            <v>Ajuste</v>
          </cell>
          <cell r="X2993">
            <v>12</v>
          </cell>
          <cell r="Y2993">
            <v>120</v>
          </cell>
        </row>
        <row r="2994">
          <cell r="U2994" t="str">
            <v>L106906</v>
          </cell>
          <cell r="V2994" t="str">
            <v>DIV FRUVER 10kg</v>
          </cell>
          <cell r="W2994" t="str">
            <v>Ajuste</v>
          </cell>
          <cell r="X2994">
            <v>12</v>
          </cell>
          <cell r="Y2994">
            <v>120</v>
          </cell>
        </row>
        <row r="2995">
          <cell r="U2995" t="str">
            <v>L106910</v>
          </cell>
          <cell r="V2995" t="str">
            <v>DIV FRUVER 10kg</v>
          </cell>
          <cell r="W2995" t="str">
            <v>Ajuste</v>
          </cell>
          <cell r="X2995">
            <v>28</v>
          </cell>
          <cell r="Y2995">
            <v>280</v>
          </cell>
        </row>
        <row r="2996">
          <cell r="U2996" t="str">
            <v>L106912</v>
          </cell>
          <cell r="V2996" t="str">
            <v>DIV FRUVER 10kg</v>
          </cell>
          <cell r="W2996" t="str">
            <v>Ajuste</v>
          </cell>
          <cell r="X2996">
            <v>12</v>
          </cell>
          <cell r="Y2996">
            <v>120</v>
          </cell>
        </row>
        <row r="2997">
          <cell r="U2997" t="str">
            <v>L107039</v>
          </cell>
          <cell r="V2997" t="str">
            <v>DIV FRUVER 10kg</v>
          </cell>
          <cell r="W2997" t="str">
            <v>Ajuste</v>
          </cell>
          <cell r="X2997">
            <v>12</v>
          </cell>
          <cell r="Y2997">
            <v>120</v>
          </cell>
        </row>
        <row r="2998">
          <cell r="U2998" t="str">
            <v>L107108</v>
          </cell>
          <cell r="V2998" t="str">
            <v>DIV FRUVER 10kg</v>
          </cell>
          <cell r="W2998" t="str">
            <v>Ajuste</v>
          </cell>
          <cell r="X2998">
            <v>42</v>
          </cell>
          <cell r="Y2998">
            <v>420</v>
          </cell>
        </row>
        <row r="2999">
          <cell r="U2999" t="str">
            <v>L107110</v>
          </cell>
          <cell r="V2999" t="str">
            <v>DIV FRUVER 10kg</v>
          </cell>
          <cell r="W2999" t="str">
            <v>Ajuste</v>
          </cell>
          <cell r="X2999">
            <v>10</v>
          </cell>
          <cell r="Y2999">
            <v>100</v>
          </cell>
        </row>
        <row r="3000">
          <cell r="U3000" t="str">
            <v>L107112</v>
          </cell>
          <cell r="V3000" t="str">
            <v>DIV FRUVER 10kg</v>
          </cell>
          <cell r="W3000" t="str">
            <v>Ajuste</v>
          </cell>
          <cell r="X3000">
            <v>8</v>
          </cell>
          <cell r="Y3000">
            <v>80</v>
          </cell>
        </row>
        <row r="3001">
          <cell r="U3001" t="str">
            <v>L107114</v>
          </cell>
          <cell r="V3001" t="str">
            <v>DIV FRUVER 10kg</v>
          </cell>
          <cell r="W3001" t="str">
            <v>Ajuste</v>
          </cell>
          <cell r="X3001">
            <v>12</v>
          </cell>
          <cell r="Y3001">
            <v>120</v>
          </cell>
        </row>
        <row r="3002">
          <cell r="U3002" t="str">
            <v>L107116</v>
          </cell>
          <cell r="V3002" t="str">
            <v>DIV FRUVER 10kg</v>
          </cell>
          <cell r="W3002" t="str">
            <v>Ajuste</v>
          </cell>
          <cell r="X3002">
            <v>6</v>
          </cell>
          <cell r="Y3002">
            <v>60</v>
          </cell>
        </row>
        <row r="3003">
          <cell r="U3003" t="str">
            <v>L107152</v>
          </cell>
          <cell r="V3003" t="str">
            <v>DIV FRUVER 10kg</v>
          </cell>
          <cell r="W3003" t="str">
            <v>Ajuste</v>
          </cell>
          <cell r="X3003">
            <v>14</v>
          </cell>
          <cell r="Y3003">
            <v>140</v>
          </cell>
        </row>
        <row r="3004">
          <cell r="U3004" t="str">
            <v>L107154</v>
          </cell>
          <cell r="V3004" t="str">
            <v>DIV FRUVER 10kg</v>
          </cell>
          <cell r="W3004" t="str">
            <v>Ajuste</v>
          </cell>
          <cell r="X3004">
            <v>4</v>
          </cell>
          <cell r="Y3004">
            <v>40</v>
          </cell>
        </row>
        <row r="3005">
          <cell r="U3005" t="str">
            <v>L107196</v>
          </cell>
          <cell r="V3005" t="str">
            <v>DIV FRUVER 10kg</v>
          </cell>
          <cell r="W3005" t="str">
            <v>Ajuste</v>
          </cell>
          <cell r="X3005">
            <v>22</v>
          </cell>
          <cell r="Y3005">
            <v>220</v>
          </cell>
        </row>
        <row r="3006">
          <cell r="U3006" t="str">
            <v>L107198</v>
          </cell>
          <cell r="V3006" t="str">
            <v>DIV FRUVER 10kg</v>
          </cell>
          <cell r="W3006" t="str">
            <v>Ajuste</v>
          </cell>
          <cell r="X3006">
            <v>20</v>
          </cell>
          <cell r="Y3006">
            <v>200</v>
          </cell>
        </row>
        <row r="3007">
          <cell r="U3007" t="str">
            <v>L107200</v>
          </cell>
          <cell r="V3007" t="str">
            <v>DIV FRUVER 10kg</v>
          </cell>
          <cell r="W3007" t="str">
            <v>Ajuste</v>
          </cell>
          <cell r="X3007">
            <v>4</v>
          </cell>
          <cell r="Y3007">
            <v>40</v>
          </cell>
        </row>
        <row r="3008">
          <cell r="U3008" t="str">
            <v>L107202</v>
          </cell>
          <cell r="V3008" t="str">
            <v>DIV FRUVER 10kg</v>
          </cell>
          <cell r="W3008" t="str">
            <v>Ajuste</v>
          </cell>
          <cell r="X3008">
            <v>12</v>
          </cell>
          <cell r="Y3008">
            <v>120</v>
          </cell>
        </row>
        <row r="3009">
          <cell r="U3009" t="str">
            <v>L107212</v>
          </cell>
          <cell r="V3009" t="str">
            <v>DIV FRUVER 10kg</v>
          </cell>
          <cell r="W3009" t="str">
            <v>Ajuste</v>
          </cell>
          <cell r="X3009">
            <v>2</v>
          </cell>
          <cell r="Y3009">
            <v>20</v>
          </cell>
        </row>
        <row r="3010">
          <cell r="U3010" t="str">
            <v>L107339</v>
          </cell>
          <cell r="V3010" t="str">
            <v>DIV FRUVER 10kg</v>
          </cell>
          <cell r="W3010" t="str">
            <v>Ajuste</v>
          </cell>
          <cell r="X3010">
            <v>4</v>
          </cell>
          <cell r="Y3010">
            <v>40</v>
          </cell>
        </row>
        <row r="3011">
          <cell r="U3011" t="str">
            <v>L107341</v>
          </cell>
          <cell r="V3011" t="str">
            <v>DIV FRUVER 10kg</v>
          </cell>
          <cell r="W3011" t="str">
            <v>Ajuste</v>
          </cell>
          <cell r="X3011">
            <v>4</v>
          </cell>
          <cell r="Y3011">
            <v>40</v>
          </cell>
        </row>
        <row r="3012">
          <cell r="U3012" t="str">
            <v>L107343</v>
          </cell>
          <cell r="V3012" t="str">
            <v>DIV FRUVER 10kg</v>
          </cell>
          <cell r="W3012" t="str">
            <v>Ajuste</v>
          </cell>
          <cell r="X3012">
            <v>4</v>
          </cell>
          <cell r="Y3012">
            <v>40</v>
          </cell>
        </row>
        <row r="3013">
          <cell r="U3013" t="str">
            <v>L106548</v>
          </cell>
          <cell r="V3013" t="str">
            <v>DIV FRUVER 10kg</v>
          </cell>
          <cell r="W3013" t="str">
            <v>Ajuste</v>
          </cell>
          <cell r="X3013">
            <v>1</v>
          </cell>
          <cell r="Y3013">
            <v>10</v>
          </cell>
        </row>
        <row r="3014">
          <cell r="U3014" t="str">
            <v>L106880</v>
          </cell>
          <cell r="V3014" t="str">
            <v>FRUVER 5kg</v>
          </cell>
          <cell r="W3014" t="str">
            <v>Ajuste</v>
          </cell>
          <cell r="X3014">
            <v>146</v>
          </cell>
          <cell r="Y3014">
            <v>730</v>
          </cell>
        </row>
        <row r="3015">
          <cell r="U3015" t="str">
            <v>L106880</v>
          </cell>
          <cell r="V3015" t="str">
            <v>DIV FRUVER 5kg</v>
          </cell>
          <cell r="W3015" t="str">
            <v>Ajuste</v>
          </cell>
          <cell r="X3015">
            <v>321</v>
          </cell>
          <cell r="Y3015">
            <v>1605</v>
          </cell>
        </row>
        <row r="3016">
          <cell r="U3016" t="str">
            <v>L106880</v>
          </cell>
          <cell r="V3016" t="str">
            <v>DIV FRUVER 5kg</v>
          </cell>
          <cell r="W3016" t="str">
            <v>Dañado</v>
          </cell>
          <cell r="X3016">
            <v>1</v>
          </cell>
          <cell r="Y3016">
            <v>5</v>
          </cell>
        </row>
        <row r="3017">
          <cell r="U3017" t="str">
            <v>L106109</v>
          </cell>
          <cell r="V3017" t="str">
            <v>DIV FRUVER 5kg</v>
          </cell>
          <cell r="W3017" t="str">
            <v>Ajuste</v>
          </cell>
          <cell r="X3017">
            <v>2</v>
          </cell>
          <cell r="Y3017">
            <v>10</v>
          </cell>
        </row>
        <row r="3018">
          <cell r="U3018" t="str">
            <v>L106523</v>
          </cell>
          <cell r="V3018" t="str">
            <v>DIV FRUVER 5kg</v>
          </cell>
          <cell r="W3018" t="str">
            <v>Ajuste</v>
          </cell>
          <cell r="X3018">
            <v>4</v>
          </cell>
          <cell r="Y3018">
            <v>20</v>
          </cell>
        </row>
        <row r="3019">
          <cell r="U3019" t="str">
            <v>L106713</v>
          </cell>
          <cell r="V3019" t="str">
            <v>DIV FRUVER 5kg</v>
          </cell>
          <cell r="W3019" t="str">
            <v>Ajuste</v>
          </cell>
          <cell r="X3019">
            <v>34</v>
          </cell>
          <cell r="Y3019">
            <v>170</v>
          </cell>
        </row>
        <row r="3020">
          <cell r="U3020" t="str">
            <v>L107029</v>
          </cell>
          <cell r="V3020" t="str">
            <v>DIV FRUVER 5kg</v>
          </cell>
          <cell r="W3020" t="str">
            <v>Ajuste</v>
          </cell>
          <cell r="X3020">
            <v>10</v>
          </cell>
          <cell r="Y3020">
            <v>50</v>
          </cell>
        </row>
        <row r="3021">
          <cell r="U3021" t="str">
            <v>L107141</v>
          </cell>
          <cell r="V3021" t="str">
            <v>DIV FRUVER 5kg</v>
          </cell>
          <cell r="W3021" t="str">
            <v>Ajuste</v>
          </cell>
          <cell r="X3021">
            <v>164</v>
          </cell>
          <cell r="Y3021">
            <v>820</v>
          </cell>
        </row>
        <row r="3022">
          <cell r="U3022" t="str">
            <v>L107213</v>
          </cell>
          <cell r="V3022" t="str">
            <v>DIV FRUVER 5kg</v>
          </cell>
          <cell r="W3022" t="str">
            <v>Ajuste</v>
          </cell>
          <cell r="X3022">
            <v>2</v>
          </cell>
          <cell r="Y3022">
            <v>10</v>
          </cell>
        </row>
        <row r="3023">
          <cell r="U3023" t="str">
            <v>L107219</v>
          </cell>
          <cell r="V3023" t="str">
            <v>DIV FRUVER 5kg</v>
          </cell>
          <cell r="W3023" t="str">
            <v>Ajuste</v>
          </cell>
          <cell r="X3023">
            <v>320</v>
          </cell>
          <cell r="Y3023">
            <v>1600</v>
          </cell>
        </row>
        <row r="3024">
          <cell r="U3024" t="str">
            <v>L107344</v>
          </cell>
          <cell r="V3024" t="str">
            <v>DIV FRUVER 5kg</v>
          </cell>
          <cell r="W3024" t="str">
            <v>Ajuste</v>
          </cell>
          <cell r="X3024">
            <v>2</v>
          </cell>
          <cell r="Y3024">
            <v>10</v>
          </cell>
        </row>
        <row r="3025">
          <cell r="U3025" t="str">
            <v>L106997</v>
          </cell>
          <cell r="V3025" t="str">
            <v>DIV GAREO - UNIDAD</v>
          </cell>
          <cell r="W3025" t="str">
            <v>Ajuste</v>
          </cell>
          <cell r="X3025">
            <v>26</v>
          </cell>
          <cell r="Y3025">
            <v>468</v>
          </cell>
        </row>
        <row r="3026">
          <cell r="U3026" t="str">
            <v>L106996</v>
          </cell>
          <cell r="V3026" t="str">
            <v>DIV GD2G - UNIDAD</v>
          </cell>
          <cell r="W3026" t="str">
            <v>Ajuste</v>
          </cell>
          <cell r="X3026">
            <v>2</v>
          </cell>
          <cell r="Y3026">
            <v>45</v>
          </cell>
        </row>
        <row r="3027">
          <cell r="U3027" t="str">
            <v>L106995</v>
          </cell>
          <cell r="V3027" t="str">
            <v>DIV GD4G - UNIDAD</v>
          </cell>
          <cell r="W3027" t="str">
            <v>Ajuste</v>
          </cell>
          <cell r="X3027">
            <v>2</v>
          </cell>
          <cell r="Y3027">
            <v>70</v>
          </cell>
        </row>
        <row r="3028">
          <cell r="U3028" t="str">
            <v>L106699</v>
          </cell>
          <cell r="V3028" t="str">
            <v>DIV GLDV 5kg</v>
          </cell>
          <cell r="W3028" t="str">
            <v>Ajuste</v>
          </cell>
          <cell r="X3028">
            <v>4</v>
          </cell>
          <cell r="Y3028">
            <v>20</v>
          </cell>
        </row>
        <row r="3029">
          <cell r="U3029" t="str">
            <v>L107209</v>
          </cell>
          <cell r="V3029" t="str">
            <v>DIV GLT 2kg</v>
          </cell>
          <cell r="W3029" t="str">
            <v>Ajuste</v>
          </cell>
          <cell r="X3029">
            <v>2</v>
          </cell>
          <cell r="Y3029">
            <v>4</v>
          </cell>
        </row>
        <row r="3030">
          <cell r="U3030" t="str">
            <v>L106335</v>
          </cell>
          <cell r="V3030" t="str">
            <v>DIV GLV 4kg</v>
          </cell>
          <cell r="W3030" t="str">
            <v>Ajuste</v>
          </cell>
          <cell r="X3030">
            <v>10</v>
          </cell>
          <cell r="Y3030">
            <v>40</v>
          </cell>
        </row>
        <row r="3031">
          <cell r="U3031" t="str">
            <v>L106681</v>
          </cell>
          <cell r="V3031" t="str">
            <v>DIV GRV 5kg</v>
          </cell>
          <cell r="W3031" t="str">
            <v>Ajuste</v>
          </cell>
          <cell r="X3031">
            <v>7</v>
          </cell>
          <cell r="Y3031">
            <v>35</v>
          </cell>
        </row>
        <row r="3032">
          <cell r="U3032" t="str">
            <v>L106404</v>
          </cell>
          <cell r="V3032" t="str">
            <v>GTA 2kg-CAJA</v>
          </cell>
          <cell r="W3032" t="str">
            <v>Ajuste</v>
          </cell>
          <cell r="X3032">
            <v>2380</v>
          </cell>
          <cell r="Y3032">
            <v>4760</v>
          </cell>
        </row>
        <row r="3033">
          <cell r="U3033" t="str">
            <v>L106404</v>
          </cell>
          <cell r="V3033" t="str">
            <v>DIV GTA 2kg</v>
          </cell>
          <cell r="W3033" t="str">
            <v>Ajuste</v>
          </cell>
          <cell r="X3033">
            <v>300</v>
          </cell>
          <cell r="Y3033">
            <v>600</v>
          </cell>
        </row>
        <row r="3034">
          <cell r="U3034" t="str">
            <v>L106039</v>
          </cell>
          <cell r="V3034" t="str">
            <v>DIV HDG 30UNI</v>
          </cell>
          <cell r="W3034" t="str">
            <v>Ajuste</v>
          </cell>
          <cell r="X3034">
            <v>58</v>
          </cell>
          <cell r="Y3034">
            <v>116</v>
          </cell>
        </row>
        <row r="3035">
          <cell r="U3035" t="str">
            <v>L106061</v>
          </cell>
          <cell r="V3035" t="str">
            <v>DIV HDG 30UNI</v>
          </cell>
          <cell r="W3035" t="str">
            <v>Ajuste</v>
          </cell>
          <cell r="X3035">
            <v>12</v>
          </cell>
          <cell r="Y3035">
            <v>24</v>
          </cell>
        </row>
        <row r="3036">
          <cell r="U3036" t="str">
            <v>L106531</v>
          </cell>
          <cell r="V3036" t="str">
            <v>DIV HDG 30UNI</v>
          </cell>
          <cell r="W3036" t="str">
            <v>Ajuste</v>
          </cell>
          <cell r="X3036">
            <v>36</v>
          </cell>
          <cell r="Y3036">
            <v>72</v>
          </cell>
        </row>
        <row r="3037">
          <cell r="U3037" t="str">
            <v>L106660</v>
          </cell>
          <cell r="V3037" t="str">
            <v>DIV HDG 30UNI</v>
          </cell>
          <cell r="W3037" t="str">
            <v>Ajuste</v>
          </cell>
          <cell r="X3037">
            <v>10</v>
          </cell>
          <cell r="Y3037">
            <v>20</v>
          </cell>
        </row>
        <row r="3038">
          <cell r="U3038" t="str">
            <v>L106771</v>
          </cell>
          <cell r="V3038" t="str">
            <v>DIV HDG 30UNI</v>
          </cell>
          <cell r="W3038" t="str">
            <v>Ajuste</v>
          </cell>
          <cell r="X3038">
            <v>16</v>
          </cell>
          <cell r="Y3038">
            <v>32</v>
          </cell>
        </row>
        <row r="3039">
          <cell r="U3039" t="str">
            <v>L106920</v>
          </cell>
          <cell r="V3039" t="str">
            <v>DIV HDG 30UNI</v>
          </cell>
          <cell r="W3039" t="str">
            <v>Ajuste</v>
          </cell>
          <cell r="X3039">
            <v>54</v>
          </cell>
          <cell r="Y3039">
            <v>108</v>
          </cell>
        </row>
        <row r="3040">
          <cell r="U3040" t="str">
            <v>L106982</v>
          </cell>
          <cell r="V3040" t="str">
            <v>DIV HDG 30UNI</v>
          </cell>
          <cell r="W3040" t="str">
            <v>Ajuste</v>
          </cell>
          <cell r="X3040">
            <v>12</v>
          </cell>
          <cell r="Y3040">
            <v>24</v>
          </cell>
        </row>
        <row r="3041">
          <cell r="U3041" t="str">
            <v>L107323</v>
          </cell>
          <cell r="V3041" t="str">
            <v>DIV HDG 30UNI</v>
          </cell>
          <cell r="W3041" t="str">
            <v>Ajuste</v>
          </cell>
          <cell r="X3041">
            <v>4</v>
          </cell>
          <cell r="Y3041">
            <v>8</v>
          </cell>
        </row>
        <row r="3042">
          <cell r="U3042" t="str">
            <v>L106697</v>
          </cell>
          <cell r="V3042" t="str">
            <v>DIV HNG 3kg</v>
          </cell>
          <cell r="W3042" t="str">
            <v>Ajuste</v>
          </cell>
          <cell r="X3042">
            <v>10</v>
          </cell>
          <cell r="Y3042">
            <v>30</v>
          </cell>
        </row>
        <row r="3043">
          <cell r="U3043" t="str">
            <v>L106040</v>
          </cell>
          <cell r="V3043" t="str">
            <v>DIV HVG 25kg</v>
          </cell>
          <cell r="W3043" t="str">
            <v>Ajuste</v>
          </cell>
          <cell r="X3043">
            <v>26</v>
          </cell>
          <cell r="Y3043">
            <v>650</v>
          </cell>
        </row>
        <row r="3044">
          <cell r="U3044" t="str">
            <v>L106381</v>
          </cell>
          <cell r="V3044" t="str">
            <v>DIV HVG 25kg</v>
          </cell>
          <cell r="W3044" t="str">
            <v>Ajuste</v>
          </cell>
          <cell r="X3044">
            <v>12</v>
          </cell>
          <cell r="Y3044">
            <v>300</v>
          </cell>
        </row>
        <row r="3045">
          <cell r="U3045" t="str">
            <v>L107105</v>
          </cell>
          <cell r="V3045" t="str">
            <v>DIV HVG 25kg</v>
          </cell>
          <cell r="W3045" t="str">
            <v>Ajuste</v>
          </cell>
          <cell r="X3045">
            <v>8</v>
          </cell>
          <cell r="Y3045">
            <v>200</v>
          </cell>
        </row>
        <row r="3046">
          <cell r="U3046" t="str">
            <v>L106321</v>
          </cell>
          <cell r="V3046" t="str">
            <v>KTP 2kg</v>
          </cell>
          <cell r="W3046" t="str">
            <v>Ajuste</v>
          </cell>
          <cell r="X3046">
            <v>1925</v>
          </cell>
          <cell r="Y3046">
            <v>3850</v>
          </cell>
        </row>
        <row r="3047">
          <cell r="U3047" t="str">
            <v>L106321</v>
          </cell>
          <cell r="V3047" t="str">
            <v>DIV KTP 2kg</v>
          </cell>
          <cell r="W3047" t="str">
            <v>Ajuste</v>
          </cell>
          <cell r="X3047">
            <v>357</v>
          </cell>
          <cell r="Y3047">
            <v>714</v>
          </cell>
        </row>
        <row r="3048">
          <cell r="U3048" t="str">
            <v>L107210</v>
          </cell>
          <cell r="V3048" t="str">
            <v>DIV KTP 2kg</v>
          </cell>
          <cell r="W3048" t="str">
            <v>Ajuste</v>
          </cell>
          <cell r="X3048">
            <v>2</v>
          </cell>
          <cell r="Y3048">
            <v>4</v>
          </cell>
        </row>
        <row r="3049">
          <cell r="U3049" t="str">
            <v>L106878</v>
          </cell>
          <cell r="V3049" t="str">
            <v>DIV LCH 96X167g</v>
          </cell>
          <cell r="W3049" t="str">
            <v>Ajuste</v>
          </cell>
          <cell r="X3049">
            <v>776</v>
          </cell>
          <cell r="Y3049">
            <v>14744</v>
          </cell>
        </row>
        <row r="3050">
          <cell r="U3050" t="str">
            <v>L106922</v>
          </cell>
          <cell r="V3050" t="str">
            <v>DIV LSN 7kg-CAJA</v>
          </cell>
          <cell r="W3050" t="str">
            <v>Ajuste</v>
          </cell>
          <cell r="X3050">
            <v>175</v>
          </cell>
          <cell r="Y3050">
            <v>1225</v>
          </cell>
        </row>
        <row r="3051">
          <cell r="U3051" t="str">
            <v>L106491</v>
          </cell>
          <cell r="V3051" t="str">
            <v>DIV MCN 2.5kg-CAJA</v>
          </cell>
          <cell r="W3051" t="str">
            <v>Ajuste</v>
          </cell>
          <cell r="X3051">
            <v>66</v>
          </cell>
          <cell r="Y3051">
            <v>165</v>
          </cell>
        </row>
        <row r="3052">
          <cell r="U3052" t="str">
            <v>L106491</v>
          </cell>
          <cell r="V3052" t="str">
            <v>MCN 2.5kg-CAJA</v>
          </cell>
          <cell r="W3052" t="str">
            <v>Ajuste</v>
          </cell>
          <cell r="X3052">
            <v>749</v>
          </cell>
          <cell r="Y3052">
            <v>1872.5</v>
          </cell>
        </row>
        <row r="3053">
          <cell r="U3053" t="str">
            <v>L106877</v>
          </cell>
          <cell r="V3053" t="str">
            <v>DIV MDP 5kg</v>
          </cell>
          <cell r="W3053" t="str">
            <v>Ajuste</v>
          </cell>
          <cell r="X3053">
            <v>6</v>
          </cell>
          <cell r="Y3053">
            <v>30</v>
          </cell>
        </row>
        <row r="3054">
          <cell r="U3054" t="str">
            <v>L106080</v>
          </cell>
          <cell r="V3054" t="str">
            <v>DIV MDP 5kg</v>
          </cell>
          <cell r="W3054" t="str">
            <v>Ajuste</v>
          </cell>
          <cell r="X3054">
            <v>5</v>
          </cell>
          <cell r="Y3054">
            <v>25</v>
          </cell>
        </row>
        <row r="3055">
          <cell r="U3055" t="str">
            <v>L107233</v>
          </cell>
          <cell r="V3055" t="str">
            <v>DIV Menestra kg</v>
          </cell>
          <cell r="W3055" t="str">
            <v>Ajuste</v>
          </cell>
          <cell r="X3055">
            <v>340</v>
          </cell>
          <cell r="Y3055">
            <v>340</v>
          </cell>
        </row>
        <row r="3056">
          <cell r="U3056" t="str">
            <v>L106092</v>
          </cell>
          <cell r="V3056" t="str">
            <v>DIV MERMA DE FRUVER 1kg</v>
          </cell>
          <cell r="W3056" t="str">
            <v>Ajuste</v>
          </cell>
          <cell r="X3056">
            <v>42</v>
          </cell>
          <cell r="Y3056">
            <v>42</v>
          </cell>
        </row>
        <row r="3057">
          <cell r="U3057" t="str">
            <v>L106110</v>
          </cell>
          <cell r="V3057" t="str">
            <v>DIV MERMA DE FRUVER 1kg</v>
          </cell>
          <cell r="W3057" t="str">
            <v>Ajuste</v>
          </cell>
          <cell r="X3057">
            <v>36</v>
          </cell>
          <cell r="Y3057">
            <v>36</v>
          </cell>
        </row>
        <row r="3058">
          <cell r="U3058" t="str">
            <v>L106112</v>
          </cell>
          <cell r="V3058" t="str">
            <v>DIV MERMA DE FRUVER 1kg</v>
          </cell>
          <cell r="W3058" t="str">
            <v>Ajuste</v>
          </cell>
          <cell r="X3058">
            <v>46</v>
          </cell>
          <cell r="Y3058">
            <v>46</v>
          </cell>
        </row>
        <row r="3059">
          <cell r="U3059" t="str">
            <v>L106114</v>
          </cell>
          <cell r="V3059" t="str">
            <v>DIV MERMA DE FRUVER 1kg</v>
          </cell>
          <cell r="W3059" t="str">
            <v>Ajuste</v>
          </cell>
          <cell r="X3059">
            <v>60</v>
          </cell>
          <cell r="Y3059">
            <v>60</v>
          </cell>
        </row>
        <row r="3060">
          <cell r="U3060" t="str">
            <v>L106116</v>
          </cell>
          <cell r="V3060" t="str">
            <v>DIV MERMA DE FRUVER 1kg</v>
          </cell>
          <cell r="W3060" t="str">
            <v>Ajuste</v>
          </cell>
          <cell r="X3060">
            <v>132</v>
          </cell>
          <cell r="Y3060">
            <v>132</v>
          </cell>
        </row>
        <row r="3061">
          <cell r="U3061" t="str">
            <v>L106160</v>
          </cell>
          <cell r="V3061" t="str">
            <v>DIV MERMA DE FRUVER 1kg</v>
          </cell>
          <cell r="W3061" t="str">
            <v>Ajuste</v>
          </cell>
          <cell r="X3061">
            <v>50</v>
          </cell>
          <cell r="Y3061">
            <v>50</v>
          </cell>
        </row>
        <row r="3062">
          <cell r="U3062" t="str">
            <v>L106221</v>
          </cell>
          <cell r="V3062" t="str">
            <v>DIV MERMA DE FRUVER 1kg</v>
          </cell>
          <cell r="W3062" t="str">
            <v>Ajuste</v>
          </cell>
          <cell r="X3062">
            <v>24</v>
          </cell>
          <cell r="Y3062">
            <v>24</v>
          </cell>
        </row>
        <row r="3063">
          <cell r="U3063" t="str">
            <v>L106223</v>
          </cell>
          <cell r="V3063" t="str">
            <v>DIV MERMA DE FRUVER 1kg</v>
          </cell>
          <cell r="W3063" t="str">
            <v>Ajuste</v>
          </cell>
          <cell r="X3063">
            <v>20</v>
          </cell>
          <cell r="Y3063">
            <v>20</v>
          </cell>
        </row>
        <row r="3064">
          <cell r="U3064" t="str">
            <v>L106225</v>
          </cell>
          <cell r="V3064" t="str">
            <v>DIV MERMA DE FRUVER 1kg</v>
          </cell>
          <cell r="W3064" t="str">
            <v>Ajuste</v>
          </cell>
          <cell r="X3064">
            <v>140</v>
          </cell>
          <cell r="Y3064">
            <v>140</v>
          </cell>
        </row>
        <row r="3065">
          <cell r="U3065" t="str">
            <v>L106227</v>
          </cell>
          <cell r="V3065" t="str">
            <v>DIV MERMA DE FRUVER 1kg</v>
          </cell>
          <cell r="W3065" t="str">
            <v>Ajuste</v>
          </cell>
          <cell r="X3065">
            <v>20</v>
          </cell>
          <cell r="Y3065">
            <v>20</v>
          </cell>
        </row>
        <row r="3066">
          <cell r="U3066" t="str">
            <v>L106283</v>
          </cell>
          <cell r="V3066" t="str">
            <v>DIV MERMA DE FRUVER 1kg</v>
          </cell>
          <cell r="W3066" t="str">
            <v>Ajuste</v>
          </cell>
          <cell r="X3066">
            <v>12</v>
          </cell>
          <cell r="Y3066">
            <v>12</v>
          </cell>
        </row>
        <row r="3067">
          <cell r="U3067" t="str">
            <v>L106288</v>
          </cell>
          <cell r="V3067" t="str">
            <v>DIV MERMA DE FRUVER 1kg</v>
          </cell>
          <cell r="W3067" t="str">
            <v>Ajuste</v>
          </cell>
          <cell r="X3067">
            <v>28</v>
          </cell>
          <cell r="Y3067">
            <v>28</v>
          </cell>
        </row>
        <row r="3068">
          <cell r="U3068" t="str">
            <v>L106290</v>
          </cell>
          <cell r="V3068" t="str">
            <v>DIV MERMA DE FRUVER 1kg</v>
          </cell>
          <cell r="W3068" t="str">
            <v>Ajuste</v>
          </cell>
          <cell r="X3068">
            <v>24</v>
          </cell>
          <cell r="Y3068">
            <v>24</v>
          </cell>
        </row>
        <row r="3069">
          <cell r="U3069" t="str">
            <v>L106292</v>
          </cell>
          <cell r="V3069" t="str">
            <v>DIV MERMA DE FRUVER 1kg</v>
          </cell>
          <cell r="W3069" t="str">
            <v>Ajuste</v>
          </cell>
          <cell r="X3069">
            <v>60</v>
          </cell>
          <cell r="Y3069">
            <v>60</v>
          </cell>
        </row>
        <row r="3070">
          <cell r="U3070" t="str">
            <v>L106294</v>
          </cell>
          <cell r="V3070" t="str">
            <v>DIV MERMA DE FRUVER 1kg</v>
          </cell>
          <cell r="W3070" t="str">
            <v>Ajuste</v>
          </cell>
          <cell r="X3070">
            <v>16</v>
          </cell>
          <cell r="Y3070">
            <v>16</v>
          </cell>
        </row>
        <row r="3071">
          <cell r="U3071" t="str">
            <v>L106334</v>
          </cell>
          <cell r="V3071" t="str">
            <v>DIV MERMA DE FRUVER 1kg</v>
          </cell>
          <cell r="W3071" t="str">
            <v>Ajuste</v>
          </cell>
          <cell r="X3071">
            <v>14</v>
          </cell>
          <cell r="Y3071">
            <v>14</v>
          </cell>
        </row>
        <row r="3072">
          <cell r="U3072" t="str">
            <v>L106406</v>
          </cell>
          <cell r="V3072" t="str">
            <v>DIV MERMA DE FRUVER 1kg</v>
          </cell>
          <cell r="W3072" t="str">
            <v>Ajuste</v>
          </cell>
          <cell r="X3072">
            <v>28</v>
          </cell>
          <cell r="Y3072">
            <v>28</v>
          </cell>
        </row>
        <row r="3073">
          <cell r="U3073" t="str">
            <v>L106408</v>
          </cell>
          <cell r="V3073" t="str">
            <v>DIV MERMA DE FRUVER 1kg</v>
          </cell>
          <cell r="W3073" t="str">
            <v>Ajuste</v>
          </cell>
          <cell r="X3073">
            <v>13</v>
          </cell>
          <cell r="Y3073">
            <v>13</v>
          </cell>
        </row>
        <row r="3074">
          <cell r="U3074" t="str">
            <v>L106410</v>
          </cell>
          <cell r="V3074" t="str">
            <v>DIV MERMA DE FRUVER 1kg</v>
          </cell>
          <cell r="W3074" t="str">
            <v>Ajuste</v>
          </cell>
          <cell r="X3074">
            <v>8</v>
          </cell>
          <cell r="Y3074">
            <v>8</v>
          </cell>
        </row>
        <row r="3075">
          <cell r="U3075" t="str">
            <v>L106442</v>
          </cell>
          <cell r="V3075" t="str">
            <v>DIV MERMA DE FRUVER 1kg</v>
          </cell>
          <cell r="W3075" t="str">
            <v>Ajuste</v>
          </cell>
          <cell r="X3075">
            <v>56</v>
          </cell>
          <cell r="Y3075">
            <v>56</v>
          </cell>
        </row>
        <row r="3076">
          <cell r="U3076" t="str">
            <v>L106447</v>
          </cell>
          <cell r="V3076" t="str">
            <v>DIV MERMA DE FRUVER 1kg</v>
          </cell>
          <cell r="W3076" t="str">
            <v>Ajuste</v>
          </cell>
          <cell r="X3076">
            <v>26</v>
          </cell>
          <cell r="Y3076">
            <v>26</v>
          </cell>
        </row>
        <row r="3077">
          <cell r="U3077" t="str">
            <v>L106493</v>
          </cell>
          <cell r="V3077" t="str">
            <v>DIV MERMA DE FRUVER 1kg</v>
          </cell>
          <cell r="W3077" t="str">
            <v>Ajuste</v>
          </cell>
          <cell r="X3077">
            <v>36</v>
          </cell>
          <cell r="Y3077">
            <v>36</v>
          </cell>
        </row>
        <row r="3078">
          <cell r="U3078" t="str">
            <v>L106521</v>
          </cell>
          <cell r="V3078" t="str">
            <v>DIV MERMA DE FRUVER 1kg</v>
          </cell>
          <cell r="W3078" t="str">
            <v>Ajuste</v>
          </cell>
          <cell r="X3078">
            <v>24</v>
          </cell>
          <cell r="Y3078">
            <v>24</v>
          </cell>
        </row>
        <row r="3079">
          <cell r="U3079" t="str">
            <v>L106524</v>
          </cell>
          <cell r="V3079" t="str">
            <v>DIV MERMA DE FRUVER 1kg</v>
          </cell>
          <cell r="W3079" t="str">
            <v>Ajuste</v>
          </cell>
          <cell r="X3079">
            <v>4</v>
          </cell>
          <cell r="Y3079">
            <v>4</v>
          </cell>
        </row>
        <row r="3080">
          <cell r="U3080" t="str">
            <v>L106527</v>
          </cell>
          <cell r="V3080" t="str">
            <v>DIV MERMA DE FRUVER 1kg</v>
          </cell>
          <cell r="W3080" t="str">
            <v>Ajuste</v>
          </cell>
          <cell r="X3080">
            <v>80</v>
          </cell>
          <cell r="Y3080">
            <v>80</v>
          </cell>
        </row>
        <row r="3081">
          <cell r="U3081" t="str">
            <v>L106529</v>
          </cell>
          <cell r="V3081" t="str">
            <v>DIV MERMA DE FRUVER 1kg</v>
          </cell>
          <cell r="W3081" t="str">
            <v>Ajuste</v>
          </cell>
          <cell r="X3081">
            <v>186</v>
          </cell>
          <cell r="Y3081">
            <v>186</v>
          </cell>
        </row>
        <row r="3082">
          <cell r="U3082" t="str">
            <v>L106658</v>
          </cell>
          <cell r="V3082" t="str">
            <v>DIV MERMA DE FRUVER 1kg</v>
          </cell>
          <cell r="W3082" t="str">
            <v>Ajuste</v>
          </cell>
          <cell r="X3082">
            <v>60</v>
          </cell>
          <cell r="Y3082">
            <v>60</v>
          </cell>
        </row>
        <row r="3083">
          <cell r="U3083" t="str">
            <v>L106701</v>
          </cell>
          <cell r="V3083" t="str">
            <v>DIV MERMA DE FRUVER 1kg</v>
          </cell>
          <cell r="W3083" t="str">
            <v>Ajuste</v>
          </cell>
          <cell r="X3083">
            <v>16</v>
          </cell>
          <cell r="Y3083">
            <v>16</v>
          </cell>
        </row>
        <row r="3084">
          <cell r="U3084" t="str">
            <v>L106705</v>
          </cell>
          <cell r="V3084" t="str">
            <v>DIV MERMA DE FRUVER 1kg</v>
          </cell>
          <cell r="W3084" t="str">
            <v>Ajuste</v>
          </cell>
          <cell r="X3084">
            <v>20</v>
          </cell>
          <cell r="Y3084">
            <v>20</v>
          </cell>
        </row>
        <row r="3085">
          <cell r="U3085" t="str">
            <v>L106707</v>
          </cell>
          <cell r="V3085" t="str">
            <v>DIV MERMA DE FRUVER 1kg</v>
          </cell>
          <cell r="W3085" t="str">
            <v>Ajuste</v>
          </cell>
          <cell r="X3085">
            <v>14</v>
          </cell>
          <cell r="Y3085">
            <v>14</v>
          </cell>
        </row>
        <row r="3086">
          <cell r="U3086" t="str">
            <v>L106709</v>
          </cell>
          <cell r="V3086" t="str">
            <v>DIV MERMA DE FRUVER 1kg</v>
          </cell>
          <cell r="W3086" t="str">
            <v>Ajuste</v>
          </cell>
          <cell r="X3086">
            <v>32</v>
          </cell>
          <cell r="Y3086">
            <v>32</v>
          </cell>
        </row>
        <row r="3087">
          <cell r="U3087" t="str">
            <v>L106759</v>
          </cell>
          <cell r="V3087" t="str">
            <v>DIV MERMA DE FRUVER 1kg</v>
          </cell>
          <cell r="W3087" t="str">
            <v>Ajuste</v>
          </cell>
          <cell r="X3087">
            <v>12</v>
          </cell>
          <cell r="Y3087">
            <v>12</v>
          </cell>
        </row>
        <row r="3088">
          <cell r="U3088" t="str">
            <v>L106765</v>
          </cell>
          <cell r="V3088" t="str">
            <v>DIV MERMA DE FRUVER 1kg</v>
          </cell>
          <cell r="W3088" t="str">
            <v>Ajuste</v>
          </cell>
          <cell r="X3088">
            <v>12</v>
          </cell>
          <cell r="Y3088">
            <v>12</v>
          </cell>
        </row>
        <row r="3089">
          <cell r="U3089" t="str">
            <v>L106767</v>
          </cell>
          <cell r="V3089" t="str">
            <v>DIV MERMA DE FRUVER 1kg</v>
          </cell>
          <cell r="W3089" t="str">
            <v>Ajuste</v>
          </cell>
          <cell r="X3089">
            <v>8</v>
          </cell>
          <cell r="Y3089">
            <v>8</v>
          </cell>
        </row>
        <row r="3090">
          <cell r="U3090" t="str">
            <v>L106868</v>
          </cell>
          <cell r="V3090" t="str">
            <v>DIV MERMA DE FRUVER 1kg</v>
          </cell>
          <cell r="W3090" t="str">
            <v>Ajuste</v>
          </cell>
          <cell r="X3090">
            <v>12</v>
          </cell>
          <cell r="Y3090">
            <v>12</v>
          </cell>
        </row>
        <row r="3091">
          <cell r="U3091" t="str">
            <v>L106904</v>
          </cell>
          <cell r="V3091" t="str">
            <v>DIV MERMA DE FRUVER 1kg</v>
          </cell>
          <cell r="W3091" t="str">
            <v>Ajuste</v>
          </cell>
          <cell r="X3091">
            <v>36</v>
          </cell>
          <cell r="Y3091">
            <v>36</v>
          </cell>
        </row>
        <row r="3092">
          <cell r="U3092" t="str">
            <v>L106908</v>
          </cell>
          <cell r="V3092" t="str">
            <v>DIV MERMA DE FRUVER 1kg</v>
          </cell>
          <cell r="W3092" t="str">
            <v>Ajuste</v>
          </cell>
          <cell r="X3092">
            <v>30</v>
          </cell>
          <cell r="Y3092">
            <v>30</v>
          </cell>
        </row>
        <row r="3093">
          <cell r="U3093" t="str">
            <v>L106911</v>
          </cell>
          <cell r="V3093" t="str">
            <v>DIV MERMA DE FRUVER 1kg</v>
          </cell>
          <cell r="W3093" t="str">
            <v>Ajuste</v>
          </cell>
          <cell r="X3093">
            <v>160</v>
          </cell>
          <cell r="Y3093">
            <v>160</v>
          </cell>
        </row>
        <row r="3094">
          <cell r="U3094" t="str">
            <v>L106913</v>
          </cell>
          <cell r="V3094" t="str">
            <v>DIV MERMA DE FRUVER 1kg</v>
          </cell>
          <cell r="W3094" t="str">
            <v>Ajuste</v>
          </cell>
          <cell r="X3094">
            <v>50</v>
          </cell>
          <cell r="Y3094">
            <v>50</v>
          </cell>
        </row>
        <row r="3095">
          <cell r="U3095" t="str">
            <v>L107032</v>
          </cell>
          <cell r="V3095" t="str">
            <v>DIV MERMA DE FRUVER 1kg</v>
          </cell>
          <cell r="W3095" t="str">
            <v>Ajuste</v>
          </cell>
          <cell r="X3095">
            <v>12</v>
          </cell>
          <cell r="Y3095">
            <v>12</v>
          </cell>
        </row>
        <row r="3096">
          <cell r="U3096" t="str">
            <v>L107040</v>
          </cell>
          <cell r="V3096" t="str">
            <v>DIV MERMA DE FRUVER 1kg</v>
          </cell>
          <cell r="W3096" t="str">
            <v>Ajuste</v>
          </cell>
          <cell r="X3096">
            <v>36</v>
          </cell>
          <cell r="Y3096">
            <v>36</v>
          </cell>
        </row>
        <row r="3097">
          <cell r="U3097" t="str">
            <v>L107109</v>
          </cell>
          <cell r="V3097" t="str">
            <v>DIV MERMA DE FRUVER 1kg</v>
          </cell>
          <cell r="W3097" t="str">
            <v>Ajuste</v>
          </cell>
          <cell r="X3097">
            <v>40</v>
          </cell>
          <cell r="Y3097">
            <v>40</v>
          </cell>
        </row>
        <row r="3098">
          <cell r="U3098" t="str">
            <v>L107111</v>
          </cell>
          <cell r="V3098" t="str">
            <v>DIV MERMA DE FRUVER 1kg</v>
          </cell>
          <cell r="W3098" t="str">
            <v>Ajuste</v>
          </cell>
          <cell r="X3098">
            <v>20</v>
          </cell>
          <cell r="Y3098">
            <v>20</v>
          </cell>
        </row>
        <row r="3099">
          <cell r="U3099" t="str">
            <v>L107113</v>
          </cell>
          <cell r="V3099" t="str">
            <v>DIV MERMA DE FRUVER 1kg</v>
          </cell>
          <cell r="W3099" t="str">
            <v>Ajuste</v>
          </cell>
          <cell r="X3099">
            <v>30</v>
          </cell>
          <cell r="Y3099">
            <v>30</v>
          </cell>
        </row>
        <row r="3100">
          <cell r="U3100" t="str">
            <v>L107115</v>
          </cell>
          <cell r="V3100" t="str">
            <v>DIV MERMA DE FRUVER 1kg</v>
          </cell>
          <cell r="W3100" t="str">
            <v>Ajuste</v>
          </cell>
          <cell r="X3100">
            <v>24</v>
          </cell>
          <cell r="Y3100">
            <v>24</v>
          </cell>
        </row>
        <row r="3101">
          <cell r="U3101" t="str">
            <v>L107117</v>
          </cell>
          <cell r="V3101" t="str">
            <v>DIV MERMA DE FRUVER 1kg</v>
          </cell>
          <cell r="W3101" t="str">
            <v>Ajuste</v>
          </cell>
          <cell r="X3101">
            <v>16</v>
          </cell>
          <cell r="Y3101">
            <v>16</v>
          </cell>
        </row>
        <row r="3102">
          <cell r="U3102" t="str">
            <v>L107153</v>
          </cell>
          <cell r="V3102" t="str">
            <v>DIV MERMA DE FRUVER 1kg</v>
          </cell>
          <cell r="W3102" t="str">
            <v>Ajuste</v>
          </cell>
          <cell r="X3102">
            <v>16</v>
          </cell>
          <cell r="Y3102">
            <v>16</v>
          </cell>
        </row>
        <row r="3103">
          <cell r="U3103" t="str">
            <v>L107155</v>
          </cell>
          <cell r="V3103" t="str">
            <v>DIV MERMA DE FRUVER 1kg</v>
          </cell>
          <cell r="W3103" t="str">
            <v>Ajuste</v>
          </cell>
          <cell r="X3103">
            <v>12</v>
          </cell>
          <cell r="Y3103">
            <v>12</v>
          </cell>
        </row>
        <row r="3104">
          <cell r="U3104" t="str">
            <v>L107197</v>
          </cell>
          <cell r="V3104" t="str">
            <v>DIV MERMA DE FRUVER 1kg</v>
          </cell>
          <cell r="W3104" t="str">
            <v>Ajuste</v>
          </cell>
          <cell r="X3104">
            <v>56</v>
          </cell>
          <cell r="Y3104">
            <v>56</v>
          </cell>
        </row>
        <row r="3105">
          <cell r="U3105" t="str">
            <v>L107199</v>
          </cell>
          <cell r="V3105" t="str">
            <v>DIV MERMA DE FRUVER 1kg</v>
          </cell>
          <cell r="W3105" t="str">
            <v>Ajuste</v>
          </cell>
          <cell r="X3105">
            <v>10</v>
          </cell>
          <cell r="Y3105">
            <v>10</v>
          </cell>
        </row>
        <row r="3106">
          <cell r="U3106" t="str">
            <v>L107201</v>
          </cell>
          <cell r="V3106" t="str">
            <v>DIV MERMA DE FRUVER 1kg</v>
          </cell>
          <cell r="W3106" t="str">
            <v>Ajuste</v>
          </cell>
          <cell r="X3106">
            <v>10</v>
          </cell>
          <cell r="Y3106">
            <v>10</v>
          </cell>
        </row>
        <row r="3107">
          <cell r="U3107" t="str">
            <v>L107203</v>
          </cell>
          <cell r="V3107" t="str">
            <v>DIV MERMA DE FRUVER 1kg</v>
          </cell>
          <cell r="W3107" t="str">
            <v>Ajuste</v>
          </cell>
          <cell r="X3107">
            <v>40</v>
          </cell>
          <cell r="Y3107">
            <v>40</v>
          </cell>
        </row>
        <row r="3108">
          <cell r="U3108" t="str">
            <v>L107214</v>
          </cell>
          <cell r="V3108" t="str">
            <v>DIV MERMA DE FRUVER 1kg</v>
          </cell>
          <cell r="W3108" t="str">
            <v>Ajuste</v>
          </cell>
          <cell r="X3108">
            <v>136</v>
          </cell>
          <cell r="Y3108">
            <v>136</v>
          </cell>
        </row>
        <row r="3109">
          <cell r="U3109" t="str">
            <v>L107340</v>
          </cell>
          <cell r="V3109" t="str">
            <v>DIV MERMA DE FRUVER 1kg</v>
          </cell>
          <cell r="W3109" t="str">
            <v>Ajuste</v>
          </cell>
          <cell r="X3109">
            <v>16</v>
          </cell>
          <cell r="Y3109">
            <v>16</v>
          </cell>
        </row>
        <row r="3110">
          <cell r="U3110" t="str">
            <v>L107342</v>
          </cell>
          <cell r="V3110" t="str">
            <v>DIV MERMA DE FRUVER 1kg</v>
          </cell>
          <cell r="W3110" t="str">
            <v>Ajuste</v>
          </cell>
          <cell r="X3110">
            <v>16</v>
          </cell>
          <cell r="Y3110">
            <v>16</v>
          </cell>
        </row>
        <row r="3111">
          <cell r="U3111" t="str">
            <v>L106108</v>
          </cell>
          <cell r="V3111" t="str">
            <v>DIV MLNVAR 45-50kg</v>
          </cell>
          <cell r="W3111" t="str">
            <v>Ajuste</v>
          </cell>
          <cell r="X3111">
            <v>140</v>
          </cell>
          <cell r="Y3111">
            <v>6720</v>
          </cell>
        </row>
        <row r="3112">
          <cell r="U3112" t="str">
            <v>L106108</v>
          </cell>
          <cell r="V3112" t="str">
            <v>DIV MLNVAR 45-50kg</v>
          </cell>
          <cell r="W3112" t="str">
            <v>Reproceso</v>
          </cell>
          <cell r="X3112">
            <v>5</v>
          </cell>
          <cell r="Y3112">
            <v>240</v>
          </cell>
        </row>
        <row r="3113">
          <cell r="U3113" t="str">
            <v>L106108</v>
          </cell>
          <cell r="V3113" t="str">
            <v>MLNVAR 10kg</v>
          </cell>
          <cell r="W3113" t="str">
            <v>Ajuste</v>
          </cell>
          <cell r="X3113">
            <v>48</v>
          </cell>
          <cell r="Y3113">
            <v>480</v>
          </cell>
        </row>
        <row r="3114">
          <cell r="U3114" t="str">
            <v>L106282</v>
          </cell>
          <cell r="V3114" t="str">
            <v>DIV MLNVAR 45-50kg</v>
          </cell>
          <cell r="W3114" t="str">
            <v>Ajuste</v>
          </cell>
          <cell r="X3114">
            <v>76</v>
          </cell>
          <cell r="Y3114">
            <v>3648</v>
          </cell>
        </row>
        <row r="3115">
          <cell r="U3115" t="str">
            <v>L106282</v>
          </cell>
          <cell r="V3115" t="str">
            <v>DIV MLNVAR 45-50kg</v>
          </cell>
          <cell r="W3115" t="str">
            <v>Dañado</v>
          </cell>
          <cell r="X3115">
            <v>2</v>
          </cell>
          <cell r="Y3115">
            <v>96</v>
          </cell>
        </row>
        <row r="3116">
          <cell r="U3116" t="str">
            <v>L106159</v>
          </cell>
          <cell r="V3116" t="str">
            <v>DIV MLNVAR 45-50kg</v>
          </cell>
          <cell r="W3116" t="str">
            <v>Ajuste</v>
          </cell>
          <cell r="X3116">
            <v>52</v>
          </cell>
          <cell r="Y3116">
            <v>2496</v>
          </cell>
        </row>
        <row r="3117">
          <cell r="U3117" t="str">
            <v>L107118</v>
          </cell>
          <cell r="V3117" t="str">
            <v>DIV MNS 10kg</v>
          </cell>
          <cell r="W3117" t="str">
            <v>Ajuste</v>
          </cell>
          <cell r="X3117">
            <v>259</v>
          </cell>
          <cell r="Y3117">
            <v>2590</v>
          </cell>
        </row>
        <row r="3118">
          <cell r="U3118" t="str">
            <v>L107118</v>
          </cell>
          <cell r="V3118" t="str">
            <v>DIV MNS 10kg</v>
          </cell>
          <cell r="W3118" t="str">
            <v>Dañado</v>
          </cell>
          <cell r="X3118">
            <v>33</v>
          </cell>
          <cell r="Y3118">
            <v>330</v>
          </cell>
        </row>
        <row r="3119">
          <cell r="U3119" t="str">
            <v>L106684</v>
          </cell>
          <cell r="V3119" t="str">
            <v>DIV MYN 2kg</v>
          </cell>
          <cell r="W3119" t="str">
            <v>Ajuste</v>
          </cell>
          <cell r="X3119">
            <v>8</v>
          </cell>
          <cell r="Y3119">
            <v>16</v>
          </cell>
        </row>
        <row r="3120">
          <cell r="U3120" t="str">
            <v>L107044</v>
          </cell>
          <cell r="V3120" t="str">
            <v>DIV MYN 3kg</v>
          </cell>
          <cell r="W3120" t="str">
            <v>Ajuste</v>
          </cell>
          <cell r="X3120">
            <v>1</v>
          </cell>
          <cell r="Y3120">
            <v>3</v>
          </cell>
        </row>
        <row r="3121">
          <cell r="U3121" t="str">
            <v>L106710</v>
          </cell>
          <cell r="V3121" t="str">
            <v>DIV MZT 4kg</v>
          </cell>
          <cell r="W3121" t="str">
            <v>Ajuste</v>
          </cell>
          <cell r="X3121">
            <v>6</v>
          </cell>
          <cell r="Y3121">
            <v>24</v>
          </cell>
        </row>
        <row r="3122">
          <cell r="U3122" t="str">
            <v>L107276</v>
          </cell>
          <cell r="V3122" t="str">
            <v>DIV MZT 4kg</v>
          </cell>
          <cell r="W3122" t="str">
            <v>Ajuste</v>
          </cell>
          <cell r="X3122">
            <v>8</v>
          </cell>
          <cell r="Y3122">
            <v>32</v>
          </cell>
        </row>
        <row r="3123">
          <cell r="U3123" t="str">
            <v>L106932</v>
          </cell>
          <cell r="V3123" t="str">
            <v>DIV PAPR 3kg</v>
          </cell>
          <cell r="W3123" t="str">
            <v>Ajuste</v>
          </cell>
          <cell r="X3123">
            <v>35</v>
          </cell>
          <cell r="Y3123">
            <v>105</v>
          </cell>
        </row>
        <row r="3124">
          <cell r="U3124" t="str">
            <v>L106090</v>
          </cell>
          <cell r="V3124" t="str">
            <v>DIV PASTV 2kg</v>
          </cell>
          <cell r="W3124" t="str">
            <v>Ajuste</v>
          </cell>
          <cell r="X3124">
            <v>12</v>
          </cell>
          <cell r="Y3124">
            <v>24</v>
          </cell>
        </row>
        <row r="3125">
          <cell r="U3125" t="str">
            <v>L106333</v>
          </cell>
          <cell r="V3125" t="str">
            <v>DIV PASTV 2kg</v>
          </cell>
          <cell r="W3125" t="str">
            <v>Ajuste</v>
          </cell>
          <cell r="X3125">
            <v>22</v>
          </cell>
          <cell r="Y3125">
            <v>44</v>
          </cell>
        </row>
        <row r="3126">
          <cell r="U3126" t="str">
            <v>L106446</v>
          </cell>
          <cell r="V3126" t="str">
            <v>DIV PASTV 2kg</v>
          </cell>
          <cell r="W3126" t="str">
            <v>Ajuste</v>
          </cell>
          <cell r="X3126">
            <v>12</v>
          </cell>
          <cell r="Y3126">
            <v>24</v>
          </cell>
        </row>
        <row r="3127">
          <cell r="U3127" t="str">
            <v>L106516</v>
          </cell>
          <cell r="V3127" t="str">
            <v>DIV PASTV 2kg</v>
          </cell>
          <cell r="W3127" t="str">
            <v>Ajuste</v>
          </cell>
          <cell r="X3127">
            <v>24</v>
          </cell>
          <cell r="Y3127">
            <v>48</v>
          </cell>
        </row>
        <row r="3128">
          <cell r="U3128" t="str">
            <v>L106656</v>
          </cell>
          <cell r="V3128" t="str">
            <v>DIV PASTV 2kg</v>
          </cell>
          <cell r="W3128" t="str">
            <v>Ajuste</v>
          </cell>
          <cell r="X3128">
            <v>16</v>
          </cell>
          <cell r="Y3128">
            <v>32</v>
          </cell>
        </row>
        <row r="3129">
          <cell r="U3129" t="str">
            <v>L106866</v>
          </cell>
          <cell r="V3129" t="str">
            <v>DIV PASTV 2kg</v>
          </cell>
          <cell r="W3129" t="str">
            <v>Ajuste</v>
          </cell>
          <cell r="X3129">
            <v>40</v>
          </cell>
          <cell r="Y3129">
            <v>80</v>
          </cell>
        </row>
        <row r="3130">
          <cell r="U3130" t="str">
            <v>L107030</v>
          </cell>
          <cell r="V3130" t="str">
            <v>DIV PASTV 2kg</v>
          </cell>
          <cell r="W3130" t="str">
            <v>Ajuste</v>
          </cell>
          <cell r="X3130">
            <v>14</v>
          </cell>
          <cell r="Y3130">
            <v>28</v>
          </cell>
        </row>
        <row r="3131">
          <cell r="U3131" t="str">
            <v>L106331</v>
          </cell>
          <cell r="V3131" t="str">
            <v>DIV PASTV 3kg</v>
          </cell>
          <cell r="W3131" t="str">
            <v>Ajuste</v>
          </cell>
          <cell r="X3131">
            <v>2</v>
          </cell>
          <cell r="Y3131">
            <v>6</v>
          </cell>
        </row>
        <row r="3132">
          <cell r="U3132" t="str">
            <v>L106515</v>
          </cell>
          <cell r="V3132" t="str">
            <v>DIV PASTV 3kg</v>
          </cell>
          <cell r="W3132" t="str">
            <v>Ajuste</v>
          </cell>
          <cell r="X3132">
            <v>2</v>
          </cell>
          <cell r="Y3132">
            <v>6</v>
          </cell>
        </row>
        <row r="3133">
          <cell r="U3133" t="str">
            <v>L107372</v>
          </cell>
          <cell r="V3133" t="str">
            <v>DIV PCDP 7kg</v>
          </cell>
          <cell r="W3133" t="str">
            <v>Ajuste</v>
          </cell>
          <cell r="X3133">
            <v>1</v>
          </cell>
          <cell r="Y3133">
            <v>7</v>
          </cell>
        </row>
        <row r="3134">
          <cell r="U3134" t="str">
            <v>L106680</v>
          </cell>
          <cell r="V3134" t="str">
            <v>DIV PCK 3kg</v>
          </cell>
          <cell r="W3134" t="str">
            <v>Ajuste</v>
          </cell>
          <cell r="X3134">
            <v>8</v>
          </cell>
          <cell r="Y3134">
            <v>24</v>
          </cell>
        </row>
        <row r="3135">
          <cell r="U3135" t="str">
            <v>L107127</v>
          </cell>
          <cell r="V3135" t="str">
            <v>DIV PEC 11kg a 13kg</v>
          </cell>
          <cell r="W3135" t="str">
            <v>Ajuste</v>
          </cell>
          <cell r="X3135">
            <v>2</v>
          </cell>
          <cell r="Y3135">
            <v>24</v>
          </cell>
        </row>
        <row r="3136">
          <cell r="U3136" t="str">
            <v>L106874</v>
          </cell>
          <cell r="V3136" t="str">
            <v>DIV PEC 8KG</v>
          </cell>
          <cell r="W3136" t="str">
            <v>Ajuste</v>
          </cell>
          <cell r="X3136">
            <v>32</v>
          </cell>
          <cell r="Y3136">
            <v>256</v>
          </cell>
        </row>
        <row r="3137">
          <cell r="U3137" t="str">
            <v>L106921</v>
          </cell>
          <cell r="V3137" t="str">
            <v>DIV PEC 8KG</v>
          </cell>
          <cell r="W3137" t="str">
            <v>Ajuste</v>
          </cell>
          <cell r="X3137">
            <v>20</v>
          </cell>
          <cell r="Y3137">
            <v>160</v>
          </cell>
        </row>
        <row r="3138">
          <cell r="U3138" t="str">
            <v>L107253</v>
          </cell>
          <cell r="V3138" t="str">
            <v>DIV PEC 8KG</v>
          </cell>
          <cell r="W3138" t="str">
            <v>Ajuste</v>
          </cell>
          <cell r="X3138">
            <v>24</v>
          </cell>
          <cell r="Y3138">
            <v>192</v>
          </cell>
        </row>
        <row r="3139">
          <cell r="U3139" t="str">
            <v>L107368</v>
          </cell>
          <cell r="V3139" t="str">
            <v>DIV PEC 8KG</v>
          </cell>
          <cell r="W3139" t="str">
            <v>Ajuste</v>
          </cell>
          <cell r="X3139">
            <v>27</v>
          </cell>
          <cell r="Y3139">
            <v>216</v>
          </cell>
        </row>
        <row r="3140">
          <cell r="U3140" t="str">
            <v>L106987</v>
          </cell>
          <cell r="V3140" t="str">
            <v>DIV PEC 8KG</v>
          </cell>
          <cell r="W3140" t="str">
            <v>Ajuste</v>
          </cell>
          <cell r="X3140">
            <v>4</v>
          </cell>
          <cell r="Y3140">
            <v>32</v>
          </cell>
        </row>
        <row r="3141">
          <cell r="U3141" t="str">
            <v>L106507</v>
          </cell>
          <cell r="V3141" t="str">
            <v>DIV PENT 6KG</v>
          </cell>
          <cell r="W3141" t="str">
            <v>Ajuste</v>
          </cell>
          <cell r="X3141">
            <v>232</v>
          </cell>
          <cell r="Y3141">
            <v>1392</v>
          </cell>
        </row>
        <row r="3142">
          <cell r="U3142" t="str">
            <v>L107322</v>
          </cell>
          <cell r="V3142" t="str">
            <v>DIV PENT 6KG</v>
          </cell>
          <cell r="W3142" t="str">
            <v>Ajuste</v>
          </cell>
          <cell r="X3142">
            <v>1</v>
          </cell>
          <cell r="Y3142">
            <v>6</v>
          </cell>
        </row>
        <row r="3143">
          <cell r="U3143" t="str">
            <v>L106380</v>
          </cell>
          <cell r="V3143" t="str">
            <v>DIV PLLMC 8kg</v>
          </cell>
          <cell r="W3143" t="str">
            <v>Ajuste</v>
          </cell>
          <cell r="X3143">
            <v>66</v>
          </cell>
          <cell r="Y3143">
            <v>528</v>
          </cell>
        </row>
        <row r="3144">
          <cell r="U3144" t="str">
            <v>L106397</v>
          </cell>
          <cell r="V3144" t="str">
            <v>DIV PLLONVD 2kg</v>
          </cell>
          <cell r="W3144" t="str">
            <v>Ajuste</v>
          </cell>
          <cell r="X3144">
            <v>42</v>
          </cell>
          <cell r="Y3144">
            <v>84</v>
          </cell>
        </row>
        <row r="3145">
          <cell r="U3145" t="str">
            <v>L106200</v>
          </cell>
          <cell r="V3145" t="str">
            <v>DIV PLLPM 5kg</v>
          </cell>
          <cell r="W3145" t="str">
            <v>Ajuste</v>
          </cell>
          <cell r="X3145">
            <v>14</v>
          </cell>
          <cell r="Y3145">
            <v>70</v>
          </cell>
        </row>
        <row r="3146">
          <cell r="U3146" t="str">
            <v>L106875</v>
          </cell>
          <cell r="V3146" t="str">
            <v>DIV PLLPM 5kg</v>
          </cell>
          <cell r="W3146" t="str">
            <v>Ajuste</v>
          </cell>
          <cell r="X3146">
            <v>4</v>
          </cell>
          <cell r="Y3146">
            <v>20</v>
          </cell>
        </row>
        <row r="3147">
          <cell r="U3147" t="str">
            <v>L106060</v>
          </cell>
          <cell r="V3147" t="str">
            <v>DIV PP 5kg</v>
          </cell>
          <cell r="W3147" t="str">
            <v>Ajuste</v>
          </cell>
          <cell r="X3147">
            <v>4</v>
          </cell>
          <cell r="Y3147">
            <v>20</v>
          </cell>
        </row>
        <row r="3148">
          <cell r="U3148" t="str">
            <v>L106299</v>
          </cell>
          <cell r="V3148" t="str">
            <v>DIV PP 5kg</v>
          </cell>
          <cell r="W3148" t="str">
            <v>Ajuste</v>
          </cell>
          <cell r="X3148">
            <v>50</v>
          </cell>
          <cell r="Y3148">
            <v>250</v>
          </cell>
        </row>
        <row r="3149">
          <cell r="U3149" t="str">
            <v>L106382</v>
          </cell>
          <cell r="V3149" t="str">
            <v>DIV PP 5kg</v>
          </cell>
          <cell r="W3149" t="str">
            <v>Ajuste</v>
          </cell>
          <cell r="X3149">
            <v>56</v>
          </cell>
          <cell r="Y3149">
            <v>280</v>
          </cell>
        </row>
        <row r="3150">
          <cell r="U3150" t="str">
            <v>L106398</v>
          </cell>
          <cell r="V3150" t="str">
            <v>DIV PP 5kg</v>
          </cell>
          <cell r="W3150" t="str">
            <v>Ajuste</v>
          </cell>
          <cell r="X3150">
            <v>4</v>
          </cell>
          <cell r="Y3150">
            <v>20</v>
          </cell>
        </row>
        <row r="3151">
          <cell r="U3151" t="str">
            <v>L106659</v>
          </cell>
          <cell r="V3151" t="str">
            <v>DIV PP 5kg</v>
          </cell>
          <cell r="W3151" t="str">
            <v>Ajuste</v>
          </cell>
          <cell r="X3151">
            <v>4</v>
          </cell>
          <cell r="Y3151">
            <v>20</v>
          </cell>
        </row>
        <row r="3152">
          <cell r="U3152" t="str">
            <v>L107125</v>
          </cell>
          <cell r="V3152" t="str">
            <v>DIV PP 5kg</v>
          </cell>
          <cell r="W3152" t="str">
            <v>Ajuste</v>
          </cell>
          <cell r="X3152">
            <v>52</v>
          </cell>
          <cell r="Y3152">
            <v>260</v>
          </cell>
        </row>
        <row r="3153">
          <cell r="U3153" t="str">
            <v>L107252</v>
          </cell>
          <cell r="V3153" t="str">
            <v>DIV PP 5kg</v>
          </cell>
          <cell r="W3153" t="str">
            <v>Ajuste</v>
          </cell>
          <cell r="X3153">
            <v>102</v>
          </cell>
          <cell r="Y3153">
            <v>510</v>
          </cell>
        </row>
        <row r="3154">
          <cell r="U3154" t="str">
            <v>L106081</v>
          </cell>
          <cell r="V3154" t="str">
            <v>DIV PP 5kg</v>
          </cell>
          <cell r="W3154" t="str">
            <v>Ajuste</v>
          </cell>
          <cell r="X3154">
            <v>4</v>
          </cell>
          <cell r="Y3154">
            <v>20</v>
          </cell>
        </row>
        <row r="3155">
          <cell r="U3155" t="str">
            <v>L106089</v>
          </cell>
          <cell r="V3155" t="str">
            <v>DIV PPF 2kg</v>
          </cell>
          <cell r="W3155" t="str">
            <v>Ajuste</v>
          </cell>
          <cell r="X3155">
            <v>2</v>
          </cell>
          <cell r="Y3155">
            <v>4</v>
          </cell>
        </row>
        <row r="3156">
          <cell r="U3156" t="str">
            <v>L106286</v>
          </cell>
          <cell r="V3156" t="str">
            <v>DIV PPF 3kg</v>
          </cell>
          <cell r="W3156" t="str">
            <v>Ajuste</v>
          </cell>
          <cell r="X3156">
            <v>60</v>
          </cell>
          <cell r="Y3156">
            <v>180</v>
          </cell>
        </row>
        <row r="3157">
          <cell r="U3157" t="str">
            <v>L106918</v>
          </cell>
          <cell r="V3157" t="str">
            <v>DIV PPF 3kg</v>
          </cell>
          <cell r="W3157" t="str">
            <v>Ajuste</v>
          </cell>
          <cell r="X3157">
            <v>240</v>
          </cell>
          <cell r="Y3157">
            <v>720</v>
          </cell>
        </row>
        <row r="3158">
          <cell r="U3158" t="str">
            <v>L106330</v>
          </cell>
          <cell r="V3158" t="str">
            <v>DIV PRTZ UND</v>
          </cell>
          <cell r="W3158" t="str">
            <v>Ajuste</v>
          </cell>
          <cell r="X3158">
            <v>20</v>
          </cell>
          <cell r="Y3158">
            <v>20</v>
          </cell>
        </row>
        <row r="3159">
          <cell r="U3159" t="str">
            <v>L106445</v>
          </cell>
          <cell r="V3159" t="str">
            <v>DIV PRTZ UND</v>
          </cell>
          <cell r="W3159" t="str">
            <v>Ajuste</v>
          </cell>
          <cell r="X3159">
            <v>22</v>
          </cell>
          <cell r="Y3159">
            <v>22</v>
          </cell>
        </row>
        <row r="3160">
          <cell r="U3160" t="str">
            <v>L106657</v>
          </cell>
          <cell r="V3160" t="str">
            <v>DIV PRTZ UND</v>
          </cell>
          <cell r="W3160" t="str">
            <v>Ajuste</v>
          </cell>
          <cell r="X3160">
            <v>18</v>
          </cell>
          <cell r="Y3160">
            <v>18</v>
          </cell>
        </row>
        <row r="3161">
          <cell r="U3161" t="str">
            <v>L106378</v>
          </cell>
          <cell r="V3161" t="str">
            <v>DIV PTM 5kg</v>
          </cell>
          <cell r="W3161" t="str">
            <v>Ajuste</v>
          </cell>
          <cell r="X3161">
            <v>519</v>
          </cell>
          <cell r="Y3161">
            <v>2595</v>
          </cell>
        </row>
        <row r="3162">
          <cell r="U3162" t="str">
            <v>L106377</v>
          </cell>
          <cell r="V3162" t="str">
            <v>DIV PTM 5kg</v>
          </cell>
          <cell r="W3162" t="str">
            <v>Ajuste</v>
          </cell>
          <cell r="X3162">
            <v>399</v>
          </cell>
          <cell r="Y3162">
            <v>1995</v>
          </cell>
        </row>
        <row r="3163">
          <cell r="U3163" t="str">
            <v>L106474</v>
          </cell>
          <cell r="V3163" t="str">
            <v>PTV 16 a 22kg</v>
          </cell>
          <cell r="W3163" t="str">
            <v>Ajuste</v>
          </cell>
          <cell r="X3163">
            <v>281</v>
          </cell>
          <cell r="Y3163">
            <v>5339</v>
          </cell>
        </row>
        <row r="3164">
          <cell r="U3164" t="str">
            <v>L106474</v>
          </cell>
          <cell r="V3164" t="str">
            <v>DIV PTV 16 a 22kg</v>
          </cell>
          <cell r="W3164" t="str">
            <v>Ajuste</v>
          </cell>
          <cell r="X3164">
            <v>37</v>
          </cell>
          <cell r="Y3164">
            <v>703</v>
          </cell>
        </row>
        <row r="3165">
          <cell r="U3165" t="str">
            <v>L106082</v>
          </cell>
          <cell r="V3165" t="str">
            <v>DIV QSO 5kg</v>
          </cell>
          <cell r="W3165" t="str">
            <v>Ajuste</v>
          </cell>
          <cell r="X3165">
            <v>16</v>
          </cell>
          <cell r="Y3165">
            <v>80</v>
          </cell>
        </row>
        <row r="3166">
          <cell r="U3166" t="str">
            <v>L106297</v>
          </cell>
          <cell r="V3166" t="str">
            <v>DIV QSO 5kg</v>
          </cell>
          <cell r="W3166" t="str">
            <v>Ajuste</v>
          </cell>
          <cell r="X3166">
            <v>12</v>
          </cell>
          <cell r="Y3166">
            <v>60</v>
          </cell>
        </row>
        <row r="3167">
          <cell r="U3167" t="str">
            <v>L106401</v>
          </cell>
          <cell r="V3167" t="str">
            <v>DIV QSO 5kg</v>
          </cell>
          <cell r="W3167" t="str">
            <v>Ajuste</v>
          </cell>
          <cell r="X3167">
            <v>12</v>
          </cell>
          <cell r="Y3167">
            <v>60</v>
          </cell>
        </row>
        <row r="3168">
          <cell r="U3168" t="str">
            <v>L106517</v>
          </cell>
          <cell r="V3168" t="str">
            <v>DIV QSO 5kg</v>
          </cell>
          <cell r="W3168" t="str">
            <v>Ajuste</v>
          </cell>
          <cell r="X3168">
            <v>14</v>
          </cell>
          <cell r="Y3168">
            <v>70</v>
          </cell>
        </row>
        <row r="3169">
          <cell r="U3169" t="str">
            <v>L106703</v>
          </cell>
          <cell r="V3169" t="str">
            <v>DIV QSO 5kg</v>
          </cell>
          <cell r="W3169" t="str">
            <v>Ajuste</v>
          </cell>
          <cell r="X3169">
            <v>20</v>
          </cell>
          <cell r="Y3169">
            <v>100</v>
          </cell>
        </row>
        <row r="3170">
          <cell r="U3170" t="str">
            <v>L106869</v>
          </cell>
          <cell r="V3170" t="str">
            <v>DIV QSO 5kg</v>
          </cell>
          <cell r="W3170" t="str">
            <v>Ajuste</v>
          </cell>
          <cell r="X3170">
            <v>14</v>
          </cell>
          <cell r="Y3170">
            <v>70</v>
          </cell>
        </row>
        <row r="3171">
          <cell r="U3171" t="str">
            <v>L107041</v>
          </cell>
          <cell r="V3171" t="str">
            <v>DIV QSO 5kg</v>
          </cell>
          <cell r="W3171" t="str">
            <v>Ajuste</v>
          </cell>
          <cell r="X3171">
            <v>14</v>
          </cell>
          <cell r="Y3171">
            <v>70</v>
          </cell>
        </row>
        <row r="3172">
          <cell r="U3172" t="str">
            <v>L107295</v>
          </cell>
          <cell r="V3172" t="str">
            <v>DIV QSO 5kg</v>
          </cell>
          <cell r="W3172" t="str">
            <v>Ajuste</v>
          </cell>
          <cell r="X3172">
            <v>8</v>
          </cell>
          <cell r="Y3172">
            <v>40</v>
          </cell>
        </row>
        <row r="3173">
          <cell r="U3173" t="str">
            <v>L107345</v>
          </cell>
          <cell r="V3173" t="str">
            <v>DIV QSO 5kg</v>
          </cell>
          <cell r="W3173" t="str">
            <v>Ajuste</v>
          </cell>
          <cell r="X3173">
            <v>11</v>
          </cell>
          <cell r="Y3173">
            <v>55</v>
          </cell>
        </row>
        <row r="3174">
          <cell r="U3174" t="str">
            <v>L106702</v>
          </cell>
          <cell r="V3174" t="str">
            <v>DIV QSV 1kg</v>
          </cell>
          <cell r="W3174" t="str">
            <v>Ajuste</v>
          </cell>
          <cell r="X3174">
            <v>1</v>
          </cell>
          <cell r="Y3174">
            <v>1</v>
          </cell>
        </row>
        <row r="3175">
          <cell r="U3175" t="str">
            <v>L107042</v>
          </cell>
          <cell r="V3175" t="str">
            <v>DIV QSV 2kg</v>
          </cell>
          <cell r="W3175" t="str">
            <v>Ajuste</v>
          </cell>
          <cell r="X3175">
            <v>5</v>
          </cell>
          <cell r="Y3175">
            <v>10</v>
          </cell>
        </row>
        <row r="3176">
          <cell r="U3176" t="str">
            <v>L106298</v>
          </cell>
          <cell r="V3176" t="str">
            <v>DIV QSV 3kg</v>
          </cell>
          <cell r="W3176" t="str">
            <v>Ajuste</v>
          </cell>
          <cell r="X3176">
            <v>6</v>
          </cell>
          <cell r="Y3176">
            <v>18</v>
          </cell>
        </row>
        <row r="3177">
          <cell r="U3177" t="str">
            <v>L106419</v>
          </cell>
          <cell r="V3177" t="str">
            <v>DIV RTZPCDO 5kg</v>
          </cell>
          <cell r="W3177" t="str">
            <v>Ajuste</v>
          </cell>
          <cell r="X3177">
            <v>157</v>
          </cell>
          <cell r="Y3177">
            <v>785</v>
          </cell>
        </row>
        <row r="3178">
          <cell r="U3178" t="str">
            <v>L106914</v>
          </cell>
          <cell r="V3178" t="str">
            <v>DIV RTZPCDO 5kg</v>
          </cell>
          <cell r="W3178" t="str">
            <v>Ajuste</v>
          </cell>
          <cell r="X3178">
            <v>113</v>
          </cell>
          <cell r="Y3178">
            <v>565</v>
          </cell>
        </row>
        <row r="3179">
          <cell r="U3179" t="str">
            <v>L106059</v>
          </cell>
          <cell r="V3179" t="str">
            <v>DIV SAL 14kg</v>
          </cell>
          <cell r="W3179" t="str">
            <v>Ajuste</v>
          </cell>
          <cell r="X3179">
            <v>8</v>
          </cell>
          <cell r="Y3179">
            <v>112</v>
          </cell>
        </row>
        <row r="3180">
          <cell r="U3180" t="str">
            <v>L106865</v>
          </cell>
          <cell r="V3180" t="str">
            <v>SAL 1kg-PAQUETE</v>
          </cell>
          <cell r="W3180" t="str">
            <v>Ajuste</v>
          </cell>
          <cell r="X3180">
            <v>43</v>
          </cell>
          <cell r="Y3180">
            <v>43</v>
          </cell>
        </row>
        <row r="3181">
          <cell r="U3181" t="str">
            <v>L106865</v>
          </cell>
          <cell r="V3181" t="str">
            <v>DIV SAL 3kg</v>
          </cell>
          <cell r="W3181" t="str">
            <v>Ajuste</v>
          </cell>
          <cell r="X3181">
            <v>30</v>
          </cell>
          <cell r="Y3181">
            <v>90</v>
          </cell>
        </row>
        <row r="3182">
          <cell r="U3182" t="str">
            <v>L106865</v>
          </cell>
          <cell r="V3182" t="str">
            <v>DIV SAL 3kg</v>
          </cell>
          <cell r="W3182" t="str">
            <v>Reproceso</v>
          </cell>
          <cell r="X3182">
            <v>15</v>
          </cell>
          <cell r="Y3182">
            <v>45</v>
          </cell>
        </row>
        <row r="3183">
          <cell r="U3183" t="str">
            <v>L106698</v>
          </cell>
          <cell r="V3183" t="str">
            <v>DIV SBC 2kg</v>
          </cell>
          <cell r="W3183" t="str">
            <v>Ajuste</v>
          </cell>
          <cell r="X3183">
            <v>1</v>
          </cell>
          <cell r="Y3183">
            <v>2</v>
          </cell>
        </row>
        <row r="3184">
          <cell r="U3184" t="str">
            <v>L106448</v>
          </cell>
          <cell r="V3184" t="str">
            <v>SBC 3kg</v>
          </cell>
          <cell r="W3184" t="str">
            <v>Ajuste</v>
          </cell>
          <cell r="X3184">
            <v>4217</v>
          </cell>
          <cell r="Y3184">
            <v>12651</v>
          </cell>
        </row>
        <row r="3185">
          <cell r="U3185" t="str">
            <v>L106448</v>
          </cell>
          <cell r="V3185" t="str">
            <v>DIV SBC 3kg</v>
          </cell>
          <cell r="W3185" t="str">
            <v>Ajuste</v>
          </cell>
          <cell r="X3185">
            <v>158</v>
          </cell>
          <cell r="Y3185">
            <v>474</v>
          </cell>
        </row>
        <row r="3186">
          <cell r="U3186" t="str">
            <v>L106687</v>
          </cell>
          <cell r="V3186" t="str">
            <v>DIV SCN 2kg</v>
          </cell>
          <cell r="W3186" t="str">
            <v>Ajuste</v>
          </cell>
          <cell r="X3186">
            <v>2</v>
          </cell>
          <cell r="Y3186">
            <v>4</v>
          </cell>
        </row>
        <row r="3187">
          <cell r="U3187" t="str">
            <v>L106440</v>
          </cell>
          <cell r="V3187" t="str">
            <v>DIV SNDA 8kg</v>
          </cell>
          <cell r="W3187" t="str">
            <v>Ajuste</v>
          </cell>
          <cell r="X3187">
            <v>345</v>
          </cell>
          <cell r="Y3187">
            <v>2760</v>
          </cell>
        </row>
        <row r="3188">
          <cell r="U3188" t="str">
            <v>L106440</v>
          </cell>
          <cell r="V3188" t="str">
            <v>DIV SNDA 8kg</v>
          </cell>
          <cell r="W3188" t="str">
            <v>Dañado</v>
          </cell>
          <cell r="X3188">
            <v>2</v>
          </cell>
          <cell r="Y3188">
            <v>16</v>
          </cell>
        </row>
        <row r="3189">
          <cell r="U3189" t="str">
            <v>L106440</v>
          </cell>
          <cell r="V3189" t="str">
            <v>SNDA 8kg</v>
          </cell>
          <cell r="W3189" t="str">
            <v>Ajuste</v>
          </cell>
          <cell r="X3189">
            <v>66</v>
          </cell>
          <cell r="Y3189">
            <v>528</v>
          </cell>
        </row>
        <row r="3190">
          <cell r="U3190" t="str">
            <v>L106324</v>
          </cell>
          <cell r="V3190" t="str">
            <v>SNK 2.5kg</v>
          </cell>
          <cell r="W3190" t="str">
            <v>Ajuste</v>
          </cell>
          <cell r="X3190">
            <v>2058</v>
          </cell>
          <cell r="Y3190">
            <v>5145</v>
          </cell>
        </row>
        <row r="3191">
          <cell r="U3191" t="str">
            <v>L106324</v>
          </cell>
          <cell r="V3191" t="str">
            <v>DIV SNK 2.5kg</v>
          </cell>
          <cell r="W3191" t="str">
            <v>Ajuste</v>
          </cell>
          <cell r="X3191">
            <v>252</v>
          </cell>
          <cell r="Y3191">
            <v>630</v>
          </cell>
        </row>
        <row r="3192">
          <cell r="U3192" t="str">
            <v>L106689</v>
          </cell>
          <cell r="V3192" t="str">
            <v>DIV SPAV 2kg</v>
          </cell>
          <cell r="W3192" t="str">
            <v>Ajuste</v>
          </cell>
          <cell r="X3192">
            <v>17</v>
          </cell>
          <cell r="Y3192">
            <v>34</v>
          </cell>
        </row>
        <row r="3193">
          <cell r="U3193" t="str">
            <v>L107123</v>
          </cell>
          <cell r="V3193" t="str">
            <v>DIV SPAV 2kg</v>
          </cell>
          <cell r="W3193" t="str">
            <v>Ajuste</v>
          </cell>
          <cell r="X3193">
            <v>1</v>
          </cell>
          <cell r="Y3193">
            <v>2</v>
          </cell>
        </row>
        <row r="3194">
          <cell r="U3194" t="str">
            <v>L107204</v>
          </cell>
          <cell r="V3194" t="str">
            <v>DIV SPAV 2kg</v>
          </cell>
          <cell r="W3194" t="str">
            <v>Ajuste</v>
          </cell>
          <cell r="X3194">
            <v>5</v>
          </cell>
          <cell r="Y3194">
            <v>10</v>
          </cell>
        </row>
        <row r="3195">
          <cell r="U3195" t="str">
            <v>L107121</v>
          </cell>
          <cell r="V3195" t="str">
            <v>DIV SPAV 9kg</v>
          </cell>
          <cell r="W3195" t="str">
            <v>Ajuste</v>
          </cell>
          <cell r="X3195">
            <v>359</v>
          </cell>
          <cell r="Y3195">
            <v>3231</v>
          </cell>
        </row>
        <row r="3196">
          <cell r="U3196" t="str">
            <v>L106683</v>
          </cell>
          <cell r="V3196" t="str">
            <v>DIV SRP 2kg</v>
          </cell>
          <cell r="W3196" t="str">
            <v>Ajuste</v>
          </cell>
          <cell r="X3196">
            <v>1</v>
          </cell>
          <cell r="Y3196">
            <v>2</v>
          </cell>
        </row>
        <row r="3197">
          <cell r="U3197" t="str">
            <v>L107120</v>
          </cell>
          <cell r="V3197" t="str">
            <v>DIV STM 2kg</v>
          </cell>
          <cell r="W3197" t="str">
            <v>Ajuste</v>
          </cell>
          <cell r="X3197">
            <v>63</v>
          </cell>
          <cell r="Y3197">
            <v>126</v>
          </cell>
        </row>
        <row r="3198">
          <cell r="U3198" t="str">
            <v>L107206</v>
          </cell>
          <cell r="V3198" t="str">
            <v>DIV STM 2kg</v>
          </cell>
          <cell r="W3198" t="str">
            <v>Ajuste</v>
          </cell>
          <cell r="X3198">
            <v>2</v>
          </cell>
          <cell r="Y3198">
            <v>4</v>
          </cell>
        </row>
        <row r="3199">
          <cell r="U3199" t="str">
            <v>L106685</v>
          </cell>
          <cell r="V3199" t="str">
            <v>DIV SZD 2.5kg</v>
          </cell>
          <cell r="W3199" t="str">
            <v>Ajuste</v>
          </cell>
          <cell r="X3199">
            <v>13</v>
          </cell>
          <cell r="Y3199">
            <v>32.5</v>
          </cell>
        </row>
        <row r="3200">
          <cell r="U3200" t="str">
            <v>L106696</v>
          </cell>
          <cell r="V3200" t="str">
            <v>DIV SZD 2.5kg</v>
          </cell>
          <cell r="W3200" t="str">
            <v>Ajuste</v>
          </cell>
          <cell r="X3200">
            <v>6</v>
          </cell>
          <cell r="Y3200">
            <v>15</v>
          </cell>
        </row>
        <row r="3201">
          <cell r="U3201" t="str">
            <v>L107208</v>
          </cell>
          <cell r="V3201" t="str">
            <v>DIV SZD 2.5kg</v>
          </cell>
          <cell r="W3201" t="str">
            <v>Ajuste</v>
          </cell>
          <cell r="X3201">
            <v>1</v>
          </cell>
          <cell r="Y3201">
            <v>2.5</v>
          </cell>
        </row>
        <row r="3202">
          <cell r="U3202" t="str">
            <v>L106876</v>
          </cell>
          <cell r="V3202" t="str">
            <v>DIV TRZPCDP 5kg</v>
          </cell>
          <cell r="W3202" t="str">
            <v>Ajuste</v>
          </cell>
          <cell r="X3202">
            <v>12</v>
          </cell>
          <cell r="Y3202">
            <v>60</v>
          </cell>
        </row>
        <row r="3203">
          <cell r="U3203" t="str">
            <v>L107126</v>
          </cell>
          <cell r="V3203" t="str">
            <v>DIV TRZPCDP 5kg</v>
          </cell>
          <cell r="W3203" t="str">
            <v>Ajuste</v>
          </cell>
          <cell r="X3203">
            <v>2</v>
          </cell>
          <cell r="Y3203">
            <v>10</v>
          </cell>
        </row>
        <row r="3204">
          <cell r="U3204" t="str">
            <v>L106711</v>
          </cell>
          <cell r="V3204" t="str">
            <v>DIV VNG 2kg</v>
          </cell>
          <cell r="W3204" t="str">
            <v>Ajuste</v>
          </cell>
          <cell r="X3204">
            <v>3</v>
          </cell>
          <cell r="Y3204">
            <v>6</v>
          </cell>
        </row>
        <row r="3205">
          <cell r="U3205" t="str">
            <v>L106437</v>
          </cell>
          <cell r="V3205" t="str">
            <v>VNG 4KG</v>
          </cell>
          <cell r="W3205" t="str">
            <v>Ajuste</v>
          </cell>
          <cell r="X3205">
            <v>3326</v>
          </cell>
          <cell r="Y3205">
            <v>13304</v>
          </cell>
        </row>
        <row r="3206">
          <cell r="U3206" t="str">
            <v>L106437</v>
          </cell>
          <cell r="V3206" t="str">
            <v>DIV VNG 4KG</v>
          </cell>
          <cell r="W3206" t="str">
            <v>Ajuste</v>
          </cell>
          <cell r="X3206">
            <v>202</v>
          </cell>
          <cell r="Y3206">
            <v>808</v>
          </cell>
        </row>
        <row r="3207">
          <cell r="U3207" t="str">
            <v>L106694</v>
          </cell>
          <cell r="V3207" t="str">
            <v>DIV VNG 4KG</v>
          </cell>
          <cell r="W3207" t="str">
            <v>Ajuste</v>
          </cell>
          <cell r="X3207">
            <v>2</v>
          </cell>
          <cell r="Y3207">
            <v>8</v>
          </cell>
        </row>
        <row r="3208">
          <cell r="U3208" t="str">
            <v>L106695</v>
          </cell>
          <cell r="V3208" t="str">
            <v>DIV VNG 4KG</v>
          </cell>
          <cell r="W3208" t="str">
            <v>Ajuste</v>
          </cell>
          <cell r="X3208">
            <v>2</v>
          </cell>
          <cell r="Y3208">
            <v>8</v>
          </cell>
        </row>
        <row r="3209">
          <cell r="U3209" t="str">
            <v>L106087</v>
          </cell>
          <cell r="V3209" t="str">
            <v>DIV YGT 2kg-CAJA</v>
          </cell>
          <cell r="W3209" t="str">
            <v>Ajuste</v>
          </cell>
          <cell r="X3209">
            <v>6</v>
          </cell>
          <cell r="Y3209">
            <v>12</v>
          </cell>
        </row>
        <row r="3210">
          <cell r="U3210" t="str">
            <v>L106256</v>
          </cell>
          <cell r="V3210" t="str">
            <v>DLQ 3kg</v>
          </cell>
          <cell r="W3210" t="str">
            <v>Ajuste</v>
          </cell>
          <cell r="X3210">
            <v>10</v>
          </cell>
          <cell r="Y3210">
            <v>30</v>
          </cell>
        </row>
        <row r="3211">
          <cell r="U3211" t="str">
            <v>L106301</v>
          </cell>
          <cell r="V3211" t="str">
            <v>DRNO 3kg</v>
          </cell>
          <cell r="W3211" t="str">
            <v>Ajuste</v>
          </cell>
          <cell r="X3211">
            <v>6</v>
          </cell>
          <cell r="Y3211">
            <v>18</v>
          </cell>
        </row>
        <row r="3212">
          <cell r="U3212" t="str">
            <v>L106368</v>
          </cell>
          <cell r="V3212" t="str">
            <v>DRNO 3kg</v>
          </cell>
          <cell r="W3212" t="str">
            <v>Ajuste</v>
          </cell>
          <cell r="X3212">
            <v>6</v>
          </cell>
          <cell r="Y3212">
            <v>18</v>
          </cell>
        </row>
        <row r="3213">
          <cell r="U3213" t="str">
            <v>L107254</v>
          </cell>
          <cell r="V3213" t="str">
            <v>DSF 1kg</v>
          </cell>
          <cell r="W3213" t="str">
            <v>Ajuste</v>
          </cell>
          <cell r="X3213">
            <v>48</v>
          </cell>
          <cell r="Y3213">
            <v>48</v>
          </cell>
        </row>
        <row r="3214">
          <cell r="U3214" t="str">
            <v>L106933</v>
          </cell>
          <cell r="V3214" t="str">
            <v>DSF 1kg</v>
          </cell>
          <cell r="W3214" t="str">
            <v>Ajuste</v>
          </cell>
          <cell r="X3214">
            <v>84</v>
          </cell>
          <cell r="Y3214">
            <v>84</v>
          </cell>
        </row>
        <row r="3215">
          <cell r="U3215" t="str">
            <v>L106934</v>
          </cell>
          <cell r="V3215" t="str">
            <v>DSF 1kg</v>
          </cell>
          <cell r="W3215" t="str">
            <v>Ajuste</v>
          </cell>
          <cell r="X3215">
            <v>16</v>
          </cell>
          <cell r="Y3215">
            <v>16</v>
          </cell>
        </row>
        <row r="3216">
          <cell r="U3216" t="str">
            <v>L106935</v>
          </cell>
          <cell r="V3216" t="str">
            <v>DSF 1kg</v>
          </cell>
          <cell r="W3216" t="str">
            <v>Ajuste</v>
          </cell>
          <cell r="X3216">
            <v>40</v>
          </cell>
          <cell r="Y3216">
            <v>40</v>
          </cell>
        </row>
        <row r="3217">
          <cell r="U3217" t="str">
            <v>L106936</v>
          </cell>
          <cell r="V3217" t="str">
            <v>DSF 1kg</v>
          </cell>
          <cell r="W3217" t="str">
            <v>Ajuste</v>
          </cell>
          <cell r="X3217">
            <v>11</v>
          </cell>
          <cell r="Y3217">
            <v>11</v>
          </cell>
        </row>
        <row r="3218">
          <cell r="U3218" t="str">
            <v>L107119</v>
          </cell>
          <cell r="V3218" t="str">
            <v>DSF 1kg</v>
          </cell>
          <cell r="W3218" t="str">
            <v>Ajuste</v>
          </cell>
          <cell r="X3218">
            <v>17</v>
          </cell>
          <cell r="Y3218">
            <v>17</v>
          </cell>
        </row>
        <row r="3219">
          <cell r="U3219" t="str">
            <v>L107267</v>
          </cell>
          <cell r="V3219" t="str">
            <v>DSF 1kg</v>
          </cell>
          <cell r="W3219" t="str">
            <v>Ajuste</v>
          </cell>
          <cell r="X3219">
            <v>12</v>
          </cell>
          <cell r="Y3219">
            <v>12</v>
          </cell>
        </row>
        <row r="3220">
          <cell r="U3220" t="str">
            <v>L106065</v>
          </cell>
          <cell r="V3220" t="str">
            <v>DSF 2Kg</v>
          </cell>
          <cell r="W3220" t="str">
            <v>Ajuste</v>
          </cell>
          <cell r="X3220">
            <v>22</v>
          </cell>
          <cell r="Y3220">
            <v>44</v>
          </cell>
        </row>
        <row r="3221">
          <cell r="U3221" t="str">
            <v>L106066</v>
          </cell>
          <cell r="V3221" t="str">
            <v>DSF 2Kg</v>
          </cell>
          <cell r="W3221" t="str">
            <v>Ajuste</v>
          </cell>
          <cell r="X3221">
            <v>6</v>
          </cell>
          <cell r="Y3221">
            <v>12</v>
          </cell>
        </row>
        <row r="3222">
          <cell r="U3222" t="str">
            <v>L106253</v>
          </cell>
          <cell r="V3222" t="str">
            <v>DSF 2Kg</v>
          </cell>
          <cell r="W3222" t="str">
            <v>Ajuste</v>
          </cell>
          <cell r="X3222">
            <v>4</v>
          </cell>
          <cell r="Y3222">
            <v>8</v>
          </cell>
        </row>
        <row r="3223">
          <cell r="U3223" t="str">
            <v>L106905</v>
          </cell>
          <cell r="V3223" t="str">
            <v>DSF 2Kg</v>
          </cell>
          <cell r="W3223" t="str">
            <v>Ajuste</v>
          </cell>
          <cell r="X3223">
            <v>4</v>
          </cell>
          <cell r="Y3223">
            <v>8</v>
          </cell>
        </row>
        <row r="3224">
          <cell r="U3224" t="str">
            <v>L106907</v>
          </cell>
          <cell r="V3224" t="str">
            <v>DSF 2Kg</v>
          </cell>
          <cell r="W3224" t="str">
            <v>Ajuste</v>
          </cell>
          <cell r="X3224">
            <v>12</v>
          </cell>
          <cell r="Y3224">
            <v>24</v>
          </cell>
        </row>
        <row r="3225">
          <cell r="U3225" t="str">
            <v>L106909</v>
          </cell>
          <cell r="V3225" t="str">
            <v>DSF 2Kg</v>
          </cell>
          <cell r="W3225" t="str">
            <v>Ajuste</v>
          </cell>
          <cell r="X3225">
            <v>30</v>
          </cell>
          <cell r="Y3225">
            <v>60</v>
          </cell>
        </row>
        <row r="3226">
          <cell r="U3226" t="str">
            <v>L106931</v>
          </cell>
          <cell r="V3226" t="str">
            <v>DSF 2Kg</v>
          </cell>
          <cell r="W3226" t="str">
            <v>Ajuste</v>
          </cell>
          <cell r="X3226">
            <v>8</v>
          </cell>
          <cell r="Y3226">
            <v>16</v>
          </cell>
        </row>
        <row r="3227">
          <cell r="U3227" t="str">
            <v>L106257</v>
          </cell>
          <cell r="V3227" t="str">
            <v>DSF 3kg-CAJA</v>
          </cell>
          <cell r="W3227" t="str">
            <v>Ajuste</v>
          </cell>
          <cell r="X3227">
            <v>8</v>
          </cell>
          <cell r="Y3227">
            <v>24</v>
          </cell>
        </row>
        <row r="3228">
          <cell r="U3228" t="str">
            <v>L106252</v>
          </cell>
          <cell r="V3228" t="str">
            <v>DSF 4kg-CAJA</v>
          </cell>
          <cell r="W3228" t="str">
            <v>Ajuste</v>
          </cell>
          <cell r="X3228">
            <v>6</v>
          </cell>
          <cell r="Y3228">
            <v>24</v>
          </cell>
        </row>
        <row r="3229">
          <cell r="U3229" t="str">
            <v>L107257</v>
          </cell>
          <cell r="V3229" t="str">
            <v>DSFEP 1Kg</v>
          </cell>
          <cell r="W3229" t="str">
            <v>Ajuste</v>
          </cell>
          <cell r="X3229">
            <v>12</v>
          </cell>
          <cell r="Y3229">
            <v>12</v>
          </cell>
        </row>
        <row r="3230">
          <cell r="U3230" t="str">
            <v>L107258</v>
          </cell>
          <cell r="V3230" t="str">
            <v>DSFEP 1Kg</v>
          </cell>
          <cell r="W3230" t="str">
            <v>Ajuste</v>
          </cell>
          <cell r="X3230">
            <v>12</v>
          </cell>
          <cell r="Y3230">
            <v>12</v>
          </cell>
        </row>
        <row r="3231">
          <cell r="U3231" t="str">
            <v>L107264</v>
          </cell>
          <cell r="V3231" t="str">
            <v>DSFEP 1Kg</v>
          </cell>
          <cell r="W3231" t="str">
            <v>Ajuste</v>
          </cell>
          <cell r="X3231">
            <v>11</v>
          </cell>
          <cell r="Y3231">
            <v>11</v>
          </cell>
        </row>
        <row r="3232">
          <cell r="U3232" t="str">
            <v>L106190</v>
          </cell>
          <cell r="V3232" t="str">
            <v>DTG Vr2kg-CAJA</v>
          </cell>
          <cell r="W3232" t="str">
            <v>Ajuste</v>
          </cell>
          <cell r="X3232">
            <v>2</v>
          </cell>
          <cell r="Y3232">
            <v>4</v>
          </cell>
        </row>
        <row r="3233">
          <cell r="U3233" t="str">
            <v>L106133</v>
          </cell>
          <cell r="V3233" t="str">
            <v>DTG Vr2kg-CAJA</v>
          </cell>
          <cell r="W3233" t="str">
            <v>Ajuste</v>
          </cell>
          <cell r="X3233">
            <v>1</v>
          </cell>
          <cell r="Y3233">
            <v>2</v>
          </cell>
        </row>
        <row r="3234">
          <cell r="U3234" t="str">
            <v>L106134</v>
          </cell>
          <cell r="V3234" t="str">
            <v>DTG Vr2kg-CAJA</v>
          </cell>
          <cell r="W3234" t="str">
            <v>Ajuste</v>
          </cell>
          <cell r="X3234">
            <v>1</v>
          </cell>
          <cell r="Y3234">
            <v>2</v>
          </cell>
        </row>
        <row r="3235">
          <cell r="U3235" t="str">
            <v>l106191</v>
          </cell>
          <cell r="V3235" t="str">
            <v>DTG Vr3kg-CAJA</v>
          </cell>
          <cell r="W3235" t="str">
            <v>Ajuste</v>
          </cell>
          <cell r="X3235">
            <v>418</v>
          </cell>
          <cell r="Y3235">
            <v>1254</v>
          </cell>
        </row>
        <row r="3236">
          <cell r="U3236" t="str">
            <v>L106916</v>
          </cell>
          <cell r="V3236" t="str">
            <v>DTG Vr3kg-CAJA</v>
          </cell>
          <cell r="W3236" t="str">
            <v>Ajuste</v>
          </cell>
          <cell r="X3236">
            <v>108</v>
          </cell>
          <cell r="Y3236">
            <v>324</v>
          </cell>
        </row>
        <row r="3237">
          <cell r="U3237" t="str">
            <v>L107194</v>
          </cell>
          <cell r="V3237" t="str">
            <v>DTG Vr3kg-CAJA</v>
          </cell>
          <cell r="W3237" t="str">
            <v>Ajuste</v>
          </cell>
          <cell r="X3237">
            <v>179</v>
          </cell>
          <cell r="Y3237">
            <v>537</v>
          </cell>
        </row>
        <row r="3238">
          <cell r="U3238" t="str">
            <v>L106864</v>
          </cell>
          <cell r="V3238" t="str">
            <v>DTGAY Vr2kg-CAJA</v>
          </cell>
          <cell r="W3238" t="str">
            <v>Ajuste</v>
          </cell>
          <cell r="X3238">
            <v>300</v>
          </cell>
          <cell r="Y3238">
            <v>600</v>
          </cell>
        </row>
        <row r="3239">
          <cell r="U3239" t="str">
            <v>L106530</v>
          </cell>
          <cell r="V3239" t="str">
            <v>ECL MTAL - UNIDAD</v>
          </cell>
          <cell r="W3239" t="str">
            <v>Ajuste</v>
          </cell>
          <cell r="X3239">
            <v>2</v>
          </cell>
          <cell r="Y3239">
            <v>24</v>
          </cell>
        </row>
        <row r="3240">
          <cell r="U3240" t="str">
            <v>L107215</v>
          </cell>
          <cell r="V3240" t="str">
            <v>ECL MTAL - UNIDAD</v>
          </cell>
          <cell r="W3240" t="str">
            <v>Ajuste</v>
          </cell>
          <cell r="X3240">
            <v>1</v>
          </cell>
          <cell r="Y3240">
            <v>12</v>
          </cell>
        </row>
        <row r="3241">
          <cell r="U3241" t="str">
            <v>L107216</v>
          </cell>
          <cell r="V3241" t="str">
            <v>ECLM - UNIDAD</v>
          </cell>
          <cell r="W3241" t="str">
            <v>Ajuste</v>
          </cell>
          <cell r="X3241">
            <v>1</v>
          </cell>
          <cell r="Y3241">
            <v>62</v>
          </cell>
        </row>
        <row r="3242">
          <cell r="U3242" t="str">
            <v>L103093</v>
          </cell>
          <cell r="V3242" t="str">
            <v>EGB 2KG Caja</v>
          </cell>
          <cell r="W3242" t="str">
            <v>Ajuste</v>
          </cell>
          <cell r="X3242">
            <v>1</v>
          </cell>
          <cell r="Y3242">
            <v>2</v>
          </cell>
        </row>
        <row r="3243">
          <cell r="U3243" t="str">
            <v>L102143</v>
          </cell>
          <cell r="V3243" t="str">
            <v>EGB 2KG Caja</v>
          </cell>
          <cell r="W3243" t="str">
            <v>Ajuste</v>
          </cell>
          <cell r="X3243">
            <v>3</v>
          </cell>
          <cell r="Y3243">
            <v>6</v>
          </cell>
        </row>
        <row r="3244">
          <cell r="U3244" t="str">
            <v>L106273</v>
          </cell>
          <cell r="V3244" t="str">
            <v>Embutido kg</v>
          </cell>
          <cell r="W3244" t="str">
            <v>Ajuste</v>
          </cell>
          <cell r="X3244">
            <v>5</v>
          </cell>
          <cell r="Y3244">
            <v>5</v>
          </cell>
        </row>
        <row r="3245">
          <cell r="U3245" t="str">
            <v>L106096</v>
          </cell>
          <cell r="V3245" t="str">
            <v>EMBV 2kg-CAJA</v>
          </cell>
          <cell r="W3245" t="str">
            <v>Ajuste</v>
          </cell>
          <cell r="X3245">
            <v>74</v>
          </cell>
          <cell r="Y3245">
            <v>148</v>
          </cell>
        </row>
        <row r="3246">
          <cell r="U3246" t="str">
            <v>L106267</v>
          </cell>
          <cell r="V3246" t="str">
            <v>EMBV 2kg-CAJA</v>
          </cell>
          <cell r="W3246" t="str">
            <v>Ajuste</v>
          </cell>
          <cell r="X3246">
            <v>78</v>
          </cell>
          <cell r="Y3246">
            <v>156</v>
          </cell>
        </row>
        <row r="3247">
          <cell r="U3247" t="str">
            <v>L106268</v>
          </cell>
          <cell r="V3247" t="str">
            <v>EMBV 2kg-CAJA</v>
          </cell>
          <cell r="W3247" t="str">
            <v>Ajuste</v>
          </cell>
          <cell r="X3247">
            <v>14</v>
          </cell>
          <cell r="Y3247">
            <v>28</v>
          </cell>
        </row>
        <row r="3248">
          <cell r="U3248" t="str">
            <v>L106269</v>
          </cell>
          <cell r="V3248" t="str">
            <v>EMBV 2kg-CAJA</v>
          </cell>
          <cell r="W3248" t="str">
            <v>Ajuste</v>
          </cell>
          <cell r="X3248">
            <v>18</v>
          </cell>
          <cell r="Y3248">
            <v>36</v>
          </cell>
        </row>
        <row r="3249">
          <cell r="U3249" t="str">
            <v>L106270</v>
          </cell>
          <cell r="V3249" t="str">
            <v>EMBV 2kg-CAJA</v>
          </cell>
          <cell r="W3249" t="str">
            <v>Ajuste</v>
          </cell>
          <cell r="X3249">
            <v>36</v>
          </cell>
          <cell r="Y3249">
            <v>72</v>
          </cell>
        </row>
        <row r="3250">
          <cell r="U3250" t="str">
            <v>L106275</v>
          </cell>
          <cell r="V3250" t="str">
            <v>EMBV 2kg-CAJA</v>
          </cell>
          <cell r="W3250" t="str">
            <v>Ajuste</v>
          </cell>
          <cell r="X3250">
            <v>8</v>
          </cell>
          <cell r="Y3250">
            <v>16</v>
          </cell>
        </row>
        <row r="3251">
          <cell r="U3251" t="str">
            <v>L106418</v>
          </cell>
          <cell r="V3251" t="str">
            <v>EMBV 2kg-CAJA</v>
          </cell>
          <cell r="W3251" t="str">
            <v>Ajuste</v>
          </cell>
          <cell r="X3251">
            <v>84</v>
          </cell>
          <cell r="Y3251">
            <v>168</v>
          </cell>
        </row>
        <row r="3252">
          <cell r="U3252" t="str">
            <v>L106454</v>
          </cell>
          <cell r="V3252" t="str">
            <v>EMBV 2kg-CAJA</v>
          </cell>
          <cell r="W3252" t="str">
            <v>Ajuste</v>
          </cell>
          <cell r="X3252">
            <v>12</v>
          </cell>
          <cell r="Y3252">
            <v>24</v>
          </cell>
        </row>
        <row r="3253">
          <cell r="U3253" t="str">
            <v>L106455</v>
          </cell>
          <cell r="V3253" t="str">
            <v>EMBV 2kg-CAJA</v>
          </cell>
          <cell r="W3253" t="str">
            <v>Ajuste</v>
          </cell>
          <cell r="X3253">
            <v>2</v>
          </cell>
          <cell r="Y3253">
            <v>4</v>
          </cell>
        </row>
        <row r="3254">
          <cell r="U3254" t="str">
            <v>L106508</v>
          </cell>
          <cell r="V3254" t="str">
            <v>EMBV 2kg-CAJA</v>
          </cell>
          <cell r="W3254" t="str">
            <v>Ajuste</v>
          </cell>
          <cell r="X3254">
            <v>132</v>
          </cell>
          <cell r="Y3254">
            <v>264</v>
          </cell>
        </row>
        <row r="3255">
          <cell r="U3255" t="str">
            <v>L106965</v>
          </cell>
          <cell r="V3255" t="str">
            <v>EMBV 2kg-CAJA</v>
          </cell>
          <cell r="W3255" t="str">
            <v>Ajuste</v>
          </cell>
          <cell r="X3255">
            <v>26</v>
          </cell>
          <cell r="Y3255">
            <v>52</v>
          </cell>
        </row>
        <row r="3256">
          <cell r="U3256" t="str">
            <v>L106966</v>
          </cell>
          <cell r="V3256" t="str">
            <v>EMBV 2kg-CAJA</v>
          </cell>
          <cell r="W3256" t="str">
            <v>Ajuste</v>
          </cell>
          <cell r="X3256">
            <v>24</v>
          </cell>
          <cell r="Y3256">
            <v>48</v>
          </cell>
        </row>
        <row r="3257">
          <cell r="U3257" t="str">
            <v>L106967</v>
          </cell>
          <cell r="V3257" t="str">
            <v>EMBV 2kg-CAJA</v>
          </cell>
          <cell r="W3257" t="str">
            <v>Ajuste</v>
          </cell>
          <cell r="X3257">
            <v>10</v>
          </cell>
          <cell r="Y3257">
            <v>20</v>
          </cell>
        </row>
        <row r="3258">
          <cell r="U3258" t="str">
            <v>L106968</v>
          </cell>
          <cell r="V3258" t="str">
            <v>EMBV 2kg-CAJA</v>
          </cell>
          <cell r="W3258" t="str">
            <v>Ajuste</v>
          </cell>
          <cell r="X3258">
            <v>8</v>
          </cell>
          <cell r="Y3258">
            <v>16</v>
          </cell>
        </row>
        <row r="3259">
          <cell r="U3259" t="str">
            <v>L106969</v>
          </cell>
          <cell r="V3259" t="str">
            <v>EMBV 2kg-CAJA</v>
          </cell>
          <cell r="W3259" t="str">
            <v>Ajuste</v>
          </cell>
          <cell r="X3259">
            <v>6</v>
          </cell>
          <cell r="Y3259">
            <v>12</v>
          </cell>
        </row>
        <row r="3260">
          <cell r="U3260" t="str">
            <v>L106984</v>
          </cell>
          <cell r="V3260" t="str">
            <v>EMBV 2kg-CAJA</v>
          </cell>
          <cell r="W3260" t="str">
            <v>Ajuste</v>
          </cell>
          <cell r="X3260">
            <v>136</v>
          </cell>
          <cell r="Y3260">
            <v>272</v>
          </cell>
        </row>
        <row r="3261">
          <cell r="U3261" t="str">
            <v>L107031</v>
          </cell>
          <cell r="V3261" t="str">
            <v>EMBV 2kg-CAJA</v>
          </cell>
          <cell r="W3261" t="str">
            <v>Ajuste</v>
          </cell>
          <cell r="X3261">
            <v>80</v>
          </cell>
          <cell r="Y3261">
            <v>160</v>
          </cell>
        </row>
        <row r="3262">
          <cell r="U3262" t="str">
            <v>L106452</v>
          </cell>
          <cell r="V3262" t="str">
            <v>EMBV 3kg</v>
          </cell>
          <cell r="W3262" t="str">
            <v>Ajuste</v>
          </cell>
          <cell r="X3262">
            <v>20</v>
          </cell>
          <cell r="Y3262">
            <v>60</v>
          </cell>
        </row>
        <row r="3263">
          <cell r="U3263" t="str">
            <v>L106453</v>
          </cell>
          <cell r="V3263" t="str">
            <v>EMBV 3kg</v>
          </cell>
          <cell r="W3263" t="str">
            <v>Ajuste</v>
          </cell>
          <cell r="X3263">
            <v>20</v>
          </cell>
          <cell r="Y3263">
            <v>60</v>
          </cell>
        </row>
        <row r="3264">
          <cell r="U3264" t="str">
            <v>L106232</v>
          </cell>
          <cell r="V3264" t="str">
            <v>EMP 2kg</v>
          </cell>
          <cell r="W3264" t="str">
            <v>Ajuste</v>
          </cell>
          <cell r="X3264">
            <v>2</v>
          </cell>
          <cell r="Y3264">
            <v>4</v>
          </cell>
        </row>
        <row r="3265">
          <cell r="U3265" t="str">
            <v>L106233</v>
          </cell>
          <cell r="V3265" t="str">
            <v>EMP 3kg</v>
          </cell>
          <cell r="W3265" t="str">
            <v>Ajuste</v>
          </cell>
          <cell r="X3265">
            <v>2</v>
          </cell>
          <cell r="Y3265">
            <v>6</v>
          </cell>
        </row>
        <row r="3266">
          <cell r="U3266" t="str">
            <v>L106163</v>
          </cell>
          <cell r="V3266" t="str">
            <v>ENV ACE 12x900ml-CAJA</v>
          </cell>
          <cell r="W3266" t="str">
            <v>Ajuste</v>
          </cell>
          <cell r="X3266">
            <v>56</v>
          </cell>
          <cell r="Y3266">
            <v>604.79999999999995</v>
          </cell>
        </row>
        <row r="3267">
          <cell r="U3267" t="str">
            <v>L106163</v>
          </cell>
          <cell r="V3267" t="str">
            <v>ENV ACE 1x900ml-UNI</v>
          </cell>
          <cell r="W3267" t="str">
            <v>Ajuste</v>
          </cell>
          <cell r="X3267">
            <v>24</v>
          </cell>
          <cell r="Y3267">
            <v>21.6</v>
          </cell>
        </row>
        <row r="3268">
          <cell r="U3268" t="str">
            <v>L106164</v>
          </cell>
          <cell r="V3268" t="str">
            <v>ENV ACE 1x900ml-UNI</v>
          </cell>
          <cell r="W3268" t="str">
            <v>Ajuste</v>
          </cell>
          <cell r="X3268">
            <v>2</v>
          </cell>
          <cell r="Y3268">
            <v>1.8</v>
          </cell>
        </row>
        <row r="3269">
          <cell r="U3269" t="str">
            <v>L106157</v>
          </cell>
          <cell r="V3269" t="str">
            <v>ENV ARZ 10x5lb-CAJA</v>
          </cell>
          <cell r="W3269" t="str">
            <v>Ajuste</v>
          </cell>
          <cell r="X3269">
            <v>568</v>
          </cell>
          <cell r="Y3269">
            <v>12876.560000000001</v>
          </cell>
        </row>
        <row r="3270">
          <cell r="U3270" t="str">
            <v>L106158</v>
          </cell>
          <cell r="V3270" t="str">
            <v>ENV ARZ 1x5lb-UNI</v>
          </cell>
          <cell r="W3270" t="str">
            <v>Ajuste</v>
          </cell>
          <cell r="X3270">
            <v>4</v>
          </cell>
          <cell r="Y3270">
            <v>9.0399999999999991</v>
          </cell>
        </row>
        <row r="3271">
          <cell r="U3271" t="str">
            <v>L106319</v>
          </cell>
          <cell r="V3271" t="str">
            <v>ENV Dif Redondeo</v>
          </cell>
          <cell r="W3271" t="str">
            <v>Ajuste</v>
          </cell>
          <cell r="X3271">
            <v>2</v>
          </cell>
          <cell r="Y3271">
            <v>0.02</v>
          </cell>
        </row>
        <row r="3272">
          <cell r="U3272" t="str">
            <v>L106172</v>
          </cell>
          <cell r="V3272" t="str">
            <v>ENV FRJ 1X1Lb-UNI</v>
          </cell>
          <cell r="W3272" t="str">
            <v>Ajuste</v>
          </cell>
          <cell r="X3272">
            <v>14</v>
          </cell>
          <cell r="Y3272">
            <v>6.3</v>
          </cell>
        </row>
        <row r="3273">
          <cell r="U3273" t="str">
            <v>L106171</v>
          </cell>
          <cell r="V3273" t="str">
            <v>ENV FRJ 25X1Lb-CAJA</v>
          </cell>
          <cell r="W3273" t="str">
            <v>Ajuste</v>
          </cell>
          <cell r="X3273">
            <v>164</v>
          </cell>
          <cell r="Y3273">
            <v>1858.12</v>
          </cell>
        </row>
        <row r="3274">
          <cell r="U3274" t="str">
            <v>L106170</v>
          </cell>
          <cell r="V3274" t="str">
            <v>ENV LTJ 1X1Lb-UNI</v>
          </cell>
          <cell r="W3274" t="str">
            <v>Ajuste</v>
          </cell>
          <cell r="X3274">
            <v>48</v>
          </cell>
          <cell r="Y3274">
            <v>21.6</v>
          </cell>
        </row>
        <row r="3275">
          <cell r="U3275" t="str">
            <v>L106169</v>
          </cell>
          <cell r="V3275" t="str">
            <v>ENV LTJ 25X1Lb-CAJA</v>
          </cell>
          <cell r="W3275" t="str">
            <v>Ajuste</v>
          </cell>
          <cell r="X3275">
            <v>240</v>
          </cell>
          <cell r="Y3275">
            <v>2719.2</v>
          </cell>
        </row>
        <row r="3276">
          <cell r="U3276" t="str">
            <v>L106204</v>
          </cell>
          <cell r="V3276" t="str">
            <v>ENV PTM 48x113g-CAJA</v>
          </cell>
          <cell r="W3276" t="str">
            <v>Ajuste</v>
          </cell>
          <cell r="X3276">
            <v>54</v>
          </cell>
          <cell r="Y3276">
            <v>292.68</v>
          </cell>
        </row>
        <row r="3277">
          <cell r="U3277" t="str">
            <v>L106204</v>
          </cell>
          <cell r="V3277" t="str">
            <v>ENV PTM 1x113g-UNIDAD</v>
          </cell>
          <cell r="W3277" t="str">
            <v>Ajuste</v>
          </cell>
          <cell r="X3277">
            <v>62</v>
          </cell>
          <cell r="Y3277">
            <v>6.82</v>
          </cell>
        </row>
        <row r="3278">
          <cell r="U3278" t="str">
            <v>l102029</v>
          </cell>
          <cell r="V3278" t="str">
            <v>ENV PTM 1x113g-UNIDAD</v>
          </cell>
          <cell r="W3278" t="str">
            <v>Ajuste</v>
          </cell>
          <cell r="X3278">
            <v>33</v>
          </cell>
          <cell r="Y3278">
            <v>3.63</v>
          </cell>
        </row>
        <row r="3279">
          <cell r="U3279" t="str">
            <v>L106035</v>
          </cell>
          <cell r="V3279" t="str">
            <v>ENV SAL 30X454g-CAJA</v>
          </cell>
          <cell r="W3279" t="str">
            <v>Ajuste</v>
          </cell>
          <cell r="X3279">
            <v>38</v>
          </cell>
          <cell r="Y3279">
            <v>517.55999999999995</v>
          </cell>
        </row>
        <row r="3280">
          <cell r="U3280" t="str">
            <v>L106035</v>
          </cell>
          <cell r="V3280" t="str">
            <v>ENV SAL 1X454g-UNI</v>
          </cell>
          <cell r="W3280" t="str">
            <v>Ajuste</v>
          </cell>
          <cell r="X3280">
            <v>54</v>
          </cell>
          <cell r="Y3280">
            <v>24.3</v>
          </cell>
        </row>
        <row r="3281">
          <cell r="U3281" t="str">
            <v>L106168</v>
          </cell>
          <cell r="V3281" t="str">
            <v>ENV SPGT 1x454G-UNI</v>
          </cell>
          <cell r="W3281" t="str">
            <v>Ajuste</v>
          </cell>
          <cell r="X3281">
            <v>22</v>
          </cell>
          <cell r="Y3281">
            <v>9.9</v>
          </cell>
        </row>
        <row r="3282">
          <cell r="U3282" t="str">
            <v>L106167</v>
          </cell>
          <cell r="V3282" t="str">
            <v>ENV SPGT 20 x 454G-CAJA</v>
          </cell>
          <cell r="W3282" t="str">
            <v>Ajuste</v>
          </cell>
          <cell r="X3282">
            <v>154</v>
          </cell>
          <cell r="Y3282">
            <v>1398.3200000000002</v>
          </cell>
        </row>
        <row r="3283">
          <cell r="U3283" t="str">
            <v>L106166</v>
          </cell>
          <cell r="V3283" t="str">
            <v>ENV SRD 1X15 OZ-UNI</v>
          </cell>
          <cell r="W3283" t="str">
            <v>Ajuste</v>
          </cell>
          <cell r="X3283">
            <v>46</v>
          </cell>
          <cell r="Y3283">
            <v>19.32</v>
          </cell>
        </row>
        <row r="3284">
          <cell r="U3284" t="str">
            <v>L106165</v>
          </cell>
          <cell r="V3284" t="str">
            <v>ENV SRD 24X15 OZ-CAJA</v>
          </cell>
          <cell r="W3284" t="str">
            <v>Ajuste</v>
          </cell>
          <cell r="X3284">
            <v>168</v>
          </cell>
          <cell r="Y3284">
            <v>1713.6</v>
          </cell>
        </row>
        <row r="3285">
          <cell r="U3285" t="str">
            <v>L106991</v>
          </cell>
          <cell r="V3285" t="str">
            <v>ESP 3kg-CAJA</v>
          </cell>
          <cell r="W3285" t="str">
            <v>Ajuste</v>
          </cell>
          <cell r="X3285">
            <v>21</v>
          </cell>
          <cell r="Y3285">
            <v>63</v>
          </cell>
        </row>
        <row r="3286">
          <cell r="U3286" t="str">
            <v>L106992</v>
          </cell>
          <cell r="V3286" t="str">
            <v>ESP 3kg-CAJA</v>
          </cell>
          <cell r="W3286" t="str">
            <v>Ajuste</v>
          </cell>
          <cell r="X3286">
            <v>18</v>
          </cell>
          <cell r="Y3286">
            <v>54</v>
          </cell>
        </row>
        <row r="3287">
          <cell r="U3287" t="str">
            <v>L106879</v>
          </cell>
          <cell r="V3287" t="str">
            <v>ESQPCD 8kg</v>
          </cell>
          <cell r="W3287" t="str">
            <v>Ajuste</v>
          </cell>
          <cell r="X3287">
            <v>100</v>
          </cell>
          <cell r="Y3287">
            <v>800</v>
          </cell>
        </row>
        <row r="3288">
          <cell r="U3288" t="str">
            <v>L106973</v>
          </cell>
          <cell r="V3288" t="str">
            <v>ESV 1kg - CAJA</v>
          </cell>
          <cell r="W3288" t="str">
            <v>Ajuste</v>
          </cell>
          <cell r="X3288">
            <v>2</v>
          </cell>
          <cell r="Y3288">
            <v>2</v>
          </cell>
        </row>
        <row r="3289">
          <cell r="U3289" t="str">
            <v>L106649</v>
          </cell>
          <cell r="V3289" t="str">
            <v>ESV 2kg - CAJA</v>
          </cell>
          <cell r="W3289" t="str">
            <v>Ajuste</v>
          </cell>
          <cell r="X3289">
            <v>26</v>
          </cell>
          <cell r="Y3289">
            <v>52</v>
          </cell>
        </row>
        <row r="3290">
          <cell r="U3290" t="str">
            <v>L106130</v>
          </cell>
          <cell r="V3290" t="str">
            <v>FRUROB kg</v>
          </cell>
          <cell r="W3290" t="str">
            <v>Ajuste</v>
          </cell>
          <cell r="X3290">
            <v>1982</v>
          </cell>
          <cell r="Y3290">
            <v>1982</v>
          </cell>
        </row>
        <row r="3291">
          <cell r="U3291" t="str">
            <v>L107335</v>
          </cell>
          <cell r="V3291" t="str">
            <v>FRUROB kg</v>
          </cell>
          <cell r="W3291" t="str">
            <v>Ajuste</v>
          </cell>
          <cell r="X3291">
            <v>664</v>
          </cell>
          <cell r="Y3291">
            <v>664</v>
          </cell>
        </row>
        <row r="3292">
          <cell r="U3292" t="str">
            <v>L106121</v>
          </cell>
          <cell r="V3292" t="str">
            <v>FRUTV 10kg - CAJA</v>
          </cell>
          <cell r="W3292" t="str">
            <v>Ajuste</v>
          </cell>
          <cell r="X3292">
            <v>150</v>
          </cell>
          <cell r="Y3292">
            <v>1500</v>
          </cell>
        </row>
        <row r="3293">
          <cell r="U3293" t="str">
            <v>L106602</v>
          </cell>
          <cell r="V3293" t="str">
            <v>FRUTV 20kg - CAJA</v>
          </cell>
          <cell r="W3293" t="str">
            <v>Ajuste</v>
          </cell>
          <cell r="X3293">
            <v>264</v>
          </cell>
          <cell r="Y3293">
            <v>5280</v>
          </cell>
        </row>
        <row r="3294">
          <cell r="U3294" t="str">
            <v>L106873</v>
          </cell>
          <cell r="V3294" t="str">
            <v>FRUTV 20kg - CAJA</v>
          </cell>
          <cell r="W3294" t="str">
            <v>Ajuste</v>
          </cell>
          <cell r="X3294">
            <v>20</v>
          </cell>
          <cell r="Y3294">
            <v>400</v>
          </cell>
        </row>
        <row r="3295">
          <cell r="U3295" t="str">
            <v>L107156</v>
          </cell>
          <cell r="V3295" t="str">
            <v>FRUTV 20kg - CAJA</v>
          </cell>
          <cell r="W3295" t="str">
            <v>Ajuste</v>
          </cell>
          <cell r="X3295">
            <v>26</v>
          </cell>
          <cell r="Y3295">
            <v>520</v>
          </cell>
        </row>
        <row r="3296">
          <cell r="U3296" t="str">
            <v>L106374</v>
          </cell>
          <cell r="V3296" t="str">
            <v>FRUVER 10kg</v>
          </cell>
          <cell r="W3296" t="str">
            <v>Ajuste</v>
          </cell>
          <cell r="X3296">
            <v>80</v>
          </cell>
          <cell r="Y3296">
            <v>800</v>
          </cell>
        </row>
        <row r="3297">
          <cell r="U3297" t="str">
            <v>L100484</v>
          </cell>
          <cell r="V3297" t="str">
            <v>FRUVER 18kg</v>
          </cell>
          <cell r="W3297" t="str">
            <v>Ajuste</v>
          </cell>
          <cell r="X3297">
            <v>1</v>
          </cell>
          <cell r="Y3297">
            <v>0</v>
          </cell>
        </row>
        <row r="3298">
          <cell r="U3298" t="str">
            <v>L106296</v>
          </cell>
          <cell r="V3298" t="str">
            <v>FRUVER 4kg</v>
          </cell>
          <cell r="W3298" t="str">
            <v>Ajuste</v>
          </cell>
          <cell r="X3298">
            <v>2</v>
          </cell>
          <cell r="Y3298">
            <v>8</v>
          </cell>
        </row>
        <row r="3299">
          <cell r="U3299" t="str">
            <v>L106716</v>
          </cell>
          <cell r="V3299" t="str">
            <v>FRUVER 5kg</v>
          </cell>
          <cell r="W3299" t="str">
            <v>Ajuste</v>
          </cell>
          <cell r="X3299">
            <v>2</v>
          </cell>
          <cell r="Y3299">
            <v>10</v>
          </cell>
        </row>
        <row r="3300">
          <cell r="U3300" t="str">
            <v>L106860</v>
          </cell>
          <cell r="V3300" t="str">
            <v>FRUVER 5kg</v>
          </cell>
          <cell r="W3300" t="str">
            <v>Ajuste</v>
          </cell>
          <cell r="X3300">
            <v>2</v>
          </cell>
          <cell r="Y3300">
            <v>10</v>
          </cell>
        </row>
        <row r="3301">
          <cell r="U3301" t="str">
            <v>L107218</v>
          </cell>
          <cell r="V3301" t="str">
            <v>FRUVER 5kg</v>
          </cell>
          <cell r="W3301" t="str">
            <v>Ajuste</v>
          </cell>
          <cell r="X3301">
            <v>7</v>
          </cell>
          <cell r="Y3301">
            <v>35</v>
          </cell>
        </row>
        <row r="3302">
          <cell r="U3302" t="str">
            <v>L106295</v>
          </cell>
          <cell r="V3302" t="str">
            <v>FRUVER 8kg</v>
          </cell>
          <cell r="W3302" t="str">
            <v>Ajuste</v>
          </cell>
          <cell r="X3302">
            <v>20</v>
          </cell>
          <cell r="Y3302">
            <v>160</v>
          </cell>
        </row>
        <row r="3303">
          <cell r="U3303" t="str">
            <v>L106717</v>
          </cell>
          <cell r="V3303" t="str">
            <v>FRUVER 8kg</v>
          </cell>
          <cell r="W3303" t="str">
            <v>Ajuste</v>
          </cell>
          <cell r="X3303">
            <v>2</v>
          </cell>
          <cell r="Y3303">
            <v>16</v>
          </cell>
        </row>
        <row r="3304">
          <cell r="U3304" t="str">
            <v>L106487</v>
          </cell>
          <cell r="V3304" t="str">
            <v>Galleta kg</v>
          </cell>
          <cell r="W3304" t="str">
            <v>Ajuste</v>
          </cell>
          <cell r="X3304">
            <v>31</v>
          </cell>
          <cell r="Y3304">
            <v>31</v>
          </cell>
        </row>
        <row r="3305">
          <cell r="U3305" t="str">
            <v>L106488</v>
          </cell>
          <cell r="V3305" t="str">
            <v>Galleta kg</v>
          </cell>
          <cell r="W3305" t="str">
            <v>Ajuste</v>
          </cell>
          <cell r="X3305">
            <v>12</v>
          </cell>
          <cell r="Y3305">
            <v>12</v>
          </cell>
        </row>
        <row r="3306">
          <cell r="U3306" t="str">
            <v>L107011</v>
          </cell>
          <cell r="V3306" t="str">
            <v>Galleta kg</v>
          </cell>
          <cell r="W3306" t="str">
            <v>Ajuste</v>
          </cell>
          <cell r="X3306">
            <v>0.5</v>
          </cell>
          <cell r="Y3306">
            <v>0.5</v>
          </cell>
        </row>
        <row r="3307">
          <cell r="U3307" t="str">
            <v>L106549</v>
          </cell>
          <cell r="V3307" t="str">
            <v>GAREO - UNIDAD</v>
          </cell>
          <cell r="W3307" t="str">
            <v>Ajuste</v>
          </cell>
          <cell r="X3307">
            <v>2</v>
          </cell>
          <cell r="Y3307">
            <v>36</v>
          </cell>
        </row>
        <row r="3308">
          <cell r="U3308" t="str">
            <v>L106427</v>
          </cell>
          <cell r="V3308" t="str">
            <v>GD2G - UNIDAD</v>
          </cell>
          <cell r="W3308" t="str">
            <v>Ajuste</v>
          </cell>
          <cell r="X3308">
            <v>87</v>
          </cell>
          <cell r="Y3308">
            <v>1957.5</v>
          </cell>
        </row>
        <row r="3309">
          <cell r="U3309" t="str">
            <v>L106427</v>
          </cell>
          <cell r="V3309" t="str">
            <v>GD2G - UNIDAD</v>
          </cell>
          <cell r="W3309" t="str">
            <v>Uso del BAP</v>
          </cell>
          <cell r="X3309">
            <v>2</v>
          </cell>
          <cell r="Y3309">
            <v>45</v>
          </cell>
        </row>
        <row r="3310">
          <cell r="U3310" t="str">
            <v>L106547</v>
          </cell>
          <cell r="V3310" t="str">
            <v>GD5G - UNIDAD</v>
          </cell>
          <cell r="W3310" t="str">
            <v>Ajuste</v>
          </cell>
          <cell r="X3310">
            <v>2</v>
          </cell>
          <cell r="Y3310">
            <v>76</v>
          </cell>
        </row>
        <row r="3311">
          <cell r="U3311" t="str">
            <v>L106433</v>
          </cell>
          <cell r="V3311" t="str">
            <v>GERB 2Kg</v>
          </cell>
          <cell r="W3311" t="str">
            <v>Ajuste</v>
          </cell>
          <cell r="X3311">
            <v>32</v>
          </cell>
          <cell r="Y3311">
            <v>64</v>
          </cell>
        </row>
        <row r="3312">
          <cell r="U3312" t="str">
            <v>L106961</v>
          </cell>
          <cell r="V3312" t="str">
            <v>GLDJ 1kg</v>
          </cell>
          <cell r="W3312" t="str">
            <v>Ajuste</v>
          </cell>
          <cell r="X3312">
            <v>7</v>
          </cell>
          <cell r="Y3312">
            <v>7</v>
          </cell>
        </row>
        <row r="3313">
          <cell r="U3313" t="str">
            <v>L106556</v>
          </cell>
          <cell r="V3313" t="str">
            <v>GLDJ 3Kg Caja</v>
          </cell>
          <cell r="W3313" t="str">
            <v>Ajuste</v>
          </cell>
          <cell r="X3313">
            <v>1</v>
          </cell>
          <cell r="Y3313">
            <v>3</v>
          </cell>
        </row>
        <row r="3314">
          <cell r="U3314" t="str">
            <v>L106557</v>
          </cell>
          <cell r="V3314" t="str">
            <v>GLDJ 3Kg Caja</v>
          </cell>
          <cell r="W3314" t="str">
            <v>Ajuste</v>
          </cell>
          <cell r="X3314">
            <v>2</v>
          </cell>
          <cell r="Y3314">
            <v>6</v>
          </cell>
        </row>
        <row r="3315">
          <cell r="U3315" t="str">
            <v>L106616</v>
          </cell>
          <cell r="V3315" t="str">
            <v>GLT 2kg</v>
          </cell>
          <cell r="W3315" t="str">
            <v>Ajuste</v>
          </cell>
          <cell r="X3315">
            <v>4</v>
          </cell>
          <cell r="Y3315">
            <v>8</v>
          </cell>
        </row>
        <row r="3316">
          <cell r="U3316" t="str">
            <v>L106788</v>
          </cell>
          <cell r="V3316" t="str">
            <v>GLV 1kg</v>
          </cell>
          <cell r="W3316" t="str">
            <v>Ajuste</v>
          </cell>
          <cell r="X3316">
            <v>2</v>
          </cell>
          <cell r="Y3316">
            <v>2</v>
          </cell>
        </row>
        <row r="3317">
          <cell r="U3317" t="str">
            <v>L106789</v>
          </cell>
          <cell r="V3317" t="str">
            <v>GLV 1kg</v>
          </cell>
          <cell r="W3317" t="str">
            <v>Ajuste</v>
          </cell>
          <cell r="X3317">
            <v>2</v>
          </cell>
          <cell r="Y3317">
            <v>2</v>
          </cell>
        </row>
        <row r="3318">
          <cell r="U3318" t="str">
            <v>L106790</v>
          </cell>
          <cell r="V3318" t="str">
            <v>GLV 1kg</v>
          </cell>
          <cell r="W3318" t="str">
            <v>Ajuste</v>
          </cell>
          <cell r="X3318">
            <v>4</v>
          </cell>
          <cell r="Y3318">
            <v>4</v>
          </cell>
        </row>
        <row r="3319">
          <cell r="U3319" t="str">
            <v>L106609</v>
          </cell>
          <cell r="V3319" t="str">
            <v>GLV 2kg</v>
          </cell>
          <cell r="W3319" t="str">
            <v>Ajuste</v>
          </cell>
          <cell r="X3319">
            <v>97</v>
          </cell>
          <cell r="Y3319">
            <v>194</v>
          </cell>
        </row>
        <row r="3320">
          <cell r="U3320" t="str">
            <v>L107301</v>
          </cell>
          <cell r="V3320" t="str">
            <v>GLV 2kg</v>
          </cell>
          <cell r="W3320" t="str">
            <v>Ajuste</v>
          </cell>
          <cell r="X3320">
            <v>5</v>
          </cell>
          <cell r="Y3320">
            <v>10</v>
          </cell>
        </row>
        <row r="3321">
          <cell r="U3321" t="str">
            <v>L107302</v>
          </cell>
          <cell r="V3321" t="str">
            <v>GLV 2kg</v>
          </cell>
          <cell r="W3321" t="str">
            <v>Ajuste</v>
          </cell>
          <cell r="X3321">
            <v>4</v>
          </cell>
          <cell r="Y3321">
            <v>8</v>
          </cell>
        </row>
        <row r="3322">
          <cell r="U3322" t="str">
            <v>L107303</v>
          </cell>
          <cell r="V3322" t="str">
            <v>GLV 2kg</v>
          </cell>
          <cell r="W3322" t="str">
            <v>Ajuste</v>
          </cell>
          <cell r="X3322">
            <v>4</v>
          </cell>
          <cell r="Y3322">
            <v>8</v>
          </cell>
        </row>
        <row r="3323">
          <cell r="U3323" t="str">
            <v>L107304</v>
          </cell>
          <cell r="V3323" t="str">
            <v>GLV 2kg</v>
          </cell>
          <cell r="W3323" t="str">
            <v>Ajuste</v>
          </cell>
          <cell r="X3323">
            <v>2</v>
          </cell>
          <cell r="Y3323">
            <v>4</v>
          </cell>
        </row>
        <row r="3324">
          <cell r="U3324" t="str">
            <v>L107305</v>
          </cell>
          <cell r="V3324" t="str">
            <v>GLV 2kg</v>
          </cell>
          <cell r="W3324" t="str">
            <v>Ajuste</v>
          </cell>
          <cell r="X3324">
            <v>3</v>
          </cell>
          <cell r="Y3324">
            <v>6</v>
          </cell>
        </row>
        <row r="3325">
          <cell r="U3325" t="str">
            <v>L107306</v>
          </cell>
          <cell r="V3325" t="str">
            <v>GLV 2kg</v>
          </cell>
          <cell r="W3325" t="str">
            <v>Ajuste</v>
          </cell>
          <cell r="X3325">
            <v>3</v>
          </cell>
          <cell r="Y3325">
            <v>6</v>
          </cell>
        </row>
        <row r="3326">
          <cell r="U3326" t="str">
            <v>L107307</v>
          </cell>
          <cell r="V3326" t="str">
            <v>GLV 2kg</v>
          </cell>
          <cell r="W3326" t="str">
            <v>Ajuste</v>
          </cell>
          <cell r="X3326">
            <v>1</v>
          </cell>
          <cell r="Y3326">
            <v>2</v>
          </cell>
        </row>
        <row r="3327">
          <cell r="U3327" t="str">
            <v>L106862</v>
          </cell>
          <cell r="V3327" t="str">
            <v>GRA</v>
          </cell>
          <cell r="W3327" t="str">
            <v>Ajuste</v>
          </cell>
          <cell r="X3327">
            <v>2</v>
          </cell>
          <cell r="Y3327">
            <v>0.02</v>
          </cell>
        </row>
        <row r="3328">
          <cell r="U3328" t="str">
            <v>L106870</v>
          </cell>
          <cell r="V3328" t="str">
            <v>GRA</v>
          </cell>
          <cell r="W3328" t="str">
            <v>Ajuste</v>
          </cell>
          <cell r="X3328">
            <v>2</v>
          </cell>
          <cell r="Y3328">
            <v>0.02</v>
          </cell>
        </row>
        <row r="3329">
          <cell r="U3329" t="str">
            <v>L106871</v>
          </cell>
          <cell r="V3329" t="str">
            <v>GRA</v>
          </cell>
          <cell r="W3329" t="str">
            <v>Ajuste</v>
          </cell>
          <cell r="X3329">
            <v>2</v>
          </cell>
          <cell r="Y3329">
            <v>0.02</v>
          </cell>
        </row>
        <row r="3330">
          <cell r="U3330" t="str">
            <v>L106872</v>
          </cell>
          <cell r="V3330" t="str">
            <v>GRA</v>
          </cell>
          <cell r="W3330" t="str">
            <v>Ajuste</v>
          </cell>
          <cell r="X3330">
            <v>2</v>
          </cell>
          <cell r="Y3330">
            <v>0.02</v>
          </cell>
        </row>
        <row r="3331">
          <cell r="U3331" t="str">
            <v>L106951</v>
          </cell>
          <cell r="V3331" t="str">
            <v>GRA</v>
          </cell>
          <cell r="W3331" t="str">
            <v>Ajuste</v>
          </cell>
          <cell r="X3331">
            <v>2</v>
          </cell>
          <cell r="Y3331">
            <v>0.02</v>
          </cell>
        </row>
        <row r="3332">
          <cell r="U3332" t="str">
            <v>L107362</v>
          </cell>
          <cell r="V3332" t="str">
            <v>GRA</v>
          </cell>
          <cell r="W3332" t="str">
            <v>Ajuste</v>
          </cell>
          <cell r="X3332">
            <v>1</v>
          </cell>
          <cell r="Y3332">
            <v>0.01</v>
          </cell>
        </row>
        <row r="3333">
          <cell r="U3333" t="str">
            <v>L106304</v>
          </cell>
          <cell r="V3333" t="str">
            <v>GST 3kg</v>
          </cell>
          <cell r="W3333" t="str">
            <v>Ajuste</v>
          </cell>
          <cell r="X3333">
            <v>6</v>
          </cell>
          <cell r="Y3333">
            <v>18</v>
          </cell>
        </row>
        <row r="3334">
          <cell r="U3334" t="str">
            <v>L106449</v>
          </cell>
          <cell r="V3334" t="str">
            <v>GTA 1.5kg-CAJA</v>
          </cell>
          <cell r="W3334" t="str">
            <v>Ajuste</v>
          </cell>
          <cell r="X3334">
            <v>2</v>
          </cell>
          <cell r="Y3334">
            <v>3</v>
          </cell>
        </row>
        <row r="3335">
          <cell r="U3335" t="str">
            <v>L106795</v>
          </cell>
          <cell r="V3335" t="str">
            <v>GTA 1kg-CAJA</v>
          </cell>
          <cell r="W3335" t="str">
            <v>Ajuste</v>
          </cell>
          <cell r="X3335">
            <v>4</v>
          </cell>
          <cell r="Y3335">
            <v>4</v>
          </cell>
        </row>
        <row r="3336">
          <cell r="U3336" t="str">
            <v>L106791</v>
          </cell>
          <cell r="V3336" t="str">
            <v>GTA 1kg-CAJA</v>
          </cell>
          <cell r="W3336" t="str">
            <v>Ajuste</v>
          </cell>
          <cell r="X3336">
            <v>31</v>
          </cell>
          <cell r="Y3336">
            <v>31</v>
          </cell>
        </row>
        <row r="3337">
          <cell r="U3337" t="str">
            <v>L106748</v>
          </cell>
          <cell r="V3337" t="str">
            <v>GTA 1kg-CAJA</v>
          </cell>
          <cell r="W3337" t="str">
            <v>Ajuste</v>
          </cell>
          <cell r="X3337">
            <v>39</v>
          </cell>
          <cell r="Y3337">
            <v>39</v>
          </cell>
        </row>
        <row r="3338">
          <cell r="U3338" t="str">
            <v>L106749</v>
          </cell>
          <cell r="V3338" t="str">
            <v>GTA 1kg-CAJA</v>
          </cell>
          <cell r="W3338" t="str">
            <v>Ajuste</v>
          </cell>
          <cell r="X3338">
            <v>4</v>
          </cell>
          <cell r="Y3338">
            <v>4</v>
          </cell>
        </row>
        <row r="3339">
          <cell r="U3339" t="str">
            <v>L106755</v>
          </cell>
          <cell r="V3339" t="str">
            <v>GTA 1kg-CAJA</v>
          </cell>
          <cell r="W3339" t="str">
            <v>Ajuste</v>
          </cell>
          <cell r="X3339">
            <v>6</v>
          </cell>
          <cell r="Y3339">
            <v>6</v>
          </cell>
        </row>
        <row r="3340">
          <cell r="U3340" t="str">
            <v>L106792</v>
          </cell>
          <cell r="V3340" t="str">
            <v>GTA 1kg-CAJA</v>
          </cell>
          <cell r="W3340" t="str">
            <v>Ajuste</v>
          </cell>
          <cell r="X3340">
            <v>4</v>
          </cell>
          <cell r="Y3340">
            <v>4</v>
          </cell>
        </row>
        <row r="3341">
          <cell r="U3341" t="str">
            <v>L106793</v>
          </cell>
          <cell r="V3341" t="str">
            <v>GTA 1kg-CAJA</v>
          </cell>
          <cell r="W3341" t="str">
            <v>Ajuste</v>
          </cell>
          <cell r="X3341">
            <v>8</v>
          </cell>
          <cell r="Y3341">
            <v>8</v>
          </cell>
        </row>
        <row r="3342">
          <cell r="U3342" t="str">
            <v>L106794</v>
          </cell>
          <cell r="V3342" t="str">
            <v>GTA 1kg-CAJA</v>
          </cell>
          <cell r="W3342" t="str">
            <v>Ajuste</v>
          </cell>
          <cell r="X3342">
            <v>2</v>
          </cell>
          <cell r="Y3342">
            <v>2</v>
          </cell>
        </row>
        <row r="3343">
          <cell r="U3343" t="str">
            <v>L106806</v>
          </cell>
          <cell r="V3343" t="str">
            <v>GTA 1kg-CAJA</v>
          </cell>
          <cell r="W3343" t="str">
            <v>Ajuste</v>
          </cell>
          <cell r="X3343">
            <v>18</v>
          </cell>
          <cell r="Y3343">
            <v>18</v>
          </cell>
        </row>
        <row r="3344">
          <cell r="U3344" t="str">
            <v>L106807</v>
          </cell>
          <cell r="V3344" t="str">
            <v>GTA 1kg-CAJA</v>
          </cell>
          <cell r="W3344" t="str">
            <v>Ajuste</v>
          </cell>
          <cell r="X3344">
            <v>2</v>
          </cell>
          <cell r="Y3344">
            <v>2</v>
          </cell>
        </row>
        <row r="3345">
          <cell r="U3345" t="str">
            <v>L106808</v>
          </cell>
          <cell r="V3345" t="str">
            <v>GTA 1kg-CAJA</v>
          </cell>
          <cell r="W3345" t="str">
            <v>Ajuste</v>
          </cell>
          <cell r="X3345">
            <v>2</v>
          </cell>
          <cell r="Y3345">
            <v>2</v>
          </cell>
        </row>
        <row r="3346">
          <cell r="U3346" t="str">
            <v>L106809</v>
          </cell>
          <cell r="V3346" t="str">
            <v>GTA 1kg-CAJA</v>
          </cell>
          <cell r="W3346" t="str">
            <v>Ajuste</v>
          </cell>
          <cell r="X3346">
            <v>2</v>
          </cell>
          <cell r="Y3346">
            <v>2</v>
          </cell>
        </row>
        <row r="3347">
          <cell r="U3347" t="str">
            <v>L106810</v>
          </cell>
          <cell r="V3347" t="str">
            <v>GTA 1kg-CAJA</v>
          </cell>
          <cell r="W3347" t="str">
            <v>Ajuste</v>
          </cell>
          <cell r="X3347">
            <v>2</v>
          </cell>
          <cell r="Y3347">
            <v>2</v>
          </cell>
        </row>
        <row r="3348">
          <cell r="U3348" t="str">
            <v>L106811</v>
          </cell>
          <cell r="V3348" t="str">
            <v>GTA 1kg-CAJA</v>
          </cell>
          <cell r="W3348" t="str">
            <v>Ajuste</v>
          </cell>
          <cell r="X3348">
            <v>2</v>
          </cell>
          <cell r="Y3348">
            <v>2</v>
          </cell>
        </row>
        <row r="3349">
          <cell r="U3349" t="str">
            <v>L106812</v>
          </cell>
          <cell r="V3349" t="str">
            <v>GTA 1kg-CAJA</v>
          </cell>
          <cell r="W3349" t="str">
            <v>Ajuste</v>
          </cell>
          <cell r="X3349">
            <v>2</v>
          </cell>
          <cell r="Y3349">
            <v>2</v>
          </cell>
        </row>
        <row r="3350">
          <cell r="U3350" t="str">
            <v>L106813</v>
          </cell>
          <cell r="V3350" t="str">
            <v>GTA 1kg-CAJA</v>
          </cell>
          <cell r="W3350" t="str">
            <v>Ajuste</v>
          </cell>
          <cell r="X3350">
            <v>2</v>
          </cell>
          <cell r="Y3350">
            <v>2</v>
          </cell>
        </row>
        <row r="3351">
          <cell r="U3351" t="str">
            <v>L107000</v>
          </cell>
          <cell r="V3351" t="str">
            <v>GTA 1kg-CAJA</v>
          </cell>
          <cell r="W3351" t="str">
            <v>Ajuste</v>
          </cell>
          <cell r="X3351">
            <v>5</v>
          </cell>
          <cell r="Y3351">
            <v>5</v>
          </cell>
        </row>
        <row r="3352">
          <cell r="U3352" t="str">
            <v>L107004</v>
          </cell>
          <cell r="V3352" t="str">
            <v>GTA 1kg-CAJA</v>
          </cell>
          <cell r="W3352" t="str">
            <v>Ajuste</v>
          </cell>
          <cell r="X3352">
            <v>4</v>
          </cell>
          <cell r="Y3352">
            <v>4</v>
          </cell>
        </row>
        <row r="3353">
          <cell r="U3353" t="str">
            <v>L107133</v>
          </cell>
          <cell r="V3353" t="str">
            <v>GTA 1kg-CAJA</v>
          </cell>
          <cell r="W3353" t="str">
            <v>Ajuste</v>
          </cell>
          <cell r="X3353">
            <v>343</v>
          </cell>
          <cell r="Y3353">
            <v>343</v>
          </cell>
        </row>
        <row r="3354">
          <cell r="U3354" t="str">
            <v>L107277</v>
          </cell>
          <cell r="V3354" t="str">
            <v>GTA 1kg-CAJA</v>
          </cell>
          <cell r="W3354" t="str">
            <v>Ajuste</v>
          </cell>
          <cell r="X3354">
            <v>4</v>
          </cell>
          <cell r="Y3354">
            <v>4</v>
          </cell>
        </row>
        <row r="3355">
          <cell r="U3355" t="str">
            <v>L107359</v>
          </cell>
          <cell r="V3355" t="str">
            <v>GTA 1kg-CAJA</v>
          </cell>
          <cell r="W3355" t="str">
            <v>Ajuste</v>
          </cell>
          <cell r="X3355">
            <v>2</v>
          </cell>
          <cell r="Y3355">
            <v>2</v>
          </cell>
        </row>
        <row r="3356">
          <cell r="U3356" t="str">
            <v>L107360</v>
          </cell>
          <cell r="V3356" t="str">
            <v>GTA 1kg-CAJA</v>
          </cell>
          <cell r="W3356" t="str">
            <v>Ajuste</v>
          </cell>
          <cell r="X3356">
            <v>1</v>
          </cell>
          <cell r="Y3356">
            <v>1</v>
          </cell>
        </row>
        <row r="3357">
          <cell r="U3357" t="str">
            <v>L107361</v>
          </cell>
          <cell r="V3357" t="str">
            <v>GTA 1kg-CAJA</v>
          </cell>
          <cell r="W3357" t="str">
            <v>Ajuste</v>
          </cell>
          <cell r="X3357">
            <v>2</v>
          </cell>
          <cell r="Y3357">
            <v>2</v>
          </cell>
        </row>
        <row r="3358">
          <cell r="U3358" t="str">
            <v>L106307</v>
          </cell>
          <cell r="V3358" t="str">
            <v>GTA 2kg-CAJA</v>
          </cell>
          <cell r="W3358" t="str">
            <v>Ajuste</v>
          </cell>
          <cell r="X3358">
            <v>5</v>
          </cell>
          <cell r="Y3358">
            <v>10</v>
          </cell>
        </row>
        <row r="3359">
          <cell r="U3359" t="str">
            <v>L107355</v>
          </cell>
          <cell r="V3359" t="str">
            <v>GTA 2kg-CAJA</v>
          </cell>
          <cell r="W3359" t="str">
            <v>Ajuste</v>
          </cell>
          <cell r="X3359">
            <v>2</v>
          </cell>
          <cell r="Y3359">
            <v>4</v>
          </cell>
        </row>
        <row r="3360">
          <cell r="U3360" t="str">
            <v>L107007</v>
          </cell>
          <cell r="V3360" t="str">
            <v>GTA 2kg-CAJA</v>
          </cell>
          <cell r="W3360" t="str">
            <v>Ajuste</v>
          </cell>
          <cell r="X3360">
            <v>3</v>
          </cell>
          <cell r="Y3360">
            <v>6</v>
          </cell>
        </row>
        <row r="3361">
          <cell r="U3361" t="str">
            <v>L106750</v>
          </cell>
          <cell r="V3361" t="str">
            <v>GTA 2kg-CAJA</v>
          </cell>
          <cell r="W3361" t="str">
            <v>Ajuste</v>
          </cell>
          <cell r="X3361">
            <v>8</v>
          </cell>
          <cell r="Y3361">
            <v>16</v>
          </cell>
        </row>
        <row r="3362">
          <cell r="U3362" t="str">
            <v>L106768</v>
          </cell>
          <cell r="V3362" t="str">
            <v>GTA 2kg-CAJA</v>
          </cell>
          <cell r="W3362" t="str">
            <v>Ajuste</v>
          </cell>
          <cell r="X3362">
            <v>30</v>
          </cell>
          <cell r="Y3362">
            <v>60</v>
          </cell>
        </row>
        <row r="3363">
          <cell r="U3363" t="str">
            <v>L106769</v>
          </cell>
          <cell r="V3363" t="str">
            <v>GTA 2kg-CAJA</v>
          </cell>
          <cell r="W3363" t="str">
            <v>Ajuste</v>
          </cell>
          <cell r="X3363">
            <v>50</v>
          </cell>
          <cell r="Y3363">
            <v>100</v>
          </cell>
        </row>
        <row r="3364">
          <cell r="U3364" t="str">
            <v>L107001</v>
          </cell>
          <cell r="V3364" t="str">
            <v>GTA 2kg-CAJA</v>
          </cell>
          <cell r="W3364" t="str">
            <v>Ajuste</v>
          </cell>
          <cell r="X3364">
            <v>2</v>
          </cell>
          <cell r="Y3364">
            <v>4</v>
          </cell>
        </row>
        <row r="3365">
          <cell r="U3365" t="str">
            <v>L107356</v>
          </cell>
          <cell r="V3365" t="str">
            <v>GTA 2kg-CAJA</v>
          </cell>
          <cell r="W3365" t="str">
            <v>Ajuste</v>
          </cell>
          <cell r="X3365">
            <v>1</v>
          </cell>
          <cell r="Y3365">
            <v>2</v>
          </cell>
        </row>
        <row r="3366">
          <cell r="U3366" t="str">
            <v>L107134</v>
          </cell>
          <cell r="V3366" t="str">
            <v>GTA 3.5kg-CAJA</v>
          </cell>
          <cell r="W3366" t="str">
            <v>Ajuste</v>
          </cell>
          <cell r="X3366">
            <v>78</v>
          </cell>
          <cell r="Y3366">
            <v>273</v>
          </cell>
        </row>
        <row r="3367">
          <cell r="U3367" t="str">
            <v>L106503</v>
          </cell>
          <cell r="V3367" t="str">
            <v>GTA 3kg-CAJA</v>
          </cell>
          <cell r="W3367" t="str">
            <v>Ajuste</v>
          </cell>
          <cell r="X3367">
            <v>2</v>
          </cell>
          <cell r="Y3367">
            <v>6</v>
          </cell>
        </row>
        <row r="3368">
          <cell r="U3368" t="str">
            <v>L106499</v>
          </cell>
          <cell r="V3368" t="str">
            <v>GTA 4kg-CAJA</v>
          </cell>
          <cell r="W3368" t="str">
            <v>Ajuste</v>
          </cell>
          <cell r="X3368">
            <v>161</v>
          </cell>
          <cell r="Y3368">
            <v>644</v>
          </cell>
        </row>
        <row r="3369">
          <cell r="U3369" t="str">
            <v>L106502</v>
          </cell>
          <cell r="V3369" t="str">
            <v>GTA 4kg-CAJA</v>
          </cell>
          <cell r="W3369" t="str">
            <v>Ajuste</v>
          </cell>
          <cell r="X3369">
            <v>100</v>
          </cell>
          <cell r="Y3369">
            <v>400</v>
          </cell>
        </row>
        <row r="3370">
          <cell r="U3370" t="str">
            <v>L106895</v>
          </cell>
          <cell r="V3370" t="str">
            <v>Guandu kg</v>
          </cell>
          <cell r="W3370" t="str">
            <v>Ajuste</v>
          </cell>
          <cell r="X3370">
            <v>8</v>
          </cell>
          <cell r="Y3370">
            <v>8</v>
          </cell>
        </row>
        <row r="3371">
          <cell r="U3371" t="str">
            <v>L107397</v>
          </cell>
          <cell r="V3371" t="str">
            <v>Guandu kg</v>
          </cell>
          <cell r="W3371" t="str">
            <v>Ajuste</v>
          </cell>
          <cell r="X3371">
            <v>2.95</v>
          </cell>
          <cell r="Y3371">
            <v>2.95</v>
          </cell>
        </row>
        <row r="3372">
          <cell r="U3372" t="str">
            <v>L106071</v>
          </cell>
          <cell r="V3372" t="str">
            <v>GUD 3kg</v>
          </cell>
          <cell r="W3372" t="str">
            <v>Ajuste</v>
          </cell>
          <cell r="X3372">
            <v>2</v>
          </cell>
          <cell r="Y3372">
            <v>6</v>
          </cell>
        </row>
        <row r="3373">
          <cell r="U3373" t="str">
            <v>L106120</v>
          </cell>
          <cell r="V3373" t="str">
            <v>GUD 3kg</v>
          </cell>
          <cell r="W3373" t="str">
            <v>Ajuste</v>
          </cell>
          <cell r="X3373">
            <v>4</v>
          </cell>
          <cell r="Y3373">
            <v>12</v>
          </cell>
        </row>
        <row r="3374">
          <cell r="U3374" t="str">
            <v>L106730</v>
          </cell>
          <cell r="V3374" t="str">
            <v>GUD 3kg</v>
          </cell>
          <cell r="W3374" t="str">
            <v>Ajuste</v>
          </cell>
          <cell r="X3374">
            <v>2</v>
          </cell>
          <cell r="Y3374">
            <v>6</v>
          </cell>
        </row>
        <row r="3375">
          <cell r="U3375" t="str">
            <v>L107240</v>
          </cell>
          <cell r="V3375" t="str">
            <v>GUD 3kg</v>
          </cell>
          <cell r="W3375" t="str">
            <v>Ajuste</v>
          </cell>
          <cell r="X3375">
            <v>1</v>
          </cell>
          <cell r="Y3375">
            <v>3</v>
          </cell>
        </row>
        <row r="3376">
          <cell r="U3376" t="str">
            <v>L107102</v>
          </cell>
          <cell r="V3376" t="str">
            <v>Guisante kg</v>
          </cell>
          <cell r="W3376" t="str">
            <v>Ajuste</v>
          </cell>
          <cell r="X3376">
            <v>3.2</v>
          </cell>
          <cell r="Y3376">
            <v>3.2</v>
          </cell>
        </row>
        <row r="3377">
          <cell r="U3377" t="str">
            <v>L107399</v>
          </cell>
          <cell r="V3377" t="str">
            <v>Guisante kg</v>
          </cell>
          <cell r="W3377" t="str">
            <v>Ajuste</v>
          </cell>
          <cell r="X3377">
            <v>3.46</v>
          </cell>
          <cell r="Y3377">
            <v>3.46</v>
          </cell>
        </row>
        <row r="3378">
          <cell r="U3378" t="str">
            <v>L106560</v>
          </cell>
          <cell r="V3378" t="str">
            <v>HAV 2kg</v>
          </cell>
          <cell r="W3378" t="str">
            <v>Ajuste</v>
          </cell>
          <cell r="X3378">
            <v>2</v>
          </cell>
          <cell r="Y3378">
            <v>4</v>
          </cell>
        </row>
        <row r="3379">
          <cell r="U3379" t="str">
            <v>L106561</v>
          </cell>
          <cell r="V3379" t="str">
            <v>HAV 2kg</v>
          </cell>
          <cell r="W3379" t="str">
            <v>Ajuste</v>
          </cell>
          <cell r="X3379">
            <v>2</v>
          </cell>
          <cell r="Y3379">
            <v>4</v>
          </cell>
        </row>
        <row r="3380">
          <cell r="U3380" t="str">
            <v>L106562</v>
          </cell>
          <cell r="V3380" t="str">
            <v>HAV 2kg</v>
          </cell>
          <cell r="W3380" t="str">
            <v>Ajuste</v>
          </cell>
          <cell r="X3380">
            <v>2</v>
          </cell>
          <cell r="Y3380">
            <v>4</v>
          </cell>
        </row>
        <row r="3381">
          <cell r="U3381" t="str">
            <v>L106563</v>
          </cell>
          <cell r="V3381" t="str">
            <v>HAV 2kg</v>
          </cell>
          <cell r="W3381" t="str">
            <v>Ajuste</v>
          </cell>
          <cell r="X3381">
            <v>2</v>
          </cell>
          <cell r="Y3381">
            <v>4</v>
          </cell>
        </row>
        <row r="3382">
          <cell r="U3382" t="str">
            <v>L106564</v>
          </cell>
          <cell r="V3382" t="str">
            <v>HAV 2kg</v>
          </cell>
          <cell r="W3382" t="str">
            <v>Ajuste</v>
          </cell>
          <cell r="X3382">
            <v>4</v>
          </cell>
          <cell r="Y3382">
            <v>8</v>
          </cell>
        </row>
        <row r="3383">
          <cell r="U3383" t="str">
            <v>L106565</v>
          </cell>
          <cell r="V3383" t="str">
            <v>HAV 2kg</v>
          </cell>
          <cell r="W3383" t="str">
            <v>Ajuste</v>
          </cell>
          <cell r="X3383">
            <v>2</v>
          </cell>
          <cell r="Y3383">
            <v>4</v>
          </cell>
        </row>
        <row r="3384">
          <cell r="U3384" t="str">
            <v>L106231</v>
          </cell>
          <cell r="V3384" t="str">
            <v>HAV 3kg</v>
          </cell>
          <cell r="W3384" t="str">
            <v>Ajuste</v>
          </cell>
          <cell r="X3384">
            <v>18</v>
          </cell>
          <cell r="Y3384">
            <v>54</v>
          </cell>
        </row>
        <row r="3385">
          <cell r="U3385" t="str">
            <v>L106272</v>
          </cell>
          <cell r="V3385" t="str">
            <v>HAV 5kg-CAJA</v>
          </cell>
          <cell r="W3385" t="str">
            <v>Ajuste</v>
          </cell>
          <cell r="X3385">
            <v>119</v>
          </cell>
          <cell r="Y3385">
            <v>595</v>
          </cell>
        </row>
        <row r="3386">
          <cell r="U3386" t="str">
            <v>L107380</v>
          </cell>
          <cell r="V3386" t="str">
            <v>HAV PD 25kg-Unidad</v>
          </cell>
          <cell r="W3386" t="str">
            <v>Ajuste</v>
          </cell>
          <cell r="X3386">
            <v>60</v>
          </cell>
          <cell r="Y3386">
            <v>1500</v>
          </cell>
        </row>
        <row r="3387">
          <cell r="U3387" t="str">
            <v>L107158</v>
          </cell>
          <cell r="V3387" t="str">
            <v>HAV PD 25kg-Unidad</v>
          </cell>
          <cell r="W3387" t="str">
            <v>Ajuste</v>
          </cell>
          <cell r="X3387">
            <v>8</v>
          </cell>
          <cell r="Y3387">
            <v>200</v>
          </cell>
        </row>
        <row r="3388">
          <cell r="U3388" t="str">
            <v>L106247</v>
          </cell>
          <cell r="V3388" t="str">
            <v>HDG 2flt x 30uds</v>
          </cell>
          <cell r="W3388" t="str">
            <v>Ajuste</v>
          </cell>
          <cell r="X3388">
            <v>100</v>
          </cell>
          <cell r="Y3388">
            <v>500</v>
          </cell>
        </row>
        <row r="3389">
          <cell r="U3389" t="str">
            <v>L106263</v>
          </cell>
          <cell r="V3389" t="str">
            <v>HGC 30 DOC</v>
          </cell>
          <cell r="W3389" t="str">
            <v>Ajuste</v>
          </cell>
          <cell r="X3389">
            <v>2</v>
          </cell>
          <cell r="Y3389">
            <v>48</v>
          </cell>
        </row>
        <row r="3390">
          <cell r="U3390" t="str">
            <v>L106970</v>
          </cell>
          <cell r="V3390" t="str">
            <v>HGC 30 DOC</v>
          </cell>
          <cell r="W3390" t="str">
            <v>Ajuste</v>
          </cell>
          <cell r="X3390">
            <v>30</v>
          </cell>
          <cell r="Y3390">
            <v>720</v>
          </cell>
        </row>
        <row r="3391">
          <cell r="U3391" t="str">
            <v>L107292</v>
          </cell>
          <cell r="V3391" t="str">
            <v>HGC 30 DOC</v>
          </cell>
          <cell r="W3391" t="str">
            <v>Ajuste</v>
          </cell>
          <cell r="X3391">
            <v>4</v>
          </cell>
          <cell r="Y3391">
            <v>96</v>
          </cell>
        </row>
        <row r="3392">
          <cell r="U3392" t="str">
            <v>L106950</v>
          </cell>
          <cell r="V3392" t="str">
            <v>HIDP 7KG</v>
          </cell>
          <cell r="W3392" t="str">
            <v>Ajuste</v>
          </cell>
          <cell r="X3392">
            <v>60</v>
          </cell>
          <cell r="Y3392">
            <v>420</v>
          </cell>
        </row>
        <row r="3393">
          <cell r="U3393" t="str">
            <v>L106605</v>
          </cell>
          <cell r="V3393" t="str">
            <v>HMBP 12kg</v>
          </cell>
          <cell r="W3393" t="str">
            <v>Ajuste</v>
          </cell>
          <cell r="X3393">
            <v>154</v>
          </cell>
          <cell r="Y3393">
            <v>1848</v>
          </cell>
        </row>
        <row r="3394">
          <cell r="U3394" t="str">
            <v>L106305</v>
          </cell>
          <cell r="V3394" t="str">
            <v>HNG 3kg-CAJA</v>
          </cell>
          <cell r="W3394" t="str">
            <v>Ajuste</v>
          </cell>
          <cell r="X3394">
            <v>8</v>
          </cell>
          <cell r="Y3394">
            <v>24</v>
          </cell>
        </row>
        <row r="3395">
          <cell r="U3395" t="str">
            <v>L106727</v>
          </cell>
          <cell r="V3395" t="str">
            <v>HNG 3kg-CAJA</v>
          </cell>
          <cell r="W3395" t="str">
            <v>Ajuste</v>
          </cell>
          <cell r="X3395">
            <v>2</v>
          </cell>
          <cell r="Y3395">
            <v>6</v>
          </cell>
        </row>
        <row r="3396">
          <cell r="U3396" t="str">
            <v>L107076</v>
          </cell>
          <cell r="V3396" t="str">
            <v>HNG 3kg-CAJA</v>
          </cell>
          <cell r="W3396" t="str">
            <v>Ajuste</v>
          </cell>
          <cell r="X3396">
            <v>2</v>
          </cell>
          <cell r="Y3396">
            <v>6</v>
          </cell>
        </row>
        <row r="3397">
          <cell r="U3397" t="str">
            <v>L107077</v>
          </cell>
          <cell r="V3397" t="str">
            <v>HNG 3kg-CAJA</v>
          </cell>
          <cell r="W3397" t="str">
            <v>Ajuste</v>
          </cell>
          <cell r="X3397">
            <v>1</v>
          </cell>
          <cell r="Y3397">
            <v>3</v>
          </cell>
        </row>
        <row r="3398">
          <cell r="U3398" t="str">
            <v>L107078</v>
          </cell>
          <cell r="V3398" t="str">
            <v>HNG 3kg-CAJA</v>
          </cell>
          <cell r="W3398" t="str">
            <v>Ajuste</v>
          </cell>
          <cell r="X3398">
            <v>1</v>
          </cell>
          <cell r="Y3398">
            <v>3</v>
          </cell>
        </row>
        <row r="3399">
          <cell r="U3399" t="str">
            <v>L107237</v>
          </cell>
          <cell r="V3399" t="str">
            <v>HNG 3kg-CAJA</v>
          </cell>
          <cell r="W3399" t="str">
            <v>Ajuste</v>
          </cell>
          <cell r="X3399">
            <v>4</v>
          </cell>
          <cell r="Y3399">
            <v>12</v>
          </cell>
        </row>
        <row r="3400">
          <cell r="U3400" t="str">
            <v>L107098</v>
          </cell>
          <cell r="V3400" t="str">
            <v>Hongo kg</v>
          </cell>
          <cell r="W3400" t="str">
            <v>Ajuste</v>
          </cell>
          <cell r="X3400">
            <v>3</v>
          </cell>
          <cell r="Y3400">
            <v>3</v>
          </cell>
        </row>
        <row r="3401">
          <cell r="U3401" t="str">
            <v>L107396</v>
          </cell>
          <cell r="V3401" t="str">
            <v>Hongo kg</v>
          </cell>
          <cell r="W3401" t="str">
            <v>Ajuste</v>
          </cell>
          <cell r="X3401">
            <v>2.79</v>
          </cell>
          <cell r="Y3401">
            <v>2.79</v>
          </cell>
        </row>
        <row r="3402">
          <cell r="U3402" t="str">
            <v>L107318</v>
          </cell>
          <cell r="V3402" t="str">
            <v>Jabon lava platos kg</v>
          </cell>
          <cell r="W3402" t="str">
            <v>Ajuste</v>
          </cell>
          <cell r="X3402">
            <v>6.35</v>
          </cell>
          <cell r="Y3402">
            <v>6.35</v>
          </cell>
        </row>
        <row r="3403">
          <cell r="U3403" t="str">
            <v>L107320</v>
          </cell>
          <cell r="V3403" t="str">
            <v>Jabon lava platos kg</v>
          </cell>
          <cell r="W3403" t="str">
            <v>Ajuste</v>
          </cell>
          <cell r="X3403">
            <v>2.5</v>
          </cell>
          <cell r="Y3403">
            <v>2.5</v>
          </cell>
        </row>
        <row r="3404">
          <cell r="U3404" t="str">
            <v>L106893</v>
          </cell>
          <cell r="V3404" t="str">
            <v>Jamonilla kg</v>
          </cell>
          <cell r="W3404" t="str">
            <v>Ajuste</v>
          </cell>
          <cell r="X3404">
            <v>1.6</v>
          </cell>
          <cell r="Y3404">
            <v>1.6</v>
          </cell>
        </row>
        <row r="3405">
          <cell r="U3405" t="str">
            <v>L107101</v>
          </cell>
          <cell r="V3405" t="str">
            <v>Jamonilla kg</v>
          </cell>
          <cell r="W3405" t="str">
            <v>Ajuste</v>
          </cell>
          <cell r="X3405">
            <v>2.5</v>
          </cell>
          <cell r="Y3405">
            <v>2.5</v>
          </cell>
        </row>
        <row r="3406">
          <cell r="U3406" t="str">
            <v>L107195</v>
          </cell>
          <cell r="V3406" t="str">
            <v>JB 1kg</v>
          </cell>
          <cell r="W3406" t="str">
            <v>Ajuste</v>
          </cell>
          <cell r="X3406">
            <v>881</v>
          </cell>
          <cell r="Y3406">
            <v>881</v>
          </cell>
        </row>
        <row r="3407">
          <cell r="U3407" t="str">
            <v>L106899</v>
          </cell>
          <cell r="V3407" t="str">
            <v>JB 1kg</v>
          </cell>
          <cell r="W3407" t="str">
            <v>Ajuste</v>
          </cell>
          <cell r="X3407">
            <v>60</v>
          </cell>
          <cell r="Y3407">
            <v>60</v>
          </cell>
        </row>
        <row r="3408">
          <cell r="U3408" t="str">
            <v>L106900</v>
          </cell>
          <cell r="V3408" t="str">
            <v>JB 1kg</v>
          </cell>
          <cell r="W3408" t="str">
            <v>Ajuste</v>
          </cell>
          <cell r="X3408">
            <v>20</v>
          </cell>
          <cell r="Y3408">
            <v>20</v>
          </cell>
        </row>
        <row r="3409">
          <cell r="U3409" t="str">
            <v>L106901</v>
          </cell>
          <cell r="V3409" t="str">
            <v>JB 1kg</v>
          </cell>
          <cell r="W3409" t="str">
            <v>Ajuste</v>
          </cell>
          <cell r="X3409">
            <v>20</v>
          </cell>
          <cell r="Y3409">
            <v>20</v>
          </cell>
        </row>
        <row r="3410">
          <cell r="U3410" t="str">
            <v>L106902</v>
          </cell>
          <cell r="V3410" t="str">
            <v>JB 1kg</v>
          </cell>
          <cell r="W3410" t="str">
            <v>Ajuste</v>
          </cell>
          <cell r="X3410">
            <v>2</v>
          </cell>
          <cell r="Y3410">
            <v>2</v>
          </cell>
        </row>
        <row r="3411">
          <cell r="U3411" t="str">
            <v>L106930</v>
          </cell>
          <cell r="V3411" t="str">
            <v>JB 1kg</v>
          </cell>
          <cell r="W3411" t="str">
            <v>Ajuste</v>
          </cell>
          <cell r="X3411">
            <v>8</v>
          </cell>
          <cell r="Y3411">
            <v>8</v>
          </cell>
        </row>
        <row r="3412">
          <cell r="U3412" t="str">
            <v>L107080</v>
          </cell>
          <cell r="V3412" t="str">
            <v>JB 1kg</v>
          </cell>
          <cell r="W3412" t="str">
            <v>Ajuste</v>
          </cell>
          <cell r="X3412">
            <v>5</v>
          </cell>
          <cell r="Y3412">
            <v>5</v>
          </cell>
        </row>
        <row r="3413">
          <cell r="U3413" t="str">
            <v>L107314</v>
          </cell>
          <cell r="V3413" t="str">
            <v>JB 1kg</v>
          </cell>
          <cell r="W3413" t="str">
            <v>Ajuste</v>
          </cell>
          <cell r="X3413">
            <v>1</v>
          </cell>
          <cell r="Y3413">
            <v>1</v>
          </cell>
        </row>
        <row r="3414">
          <cell r="U3414" t="str">
            <v>L107325</v>
          </cell>
          <cell r="V3414" t="str">
            <v>JB 1kg</v>
          </cell>
          <cell r="W3414" t="str">
            <v>Ajuste</v>
          </cell>
          <cell r="X3414">
            <v>1</v>
          </cell>
          <cell r="Y3414">
            <v>1</v>
          </cell>
        </row>
        <row r="3415">
          <cell r="U3415" t="str">
            <v>L107326</v>
          </cell>
          <cell r="V3415" t="str">
            <v>JB 1kg</v>
          </cell>
          <cell r="W3415" t="str">
            <v>Ajuste</v>
          </cell>
          <cell r="X3415">
            <v>3</v>
          </cell>
          <cell r="Y3415">
            <v>3</v>
          </cell>
        </row>
        <row r="3416">
          <cell r="U3416" t="str">
            <v>L107327</v>
          </cell>
          <cell r="V3416" t="str">
            <v>JB 1kg</v>
          </cell>
          <cell r="W3416" t="str">
            <v>Ajuste</v>
          </cell>
          <cell r="X3416">
            <v>3</v>
          </cell>
          <cell r="Y3416">
            <v>3</v>
          </cell>
        </row>
        <row r="3417">
          <cell r="U3417" t="str">
            <v>L107351</v>
          </cell>
          <cell r="V3417" t="str">
            <v>JGNA</v>
          </cell>
          <cell r="W3417" t="str">
            <v>Ajuste</v>
          </cell>
          <cell r="X3417">
            <v>15</v>
          </cell>
          <cell r="Y3417">
            <v>15</v>
          </cell>
        </row>
        <row r="3418">
          <cell r="U3418" t="str">
            <v>L107349</v>
          </cell>
          <cell r="V3418" t="str">
            <v>JGNO</v>
          </cell>
          <cell r="W3418" t="str">
            <v>Ajuste</v>
          </cell>
          <cell r="X3418">
            <v>10</v>
          </cell>
          <cell r="Y3418">
            <v>10</v>
          </cell>
        </row>
        <row r="3419">
          <cell r="U3419" t="str">
            <v>L106753</v>
          </cell>
          <cell r="V3419" t="str">
            <v>JGO 1kg</v>
          </cell>
          <cell r="W3419" t="str">
            <v>Ajuste</v>
          </cell>
          <cell r="X3419">
            <v>22</v>
          </cell>
          <cell r="Y3419">
            <v>22</v>
          </cell>
        </row>
        <row r="3420">
          <cell r="U3420" t="str">
            <v>L106754</v>
          </cell>
          <cell r="V3420" t="str">
            <v>JGO 1kg</v>
          </cell>
          <cell r="W3420" t="str">
            <v>Ajuste</v>
          </cell>
          <cell r="X3420">
            <v>24</v>
          </cell>
          <cell r="Y3420">
            <v>24</v>
          </cell>
        </row>
        <row r="3421">
          <cell r="U3421" t="str">
            <v>L107081</v>
          </cell>
          <cell r="V3421" t="str">
            <v>JGO 2kg</v>
          </cell>
          <cell r="W3421" t="str">
            <v>Ajuste</v>
          </cell>
          <cell r="X3421">
            <v>1</v>
          </cell>
          <cell r="Y3421">
            <v>2</v>
          </cell>
        </row>
        <row r="3422">
          <cell r="U3422" t="str">
            <v>L106344</v>
          </cell>
          <cell r="V3422" t="str">
            <v>JGO 3kg-CAJA</v>
          </cell>
          <cell r="W3422" t="str">
            <v>Ajuste</v>
          </cell>
          <cell r="X3422">
            <v>12</v>
          </cell>
          <cell r="Y3422">
            <v>36</v>
          </cell>
        </row>
        <row r="3423">
          <cell r="U3423" t="str">
            <v>L106927</v>
          </cell>
          <cell r="V3423" t="str">
            <v>JLP 1kg - Caja</v>
          </cell>
          <cell r="W3423" t="str">
            <v>Ajuste</v>
          </cell>
          <cell r="X3423">
            <v>24</v>
          </cell>
          <cell r="Y3423">
            <v>24</v>
          </cell>
        </row>
        <row r="3424">
          <cell r="U3424" t="str">
            <v>L106928</v>
          </cell>
          <cell r="V3424" t="str">
            <v>JLP 1kg - Caja</v>
          </cell>
          <cell r="W3424" t="str">
            <v>Ajuste</v>
          </cell>
          <cell r="X3424">
            <v>22</v>
          </cell>
          <cell r="Y3424">
            <v>22</v>
          </cell>
        </row>
        <row r="3425">
          <cell r="U3425" t="str">
            <v>L106929</v>
          </cell>
          <cell r="V3425" t="str">
            <v>JLP 1kg - Caja</v>
          </cell>
          <cell r="W3425" t="str">
            <v>Ajuste</v>
          </cell>
          <cell r="X3425">
            <v>64</v>
          </cell>
          <cell r="Y3425">
            <v>64</v>
          </cell>
        </row>
        <row r="3426">
          <cell r="U3426" t="str">
            <v>L106255</v>
          </cell>
          <cell r="V3426" t="str">
            <v>JLP 2kg Caja</v>
          </cell>
          <cell r="W3426" t="str">
            <v>Ajuste</v>
          </cell>
          <cell r="X3426">
            <v>46</v>
          </cell>
          <cell r="Y3426">
            <v>92</v>
          </cell>
        </row>
        <row r="3427">
          <cell r="U3427" t="str">
            <v>L106756</v>
          </cell>
          <cell r="V3427" t="str">
            <v>JLP 2kg Caja</v>
          </cell>
          <cell r="W3427" t="str">
            <v>Ajuste</v>
          </cell>
          <cell r="X3427">
            <v>38</v>
          </cell>
          <cell r="Y3427">
            <v>76</v>
          </cell>
        </row>
        <row r="3428">
          <cell r="U3428" t="str">
            <v>L106834</v>
          </cell>
          <cell r="V3428" t="str">
            <v>JLP 2kg Caja</v>
          </cell>
          <cell r="W3428" t="str">
            <v>Ajuste</v>
          </cell>
          <cell r="X3428">
            <v>58</v>
          </cell>
          <cell r="Y3428">
            <v>116</v>
          </cell>
        </row>
        <row r="3429">
          <cell r="U3429" t="str">
            <v>L107324</v>
          </cell>
          <cell r="V3429" t="str">
            <v>JLP 2kg Caja</v>
          </cell>
          <cell r="W3429" t="str">
            <v>Ajuste</v>
          </cell>
          <cell r="X3429">
            <v>23</v>
          </cell>
          <cell r="Y3429">
            <v>46</v>
          </cell>
        </row>
        <row r="3430">
          <cell r="U3430" t="str">
            <v>L107315</v>
          </cell>
          <cell r="V3430" t="str">
            <v>JLPL 1.5kg - UNIDAD</v>
          </cell>
          <cell r="W3430" t="str">
            <v>Ajuste</v>
          </cell>
          <cell r="X3430">
            <v>4</v>
          </cell>
          <cell r="Y3430">
            <v>6</v>
          </cell>
        </row>
        <row r="3431">
          <cell r="U3431" t="str">
            <v>L107256</v>
          </cell>
          <cell r="V3431" t="str">
            <v>JLPL 1kg UNIDAD</v>
          </cell>
          <cell r="W3431" t="str">
            <v>Ajuste</v>
          </cell>
          <cell r="X3431">
            <v>48</v>
          </cell>
          <cell r="Y3431">
            <v>48</v>
          </cell>
        </row>
        <row r="3432">
          <cell r="U3432" t="str">
            <v>L107262</v>
          </cell>
          <cell r="V3432" t="str">
            <v>JLPL 1kg UNIDAD</v>
          </cell>
          <cell r="W3432" t="str">
            <v>Ajuste</v>
          </cell>
          <cell r="X3432">
            <v>44</v>
          </cell>
          <cell r="Y3432">
            <v>44</v>
          </cell>
        </row>
        <row r="3433">
          <cell r="U3433" t="str">
            <v>L106925</v>
          </cell>
          <cell r="V3433" t="str">
            <v>JLPL 1kg UNIDAD</v>
          </cell>
          <cell r="W3433" t="str">
            <v>Ajuste</v>
          </cell>
          <cell r="X3433">
            <v>30</v>
          </cell>
          <cell r="Y3433">
            <v>30</v>
          </cell>
        </row>
        <row r="3434">
          <cell r="U3434" t="str">
            <v>L106926</v>
          </cell>
          <cell r="V3434" t="str">
            <v>JLPL 1kg UNIDAD</v>
          </cell>
          <cell r="W3434" t="str">
            <v>Ajuste</v>
          </cell>
          <cell r="X3434">
            <v>26</v>
          </cell>
          <cell r="Y3434">
            <v>26</v>
          </cell>
        </row>
        <row r="3435">
          <cell r="U3435" t="str">
            <v>L107259</v>
          </cell>
          <cell r="V3435" t="str">
            <v>JLPL 1kg UNIDAD</v>
          </cell>
          <cell r="W3435" t="str">
            <v>Ajuste</v>
          </cell>
          <cell r="X3435">
            <v>11</v>
          </cell>
          <cell r="Y3435">
            <v>11</v>
          </cell>
        </row>
        <row r="3436">
          <cell r="U3436" t="str">
            <v>L107261</v>
          </cell>
          <cell r="V3436" t="str">
            <v>JLPL 1kg UNIDAD</v>
          </cell>
          <cell r="W3436" t="str">
            <v>Ajuste</v>
          </cell>
          <cell r="X3436">
            <v>5</v>
          </cell>
          <cell r="Y3436">
            <v>5</v>
          </cell>
        </row>
        <row r="3437">
          <cell r="U3437" t="str">
            <v>L106258</v>
          </cell>
          <cell r="V3437" t="str">
            <v>JLPL 3kg UNIDAD</v>
          </cell>
          <cell r="W3437" t="str">
            <v>Ajuste</v>
          </cell>
          <cell r="X3437">
            <v>2</v>
          </cell>
          <cell r="Y3437">
            <v>6</v>
          </cell>
        </row>
        <row r="3438">
          <cell r="U3438" t="str">
            <v>L106845</v>
          </cell>
          <cell r="V3438" t="str">
            <v>JLPM UNI</v>
          </cell>
          <cell r="W3438" t="str">
            <v>Ajuste</v>
          </cell>
          <cell r="X3438">
            <v>24</v>
          </cell>
          <cell r="Y3438">
            <v>6.7200000000000033</v>
          </cell>
        </row>
        <row r="3439">
          <cell r="U3439" t="str">
            <v>L107328</v>
          </cell>
          <cell r="V3439" t="str">
            <v>JLPM UNI</v>
          </cell>
          <cell r="W3439" t="str">
            <v>Ajuste</v>
          </cell>
          <cell r="X3439">
            <v>8</v>
          </cell>
          <cell r="Y3439">
            <v>2.2400000000000002</v>
          </cell>
        </row>
        <row r="3440">
          <cell r="U3440" t="str">
            <v>L107353</v>
          </cell>
          <cell r="V3440" t="str">
            <v>JLPM UNI</v>
          </cell>
          <cell r="W3440" t="str">
            <v>Ajuste</v>
          </cell>
          <cell r="X3440">
            <v>24</v>
          </cell>
          <cell r="Y3440">
            <v>6.7200000000000006</v>
          </cell>
        </row>
        <row r="3441">
          <cell r="U3441" t="str">
            <v>L107354</v>
          </cell>
          <cell r="V3441" t="str">
            <v>JLQL 1L</v>
          </cell>
          <cell r="W3441" t="str">
            <v>Ajuste</v>
          </cell>
          <cell r="X3441">
            <v>2</v>
          </cell>
          <cell r="Y3441">
            <v>2</v>
          </cell>
        </row>
        <row r="3442">
          <cell r="U3442" t="str">
            <v>L103596</v>
          </cell>
          <cell r="V3442" t="str">
            <v>JMAH 4 kg</v>
          </cell>
          <cell r="W3442" t="str">
            <v>Ajuste</v>
          </cell>
          <cell r="X3442">
            <v>10</v>
          </cell>
          <cell r="Y3442">
            <v>0</v>
          </cell>
        </row>
        <row r="3443">
          <cell r="U3443" t="str">
            <v>L103661</v>
          </cell>
          <cell r="V3443" t="str">
            <v>JMAH 7 kg</v>
          </cell>
          <cell r="W3443" t="str">
            <v>Ajuste</v>
          </cell>
          <cell r="X3443">
            <v>12</v>
          </cell>
          <cell r="Y3443">
            <v>0</v>
          </cell>
        </row>
        <row r="3444">
          <cell r="U3444" t="str">
            <v>L106310</v>
          </cell>
          <cell r="V3444" t="str">
            <v>JML 1 kg-CAJA</v>
          </cell>
          <cell r="W3444" t="str">
            <v>Ajuste</v>
          </cell>
          <cell r="X3444">
            <v>4</v>
          </cell>
          <cell r="Y3444">
            <v>4</v>
          </cell>
        </row>
        <row r="3445">
          <cell r="U3445" t="str">
            <v>L106737</v>
          </cell>
          <cell r="V3445" t="str">
            <v>JML 1 kg-CAJA</v>
          </cell>
          <cell r="W3445" t="str">
            <v>Ajuste</v>
          </cell>
          <cell r="X3445">
            <v>6</v>
          </cell>
          <cell r="Y3445">
            <v>6</v>
          </cell>
        </row>
        <row r="3446">
          <cell r="U3446" t="str">
            <v>L107069</v>
          </cell>
          <cell r="V3446" t="str">
            <v>JML 1 kg-CAJA</v>
          </cell>
          <cell r="W3446" t="str">
            <v>Ajuste</v>
          </cell>
          <cell r="X3446">
            <v>4</v>
          </cell>
          <cell r="Y3446">
            <v>4</v>
          </cell>
        </row>
        <row r="3447">
          <cell r="U3447" t="str">
            <v>L107070</v>
          </cell>
          <cell r="V3447" t="str">
            <v>JML 1 kg-CAJA</v>
          </cell>
          <cell r="W3447" t="str">
            <v>Ajuste</v>
          </cell>
          <cell r="X3447">
            <v>2</v>
          </cell>
          <cell r="Y3447">
            <v>2</v>
          </cell>
        </row>
        <row r="3448">
          <cell r="U3448" t="str">
            <v>L107099</v>
          </cell>
          <cell r="V3448" t="str">
            <v>Jugo kg</v>
          </cell>
          <cell r="W3448" t="str">
            <v>Ajuste</v>
          </cell>
          <cell r="X3448">
            <v>4.2</v>
          </cell>
          <cell r="Y3448">
            <v>4.2</v>
          </cell>
        </row>
        <row r="3449">
          <cell r="U3449" t="str">
            <v>L107317</v>
          </cell>
          <cell r="V3449" t="str">
            <v>KDA - UNIDAD</v>
          </cell>
          <cell r="W3449" t="str">
            <v>Ajuste</v>
          </cell>
          <cell r="X3449">
            <v>26</v>
          </cell>
          <cell r="Y3449">
            <v>6.5</v>
          </cell>
        </row>
        <row r="3450">
          <cell r="U3450" t="str">
            <v>L107390</v>
          </cell>
          <cell r="V3450" t="str">
            <v>KDP - UNIDAD</v>
          </cell>
          <cell r="W3450" t="str">
            <v>Ajuste</v>
          </cell>
          <cell r="X3450">
            <v>11</v>
          </cell>
          <cell r="Y3450">
            <v>11</v>
          </cell>
        </row>
        <row r="3451">
          <cell r="U3451" t="str">
            <v>L106323</v>
          </cell>
          <cell r="V3451" t="str">
            <v>Ketchup kg</v>
          </cell>
          <cell r="W3451" t="str">
            <v>Ajuste</v>
          </cell>
          <cell r="X3451">
            <v>1</v>
          </cell>
          <cell r="Y3451">
            <v>1</v>
          </cell>
        </row>
        <row r="3452">
          <cell r="U3452" t="str">
            <v>L106322</v>
          </cell>
          <cell r="V3452" t="str">
            <v>KTP 1kg</v>
          </cell>
          <cell r="W3452" t="str">
            <v>Ajuste</v>
          </cell>
          <cell r="X3452">
            <v>2</v>
          </cell>
          <cell r="Y3452">
            <v>2</v>
          </cell>
        </row>
        <row r="3453">
          <cell r="U3453" t="str">
            <v>L106623</v>
          </cell>
          <cell r="V3453" t="str">
            <v>KTP 2kg</v>
          </cell>
          <cell r="W3453" t="str">
            <v>Ajuste</v>
          </cell>
          <cell r="X3453">
            <v>6</v>
          </cell>
          <cell r="Y3453">
            <v>12</v>
          </cell>
        </row>
        <row r="3454">
          <cell r="U3454" t="str">
            <v>L106624</v>
          </cell>
          <cell r="V3454" t="str">
            <v>KTP 2kg</v>
          </cell>
          <cell r="W3454" t="str">
            <v>Ajuste</v>
          </cell>
          <cell r="X3454">
            <v>2</v>
          </cell>
          <cell r="Y3454">
            <v>4</v>
          </cell>
        </row>
        <row r="3455">
          <cell r="U3455" t="str">
            <v>L106625</v>
          </cell>
          <cell r="V3455" t="str">
            <v>KTP 2kg</v>
          </cell>
          <cell r="W3455" t="str">
            <v>Ajuste</v>
          </cell>
          <cell r="X3455">
            <v>4</v>
          </cell>
          <cell r="Y3455">
            <v>8</v>
          </cell>
        </row>
        <row r="3456">
          <cell r="U3456" t="str">
            <v>L106626</v>
          </cell>
          <cell r="V3456" t="str">
            <v>KTP 2kg</v>
          </cell>
          <cell r="W3456" t="str">
            <v>Ajuste</v>
          </cell>
          <cell r="X3456">
            <v>6</v>
          </cell>
          <cell r="Y3456">
            <v>12</v>
          </cell>
        </row>
        <row r="3457">
          <cell r="U3457" t="str">
            <v>L107364</v>
          </cell>
          <cell r="V3457" t="str">
            <v>KTP 2kg</v>
          </cell>
          <cell r="W3457" t="str">
            <v>Ajuste</v>
          </cell>
          <cell r="X3457">
            <v>123</v>
          </cell>
          <cell r="Y3457">
            <v>246</v>
          </cell>
        </row>
        <row r="3458">
          <cell r="U3458" t="str">
            <v>L106617</v>
          </cell>
          <cell r="V3458" t="str">
            <v>KTP 4kg</v>
          </cell>
          <cell r="W3458" t="str">
            <v>Ajuste</v>
          </cell>
          <cell r="X3458">
            <v>4</v>
          </cell>
          <cell r="Y3458">
            <v>16</v>
          </cell>
        </row>
        <row r="3459">
          <cell r="U3459" t="str">
            <v>L106618</v>
          </cell>
          <cell r="V3459" t="str">
            <v>KTP 4kg</v>
          </cell>
          <cell r="W3459" t="str">
            <v>Ajuste</v>
          </cell>
          <cell r="X3459">
            <v>2</v>
          </cell>
          <cell r="Y3459">
            <v>8</v>
          </cell>
        </row>
        <row r="3460">
          <cell r="U3460" t="str">
            <v>L106619</v>
          </cell>
          <cell r="V3460" t="str">
            <v>KTP 4kg</v>
          </cell>
          <cell r="W3460" t="str">
            <v>Ajuste</v>
          </cell>
          <cell r="X3460">
            <v>4</v>
          </cell>
          <cell r="Y3460">
            <v>16</v>
          </cell>
        </row>
        <row r="3461">
          <cell r="U3461" t="str">
            <v>L106620</v>
          </cell>
          <cell r="V3461" t="str">
            <v>KTP 4kg</v>
          </cell>
          <cell r="W3461" t="str">
            <v>Ajuste</v>
          </cell>
          <cell r="X3461">
            <v>6</v>
          </cell>
          <cell r="Y3461">
            <v>24</v>
          </cell>
        </row>
        <row r="3462">
          <cell r="U3462" t="str">
            <v>L106621</v>
          </cell>
          <cell r="V3462" t="str">
            <v>KTP 4kg</v>
          </cell>
          <cell r="W3462" t="str">
            <v>Ajuste</v>
          </cell>
          <cell r="X3462">
            <v>4</v>
          </cell>
          <cell r="Y3462">
            <v>16</v>
          </cell>
        </row>
        <row r="3463">
          <cell r="U3463" t="str">
            <v>L106622</v>
          </cell>
          <cell r="V3463" t="str">
            <v>KTP 4kg</v>
          </cell>
          <cell r="W3463" t="str">
            <v>Ajuste</v>
          </cell>
          <cell r="X3463">
            <v>9</v>
          </cell>
          <cell r="Y3463">
            <v>36</v>
          </cell>
        </row>
        <row r="3464">
          <cell r="U3464" t="str">
            <v>L106953</v>
          </cell>
          <cell r="V3464" t="str">
            <v>KTP 4kg</v>
          </cell>
          <cell r="W3464" t="str">
            <v>Ajuste</v>
          </cell>
          <cell r="X3464">
            <v>2</v>
          </cell>
          <cell r="Y3464">
            <v>8</v>
          </cell>
        </row>
        <row r="3465">
          <cell r="U3465" t="str">
            <v>L106314</v>
          </cell>
          <cell r="V3465" t="str">
            <v>LCC 3kg-(CAJA)</v>
          </cell>
          <cell r="W3465" t="str">
            <v>Ajuste</v>
          </cell>
          <cell r="X3465">
            <v>4</v>
          </cell>
          <cell r="Y3465">
            <v>12</v>
          </cell>
        </row>
        <row r="3466">
          <cell r="U3466" t="str">
            <v>L107381</v>
          </cell>
          <cell r="V3466" t="str">
            <v>LCH 12x946mL-CAJA</v>
          </cell>
          <cell r="W3466" t="str">
            <v>Ajuste</v>
          </cell>
          <cell r="X3466">
            <v>20</v>
          </cell>
          <cell r="Y3466">
            <v>227</v>
          </cell>
        </row>
        <row r="3467">
          <cell r="U3467" t="str">
            <v>L106345</v>
          </cell>
          <cell r="V3467" t="str">
            <v>LCH 2kg-caja</v>
          </cell>
          <cell r="W3467" t="str">
            <v>Ajuste</v>
          </cell>
          <cell r="X3467">
            <v>84</v>
          </cell>
          <cell r="Y3467">
            <v>168</v>
          </cell>
        </row>
        <row r="3468">
          <cell r="U3468" t="str">
            <v>L106676</v>
          </cell>
          <cell r="V3468" t="str">
            <v>LCH 2kg-caja</v>
          </cell>
          <cell r="W3468" t="str">
            <v>Ajuste</v>
          </cell>
          <cell r="X3468">
            <v>2</v>
          </cell>
          <cell r="Y3468">
            <v>4</v>
          </cell>
        </row>
        <row r="3469">
          <cell r="U3469" t="str">
            <v>L106677</v>
          </cell>
          <cell r="V3469" t="str">
            <v>LCH 2kg-caja</v>
          </cell>
          <cell r="W3469" t="str">
            <v>Ajuste</v>
          </cell>
          <cell r="X3469">
            <v>2</v>
          </cell>
          <cell r="Y3469">
            <v>4</v>
          </cell>
        </row>
        <row r="3470">
          <cell r="U3470" t="str">
            <v>L106678</v>
          </cell>
          <cell r="V3470" t="str">
            <v>LCH 2kg-caja</v>
          </cell>
          <cell r="W3470" t="str">
            <v>Ajuste</v>
          </cell>
          <cell r="X3470">
            <v>2</v>
          </cell>
          <cell r="Y3470">
            <v>4</v>
          </cell>
        </row>
        <row r="3471">
          <cell r="U3471" t="str">
            <v>L106679</v>
          </cell>
          <cell r="V3471" t="str">
            <v>LCH 2kg-caja</v>
          </cell>
          <cell r="W3471" t="str">
            <v>Ajuste</v>
          </cell>
          <cell r="X3471">
            <v>2</v>
          </cell>
          <cell r="Y3471">
            <v>4</v>
          </cell>
        </row>
        <row r="3472">
          <cell r="U3472" t="str">
            <v>L106796</v>
          </cell>
          <cell r="V3472" t="str">
            <v>LCH 2kg-caja</v>
          </cell>
          <cell r="W3472" t="str">
            <v>Ajuste</v>
          </cell>
          <cell r="X3472">
            <v>12</v>
          </cell>
          <cell r="Y3472">
            <v>24</v>
          </cell>
        </row>
        <row r="3473">
          <cell r="U3473" t="str">
            <v>L106673</v>
          </cell>
          <cell r="V3473" t="str">
            <v>LCH 3kg</v>
          </cell>
          <cell r="W3473" t="str">
            <v>Ajuste</v>
          </cell>
          <cell r="X3473">
            <v>2</v>
          </cell>
          <cell r="Y3473">
            <v>6</v>
          </cell>
        </row>
        <row r="3474">
          <cell r="U3474" t="str">
            <v>L106674</v>
          </cell>
          <cell r="V3474" t="str">
            <v>LCH 3kg</v>
          </cell>
          <cell r="W3474" t="str">
            <v>Ajuste</v>
          </cell>
          <cell r="X3474">
            <v>2</v>
          </cell>
          <cell r="Y3474">
            <v>6</v>
          </cell>
        </row>
        <row r="3475">
          <cell r="U3475" t="str">
            <v>L106675</v>
          </cell>
          <cell r="V3475" t="str">
            <v>LCH 3kg</v>
          </cell>
          <cell r="W3475" t="str">
            <v>Ajuste</v>
          </cell>
          <cell r="X3475">
            <v>2</v>
          </cell>
          <cell r="Y3475">
            <v>6</v>
          </cell>
        </row>
        <row r="3476">
          <cell r="U3476" t="str">
            <v>L100155</v>
          </cell>
          <cell r="V3476" t="str">
            <v>LCHAY 4kg</v>
          </cell>
          <cell r="W3476" t="str">
            <v>Ajuste</v>
          </cell>
          <cell r="X3476">
            <v>2</v>
          </cell>
          <cell r="Y3476">
            <v>8</v>
          </cell>
        </row>
        <row r="3477">
          <cell r="U3477" t="str">
            <v>L100155</v>
          </cell>
          <cell r="V3477" t="str">
            <v>LCH 4kg</v>
          </cell>
          <cell r="W3477" t="str">
            <v>Ajuste</v>
          </cell>
          <cell r="X3477">
            <v>26</v>
          </cell>
          <cell r="Y3477">
            <v>104</v>
          </cell>
        </row>
        <row r="3478">
          <cell r="U3478" t="str">
            <v>L106661</v>
          </cell>
          <cell r="V3478" t="str">
            <v>LCH 4kg</v>
          </cell>
          <cell r="W3478" t="str">
            <v>Ajuste</v>
          </cell>
          <cell r="X3478">
            <v>6</v>
          </cell>
          <cell r="Y3478">
            <v>24</v>
          </cell>
        </row>
        <row r="3479">
          <cell r="U3479" t="str">
            <v>L106662</v>
          </cell>
          <cell r="V3479" t="str">
            <v>LCH 4kg</v>
          </cell>
          <cell r="W3479" t="str">
            <v>Ajuste</v>
          </cell>
          <cell r="X3479">
            <v>2</v>
          </cell>
          <cell r="Y3479">
            <v>8</v>
          </cell>
        </row>
        <row r="3480">
          <cell r="U3480" t="str">
            <v>L106663</v>
          </cell>
          <cell r="V3480" t="str">
            <v>LCH 4kg</v>
          </cell>
          <cell r="W3480" t="str">
            <v>Ajuste</v>
          </cell>
          <cell r="X3480">
            <v>6</v>
          </cell>
          <cell r="Y3480">
            <v>24</v>
          </cell>
        </row>
        <row r="3481">
          <cell r="U3481" t="str">
            <v>L106664</v>
          </cell>
          <cell r="V3481" t="str">
            <v>LCH 4kg</v>
          </cell>
          <cell r="W3481" t="str">
            <v>Ajuste</v>
          </cell>
          <cell r="X3481">
            <v>4</v>
          </cell>
          <cell r="Y3481">
            <v>16</v>
          </cell>
        </row>
        <row r="3482">
          <cell r="U3482" t="str">
            <v>L106665</v>
          </cell>
          <cell r="V3482" t="str">
            <v>LCH 4kg</v>
          </cell>
          <cell r="W3482" t="str">
            <v>Ajuste</v>
          </cell>
          <cell r="X3482">
            <v>4</v>
          </cell>
          <cell r="Y3482">
            <v>16</v>
          </cell>
        </row>
        <row r="3483">
          <cell r="U3483" t="str">
            <v>L106666</v>
          </cell>
          <cell r="V3483" t="str">
            <v>LCH 4kg</v>
          </cell>
          <cell r="W3483" t="str">
            <v>Ajuste</v>
          </cell>
          <cell r="X3483">
            <v>6</v>
          </cell>
          <cell r="Y3483">
            <v>24</v>
          </cell>
        </row>
        <row r="3484">
          <cell r="U3484" t="str">
            <v>L106667</v>
          </cell>
          <cell r="V3484" t="str">
            <v>LCH 4kg</v>
          </cell>
          <cell r="W3484" t="str">
            <v>Ajuste</v>
          </cell>
          <cell r="X3484">
            <v>14</v>
          </cell>
          <cell r="Y3484">
            <v>56</v>
          </cell>
        </row>
        <row r="3485">
          <cell r="U3485" t="str">
            <v>L106668</v>
          </cell>
          <cell r="V3485" t="str">
            <v>LCH 4kg</v>
          </cell>
          <cell r="W3485" t="str">
            <v>Ajuste</v>
          </cell>
          <cell r="X3485">
            <v>6</v>
          </cell>
          <cell r="Y3485">
            <v>24</v>
          </cell>
        </row>
        <row r="3486">
          <cell r="U3486" t="str">
            <v>L106669</v>
          </cell>
          <cell r="V3486" t="str">
            <v>LCH 4kg</v>
          </cell>
          <cell r="W3486" t="str">
            <v>Ajuste</v>
          </cell>
          <cell r="X3486">
            <v>4</v>
          </cell>
          <cell r="Y3486">
            <v>16</v>
          </cell>
        </row>
        <row r="3487">
          <cell r="U3487" t="str">
            <v>L106670</v>
          </cell>
          <cell r="V3487" t="str">
            <v>LCH 4kg</v>
          </cell>
          <cell r="W3487" t="str">
            <v>Ajuste</v>
          </cell>
          <cell r="X3487">
            <v>6</v>
          </cell>
          <cell r="Y3487">
            <v>24</v>
          </cell>
        </row>
        <row r="3488">
          <cell r="U3488" t="str">
            <v>L106671</v>
          </cell>
          <cell r="V3488" t="str">
            <v>LCH 4kg</v>
          </cell>
          <cell r="W3488" t="str">
            <v>Ajuste</v>
          </cell>
          <cell r="X3488">
            <v>10</v>
          </cell>
          <cell r="Y3488">
            <v>40</v>
          </cell>
        </row>
        <row r="3489">
          <cell r="U3489" t="str">
            <v>L106672</v>
          </cell>
          <cell r="V3489" t="str">
            <v>LCH 4kg</v>
          </cell>
          <cell r="W3489" t="str">
            <v>Ajuste</v>
          </cell>
          <cell r="X3489">
            <v>4</v>
          </cell>
          <cell r="Y3489">
            <v>16</v>
          </cell>
        </row>
        <row r="3490">
          <cell r="U3490" t="str">
            <v>L107388</v>
          </cell>
          <cell r="V3490" t="str">
            <v>LCH 4kg</v>
          </cell>
          <cell r="W3490" t="str">
            <v>Ajuste</v>
          </cell>
          <cell r="X3490">
            <v>28</v>
          </cell>
          <cell r="Y3490">
            <v>112</v>
          </cell>
        </row>
        <row r="3491">
          <cell r="U3491" t="str">
            <v>L106728</v>
          </cell>
          <cell r="V3491" t="str">
            <v>LCH EV 3kg</v>
          </cell>
          <cell r="W3491" t="str">
            <v>Ajuste</v>
          </cell>
          <cell r="X3491">
            <v>2</v>
          </cell>
          <cell r="Y3491">
            <v>6</v>
          </cell>
        </row>
        <row r="3492">
          <cell r="U3492" t="str">
            <v>L107234</v>
          </cell>
          <cell r="V3492" t="str">
            <v>LCH EV 3kg</v>
          </cell>
          <cell r="W3492" t="str">
            <v>Ajuste</v>
          </cell>
          <cell r="X3492">
            <v>1</v>
          </cell>
          <cell r="Y3492">
            <v>3</v>
          </cell>
        </row>
        <row r="3493">
          <cell r="U3493" t="str">
            <v>L107382</v>
          </cell>
          <cell r="V3493" t="str">
            <v>LCHAY 4kg</v>
          </cell>
          <cell r="W3493" t="str">
            <v>Ajuste</v>
          </cell>
          <cell r="X3493">
            <v>2</v>
          </cell>
          <cell r="Y3493">
            <v>8</v>
          </cell>
        </row>
        <row r="3494">
          <cell r="U3494" t="str">
            <v>L107383</v>
          </cell>
          <cell r="V3494" t="str">
            <v>LCHAY 4kg</v>
          </cell>
          <cell r="W3494" t="str">
            <v>Ajuste</v>
          </cell>
          <cell r="X3494">
            <v>7</v>
          </cell>
          <cell r="Y3494">
            <v>28</v>
          </cell>
        </row>
        <row r="3495">
          <cell r="U3495" t="str">
            <v>L107384</v>
          </cell>
          <cell r="V3495" t="str">
            <v>LCHAY 4kg</v>
          </cell>
          <cell r="W3495" t="str">
            <v>Ajuste</v>
          </cell>
          <cell r="X3495">
            <v>28</v>
          </cell>
          <cell r="Y3495">
            <v>112</v>
          </cell>
        </row>
        <row r="3496">
          <cell r="U3496" t="str">
            <v>L107385</v>
          </cell>
          <cell r="V3496" t="str">
            <v>LCHAY 4kg</v>
          </cell>
          <cell r="W3496" t="str">
            <v>Ajuste</v>
          </cell>
          <cell r="X3496">
            <v>3</v>
          </cell>
          <cell r="Y3496">
            <v>12</v>
          </cell>
        </row>
        <row r="3497">
          <cell r="U3497" t="str">
            <v>L107386</v>
          </cell>
          <cell r="V3497" t="str">
            <v>LCHAY 4kg</v>
          </cell>
          <cell r="W3497" t="str">
            <v>Ajuste</v>
          </cell>
          <cell r="X3497">
            <v>11</v>
          </cell>
          <cell r="Y3497">
            <v>44</v>
          </cell>
        </row>
        <row r="3498">
          <cell r="U3498" t="str">
            <v>L107387</v>
          </cell>
          <cell r="V3498" t="str">
            <v>LCHAY 4kg</v>
          </cell>
          <cell r="W3498" t="str">
            <v>Ajuste</v>
          </cell>
          <cell r="X3498">
            <v>30</v>
          </cell>
          <cell r="Y3498">
            <v>120</v>
          </cell>
        </row>
        <row r="3499">
          <cell r="U3499" t="str">
            <v>L103646</v>
          </cell>
          <cell r="V3499" t="str">
            <v>LCHAY 4kg</v>
          </cell>
          <cell r="W3499" t="str">
            <v>Ajuste</v>
          </cell>
          <cell r="X3499">
            <v>126</v>
          </cell>
          <cell r="Y3499">
            <v>504</v>
          </cell>
        </row>
        <row r="3500">
          <cell r="U3500" t="str">
            <v>L102922</v>
          </cell>
          <cell r="V3500" t="str">
            <v>LCHAY 4kg</v>
          </cell>
          <cell r="W3500" t="str">
            <v>Ajuste</v>
          </cell>
          <cell r="X3500">
            <v>9</v>
          </cell>
          <cell r="Y3500">
            <v>36</v>
          </cell>
        </row>
        <row r="3501">
          <cell r="U3501" t="str">
            <v>L103647</v>
          </cell>
          <cell r="V3501" t="str">
            <v>LCHAY 4kg</v>
          </cell>
          <cell r="W3501" t="str">
            <v>Ajuste</v>
          </cell>
          <cell r="X3501">
            <v>39</v>
          </cell>
          <cell r="Y3501">
            <v>156</v>
          </cell>
        </row>
        <row r="3502">
          <cell r="U3502" t="str">
            <v>L103091</v>
          </cell>
          <cell r="V3502" t="str">
            <v>LCHAY 4kg</v>
          </cell>
          <cell r="W3502" t="str">
            <v>Ajuste</v>
          </cell>
          <cell r="X3502">
            <v>3</v>
          </cell>
          <cell r="Y3502">
            <v>12</v>
          </cell>
        </row>
        <row r="3503">
          <cell r="U3503" t="str">
            <v>L102404</v>
          </cell>
          <cell r="V3503" t="str">
            <v>LCHAY 4kg</v>
          </cell>
          <cell r="W3503" t="str">
            <v>Ajuste</v>
          </cell>
          <cell r="X3503">
            <v>7</v>
          </cell>
          <cell r="Y3503">
            <v>28</v>
          </cell>
        </row>
        <row r="3504">
          <cell r="U3504" t="str">
            <v>L102679</v>
          </cell>
          <cell r="V3504" t="str">
            <v>LCHAY 4kg</v>
          </cell>
          <cell r="W3504" t="str">
            <v>Ajuste</v>
          </cell>
          <cell r="X3504">
            <v>6</v>
          </cell>
          <cell r="Y3504">
            <v>24</v>
          </cell>
        </row>
        <row r="3505">
          <cell r="U3505" t="str">
            <v>L102924</v>
          </cell>
          <cell r="V3505" t="str">
            <v>LCHAY 4kg</v>
          </cell>
          <cell r="W3505" t="str">
            <v>Ajuste</v>
          </cell>
          <cell r="X3505">
            <v>3</v>
          </cell>
          <cell r="Y3505">
            <v>12</v>
          </cell>
        </row>
        <row r="3506">
          <cell r="U3506" t="str">
            <v>L102405</v>
          </cell>
          <cell r="V3506" t="str">
            <v>LCHAY 4kg</v>
          </cell>
          <cell r="W3506" t="str">
            <v>Ajuste</v>
          </cell>
          <cell r="X3506">
            <v>2</v>
          </cell>
          <cell r="Y3506">
            <v>8</v>
          </cell>
        </row>
        <row r="3507">
          <cell r="U3507" t="str">
            <v>L102923</v>
          </cell>
          <cell r="V3507" t="str">
            <v>LCHAY 4kg</v>
          </cell>
          <cell r="W3507" t="str">
            <v>Ajuste</v>
          </cell>
          <cell r="X3507">
            <v>1</v>
          </cell>
          <cell r="Y3507">
            <v>4</v>
          </cell>
        </row>
        <row r="3508">
          <cell r="U3508" t="str">
            <v>L106897</v>
          </cell>
          <cell r="V3508" t="str">
            <v>Leche evaporada kg</v>
          </cell>
          <cell r="W3508" t="str">
            <v>Ajuste</v>
          </cell>
          <cell r="X3508">
            <v>3.8</v>
          </cell>
          <cell r="Y3508">
            <v>3.8</v>
          </cell>
        </row>
        <row r="3509">
          <cell r="U3509" t="str">
            <v>L106315</v>
          </cell>
          <cell r="V3509" t="str">
            <v>LEP 2kg</v>
          </cell>
          <cell r="W3509" t="str">
            <v>Ajuste</v>
          </cell>
          <cell r="X3509">
            <v>9</v>
          </cell>
          <cell r="Y3509">
            <v>18</v>
          </cell>
        </row>
        <row r="3510">
          <cell r="U3510" t="str">
            <v>L107151</v>
          </cell>
          <cell r="V3510" t="str">
            <v>MAG 1kg</v>
          </cell>
          <cell r="W3510" t="str">
            <v>Ajuste</v>
          </cell>
          <cell r="X3510">
            <v>814</v>
          </cell>
          <cell r="Y3510">
            <v>814</v>
          </cell>
        </row>
        <row r="3511">
          <cell r="U3511" t="str">
            <v>L106317</v>
          </cell>
          <cell r="V3511" t="str">
            <v>Maiz kg</v>
          </cell>
          <cell r="W3511" t="str">
            <v>Ajuste</v>
          </cell>
          <cell r="X3511">
            <v>8</v>
          </cell>
          <cell r="Y3511">
            <v>8</v>
          </cell>
        </row>
        <row r="3512">
          <cell r="U3512" t="str">
            <v>L106891</v>
          </cell>
          <cell r="V3512" t="str">
            <v>Maiz kg</v>
          </cell>
          <cell r="W3512" t="str">
            <v>Ajuste</v>
          </cell>
          <cell r="X3512">
            <v>9.8000000000000007</v>
          </cell>
          <cell r="Y3512">
            <v>9.8000000000000007</v>
          </cell>
        </row>
        <row r="3513">
          <cell r="U3513" t="str">
            <v>L107395</v>
          </cell>
          <cell r="V3513" t="str">
            <v>Maiz kg</v>
          </cell>
          <cell r="W3513" t="str">
            <v>Ajuste</v>
          </cell>
          <cell r="X3513">
            <v>2.4500000000000002</v>
          </cell>
          <cell r="Y3513">
            <v>2.4500000000000002</v>
          </cell>
        </row>
        <row r="3514">
          <cell r="U3514" t="str">
            <v>L106784</v>
          </cell>
          <cell r="V3514" t="str">
            <v>MAN 2Kg-CAJA</v>
          </cell>
          <cell r="W3514" t="str">
            <v>Ajuste</v>
          </cell>
          <cell r="X3514">
            <v>6</v>
          </cell>
          <cell r="Y3514">
            <v>12</v>
          </cell>
        </row>
        <row r="3515">
          <cell r="U3515" t="str">
            <v>L106785</v>
          </cell>
          <cell r="V3515" t="str">
            <v>MAN 2Kg-CAJA</v>
          </cell>
          <cell r="W3515" t="str">
            <v>Ajuste</v>
          </cell>
          <cell r="X3515">
            <v>6</v>
          </cell>
          <cell r="Y3515">
            <v>12</v>
          </cell>
        </row>
        <row r="3516">
          <cell r="U3516" t="str">
            <v>L106786</v>
          </cell>
          <cell r="V3516" t="str">
            <v>MAN 2Kg-CAJA</v>
          </cell>
          <cell r="W3516" t="str">
            <v>Ajuste</v>
          </cell>
          <cell r="X3516">
            <v>2</v>
          </cell>
          <cell r="Y3516">
            <v>4</v>
          </cell>
        </row>
        <row r="3517">
          <cell r="U3517" t="str">
            <v>L106787</v>
          </cell>
          <cell r="V3517" t="str">
            <v>MAN 2Kg-CAJA</v>
          </cell>
          <cell r="W3517" t="str">
            <v>Ajuste</v>
          </cell>
          <cell r="X3517">
            <v>2</v>
          </cell>
          <cell r="Y3517">
            <v>4</v>
          </cell>
        </row>
        <row r="3518">
          <cell r="U3518" t="str">
            <v>L106229</v>
          </cell>
          <cell r="V3518" t="str">
            <v>Manejo NV</v>
          </cell>
          <cell r="W3518" t="str">
            <v>Ajuste</v>
          </cell>
          <cell r="X3518">
            <v>74</v>
          </cell>
          <cell r="Y3518">
            <v>0.74000000000000044</v>
          </cell>
        </row>
        <row r="3519">
          <cell r="U3519" t="str">
            <v>L107010</v>
          </cell>
          <cell r="V3519" t="str">
            <v>Mani kg</v>
          </cell>
          <cell r="W3519" t="str">
            <v>Ajuste</v>
          </cell>
          <cell r="X3519">
            <v>3.8</v>
          </cell>
          <cell r="Y3519">
            <v>3.8</v>
          </cell>
        </row>
        <row r="3520">
          <cell r="U3520" t="str">
            <v>L107124</v>
          </cell>
          <cell r="V3520" t="str">
            <v>MANP 1Kg-CAJA</v>
          </cell>
          <cell r="W3520" t="str">
            <v>Ajuste</v>
          </cell>
          <cell r="X3520">
            <v>23</v>
          </cell>
          <cell r="Y3520">
            <v>23</v>
          </cell>
        </row>
        <row r="3521">
          <cell r="U3521" t="str">
            <v>L107012</v>
          </cell>
          <cell r="V3521" t="str">
            <v>MANP 1Kg-CAJA</v>
          </cell>
          <cell r="W3521" t="str">
            <v>Ajuste</v>
          </cell>
          <cell r="X3521">
            <v>56</v>
          </cell>
          <cell r="Y3521">
            <v>56</v>
          </cell>
        </row>
        <row r="3522">
          <cell r="U3522" t="str">
            <v>L107163</v>
          </cell>
          <cell r="V3522" t="str">
            <v>Margarina kg</v>
          </cell>
          <cell r="W3522" t="str">
            <v>Ajuste</v>
          </cell>
          <cell r="X3522">
            <v>18</v>
          </cell>
          <cell r="Y3522">
            <v>18</v>
          </cell>
        </row>
        <row r="3523">
          <cell r="U3523" t="str">
            <v>L106805</v>
          </cell>
          <cell r="V3523" t="str">
            <v>Mayonesa kg</v>
          </cell>
          <cell r="W3523" t="str">
            <v>Ajuste</v>
          </cell>
          <cell r="X3523">
            <v>0.2</v>
          </cell>
          <cell r="Y3523">
            <v>0.2</v>
          </cell>
        </row>
        <row r="3524">
          <cell r="U3524" t="str">
            <v>L106274</v>
          </cell>
          <cell r="V3524" t="str">
            <v>MCR 2kg-CAJA</v>
          </cell>
          <cell r="W3524" t="str">
            <v>Ajuste</v>
          </cell>
          <cell r="X3524">
            <v>1034</v>
          </cell>
          <cell r="Y3524">
            <v>2068</v>
          </cell>
        </row>
        <row r="3525">
          <cell r="U3525" t="str">
            <v>L106747</v>
          </cell>
          <cell r="V3525" t="str">
            <v>MCRQ 1kg-CAJA</v>
          </cell>
          <cell r="W3525" t="str">
            <v>Ajuste</v>
          </cell>
          <cell r="X3525">
            <v>8</v>
          </cell>
          <cell r="Y3525">
            <v>8</v>
          </cell>
        </row>
        <row r="3526">
          <cell r="U3526" t="str">
            <v>L107330</v>
          </cell>
          <cell r="V3526" t="str">
            <v>MCRQ 1kg-CAJA</v>
          </cell>
          <cell r="W3526" t="str">
            <v>Ajuste</v>
          </cell>
          <cell r="X3526">
            <v>6</v>
          </cell>
          <cell r="Y3526">
            <v>6</v>
          </cell>
        </row>
        <row r="3527">
          <cell r="U3527" t="str">
            <v>L106309</v>
          </cell>
          <cell r="V3527" t="str">
            <v>MDM 3kg-CAJA</v>
          </cell>
          <cell r="W3527" t="str">
            <v>Ajuste</v>
          </cell>
          <cell r="X3527">
            <v>2</v>
          </cell>
          <cell r="Y3527">
            <v>6</v>
          </cell>
        </row>
        <row r="3528">
          <cell r="U3528" t="str">
            <v>L106058</v>
          </cell>
          <cell r="V3528" t="str">
            <v>MDPAY 5kg</v>
          </cell>
          <cell r="W3528" t="str">
            <v>Ajuste</v>
          </cell>
          <cell r="X3528">
            <v>336</v>
          </cell>
          <cell r="Y3528">
            <v>1680</v>
          </cell>
        </row>
        <row r="3529">
          <cell r="U3529" t="str">
            <v>L106486</v>
          </cell>
          <cell r="V3529" t="str">
            <v>Menestra kg</v>
          </cell>
          <cell r="W3529" t="str">
            <v>Ajuste</v>
          </cell>
          <cell r="X3529">
            <v>5675.07</v>
          </cell>
          <cell r="Y3529">
            <v>5675.07</v>
          </cell>
        </row>
        <row r="3530">
          <cell r="U3530" t="str">
            <v>L106857</v>
          </cell>
          <cell r="V3530" t="str">
            <v>Menestra kg</v>
          </cell>
          <cell r="W3530" t="str">
            <v>Ajuste</v>
          </cell>
          <cell r="X3530">
            <v>2000</v>
          </cell>
          <cell r="Y3530">
            <v>2000</v>
          </cell>
        </row>
        <row r="3531">
          <cell r="U3531" t="str">
            <v>L106047</v>
          </cell>
          <cell r="V3531" t="str">
            <v>MERMA DE FRUVER 1 kg</v>
          </cell>
          <cell r="W3531" t="str">
            <v>Ajuste</v>
          </cell>
          <cell r="X3531">
            <v>4.7300000000000004</v>
          </cell>
          <cell r="Y3531">
            <v>4.7300000000000004</v>
          </cell>
        </row>
        <row r="3532">
          <cell r="U3532" t="str">
            <v>L106050</v>
          </cell>
          <cell r="V3532" t="str">
            <v>MERMA DE FRUVER 1 kg</v>
          </cell>
          <cell r="W3532" t="str">
            <v>Ajuste</v>
          </cell>
          <cell r="X3532">
            <v>29.12</v>
          </cell>
          <cell r="Y3532">
            <v>29.12</v>
          </cell>
        </row>
        <row r="3533">
          <cell r="U3533" t="str">
            <v>L106054</v>
          </cell>
          <cell r="V3533" t="str">
            <v>MERMA DE FRUVER 1 kg</v>
          </cell>
          <cell r="W3533" t="str">
            <v>Ajuste</v>
          </cell>
          <cell r="X3533">
            <v>400</v>
          </cell>
          <cell r="Y3533">
            <v>400</v>
          </cell>
        </row>
        <row r="3534">
          <cell r="U3534" t="str">
            <v>L106079</v>
          </cell>
          <cell r="V3534" t="str">
            <v>MERMA DE FRUVER 1 kg</v>
          </cell>
          <cell r="W3534" t="str">
            <v>Ajuste</v>
          </cell>
          <cell r="X3534">
            <v>8.6</v>
          </cell>
          <cell r="Y3534">
            <v>8.6</v>
          </cell>
        </row>
        <row r="3535">
          <cell r="U3535" t="str">
            <v>L106100</v>
          </cell>
          <cell r="V3535" t="str">
            <v>MERMA DE FRUVER 1 kg</v>
          </cell>
          <cell r="W3535" t="str">
            <v>Ajuste</v>
          </cell>
          <cell r="X3535">
            <v>40</v>
          </cell>
          <cell r="Y3535">
            <v>40</v>
          </cell>
        </row>
        <row r="3536">
          <cell r="U3536" t="str">
            <v>L106103</v>
          </cell>
          <cell r="V3536" t="str">
            <v>MERMA DE FRUVER 1 kg</v>
          </cell>
          <cell r="W3536" t="str">
            <v>Ajuste</v>
          </cell>
          <cell r="X3536">
            <v>23.6</v>
          </cell>
          <cell r="Y3536">
            <v>23.6</v>
          </cell>
        </row>
        <row r="3537">
          <cell r="U3537" t="str">
            <v>L106129</v>
          </cell>
          <cell r="V3537" t="str">
            <v>MERMA DE FRUVER 1 kg</v>
          </cell>
          <cell r="W3537" t="str">
            <v>Ajuste</v>
          </cell>
          <cell r="X3537">
            <v>6.5</v>
          </cell>
          <cell r="Y3537">
            <v>6.5</v>
          </cell>
        </row>
        <row r="3538">
          <cell r="U3538" t="str">
            <v>L106141</v>
          </cell>
          <cell r="V3538" t="str">
            <v>MERMA DE FRUVER 1 kg</v>
          </cell>
          <cell r="W3538" t="str">
            <v>Ajuste</v>
          </cell>
          <cell r="X3538">
            <v>21.12</v>
          </cell>
          <cell r="Y3538">
            <v>21.12</v>
          </cell>
        </row>
        <row r="3539">
          <cell r="U3539" t="str">
            <v>L106148</v>
          </cell>
          <cell r="V3539" t="str">
            <v>MERMA DE FRUVER 1 kg</v>
          </cell>
          <cell r="W3539" t="str">
            <v>Ajuste</v>
          </cell>
          <cell r="X3539">
            <v>6.3</v>
          </cell>
          <cell r="Y3539">
            <v>6.3</v>
          </cell>
        </row>
        <row r="3540">
          <cell r="U3540" t="str">
            <v>L106154</v>
          </cell>
          <cell r="V3540" t="str">
            <v>MERMA DE FRUVER 1 kg</v>
          </cell>
          <cell r="W3540" t="str">
            <v>Ajuste</v>
          </cell>
          <cell r="X3540">
            <v>40</v>
          </cell>
          <cell r="Y3540">
            <v>40</v>
          </cell>
        </row>
        <row r="3541">
          <cell r="U3541" t="str">
            <v>L106196</v>
          </cell>
          <cell r="V3541" t="str">
            <v>MERMA DE FRUVER 1 kg</v>
          </cell>
          <cell r="W3541" t="str">
            <v>Ajuste</v>
          </cell>
          <cell r="X3541">
            <v>52.14</v>
          </cell>
          <cell r="Y3541">
            <v>52.14</v>
          </cell>
        </row>
        <row r="3542">
          <cell r="U3542" t="str">
            <v>L106203</v>
          </cell>
          <cell r="V3542" t="str">
            <v>MERMA DE FRUVER 1 kg</v>
          </cell>
          <cell r="W3542" t="str">
            <v>Ajuste</v>
          </cell>
          <cell r="X3542">
            <v>170</v>
          </cell>
          <cell r="Y3542">
            <v>170</v>
          </cell>
        </row>
        <row r="3543">
          <cell r="U3543" t="str">
            <v>L106266</v>
          </cell>
          <cell r="V3543" t="str">
            <v>MERMA DE FRUVER 1 kg</v>
          </cell>
          <cell r="W3543" t="str">
            <v>Ajuste</v>
          </cell>
          <cell r="X3543">
            <v>56.5</v>
          </cell>
          <cell r="Y3543">
            <v>56.5</v>
          </cell>
        </row>
        <row r="3544">
          <cell r="U3544" t="str">
            <v>L106354</v>
          </cell>
          <cell r="V3544" t="str">
            <v>MERMA DE FRUVER 1 kg</v>
          </cell>
          <cell r="W3544" t="str">
            <v>Ajuste</v>
          </cell>
          <cell r="X3544">
            <v>8.33</v>
          </cell>
          <cell r="Y3544">
            <v>8.33</v>
          </cell>
        </row>
        <row r="3545">
          <cell r="U3545" t="str">
            <v>L106356</v>
          </cell>
          <cell r="V3545" t="str">
            <v>MERMA DE FRUVER 1 kg</v>
          </cell>
          <cell r="W3545" t="str">
            <v>Ajuste</v>
          </cell>
          <cell r="X3545">
            <v>9.2799999999999994</v>
          </cell>
          <cell r="Y3545">
            <v>9.2799999999999994</v>
          </cell>
        </row>
        <row r="3546">
          <cell r="U3546" t="str">
            <v>L106375</v>
          </cell>
          <cell r="V3546" t="str">
            <v>MERMA DE FRUVER 1 kg</v>
          </cell>
          <cell r="W3546" t="str">
            <v>Ajuste</v>
          </cell>
          <cell r="X3546">
            <v>41</v>
          </cell>
          <cell r="Y3546">
            <v>41</v>
          </cell>
        </row>
        <row r="3547">
          <cell r="U3547" t="str">
            <v>L106426</v>
          </cell>
          <cell r="V3547" t="str">
            <v>MERMA DE FRUVER 1 kg</v>
          </cell>
          <cell r="W3547" t="str">
            <v>Ajuste</v>
          </cell>
          <cell r="X3547">
            <v>11.86</v>
          </cell>
          <cell r="Y3547">
            <v>11.86</v>
          </cell>
        </row>
        <row r="3548">
          <cell r="U3548" t="str">
            <v>L106436</v>
          </cell>
          <cell r="V3548" t="str">
            <v>MERMA DE FRUVER 1 kg</v>
          </cell>
          <cell r="W3548" t="str">
            <v>Ajuste</v>
          </cell>
          <cell r="X3548">
            <v>41</v>
          </cell>
          <cell r="Y3548">
            <v>41</v>
          </cell>
        </row>
        <row r="3549">
          <cell r="U3549" t="str">
            <v>L106463</v>
          </cell>
          <cell r="V3549" t="str">
            <v>MERMA DE FRUVER 1 kg</v>
          </cell>
          <cell r="W3549" t="str">
            <v>Ajuste</v>
          </cell>
          <cell r="X3549">
            <v>122</v>
          </cell>
          <cell r="Y3549">
            <v>122</v>
          </cell>
        </row>
        <row r="3550">
          <cell r="U3550" t="str">
            <v>L106465</v>
          </cell>
          <cell r="V3550" t="str">
            <v>MERMA DE FRUVER 1 kg</v>
          </cell>
          <cell r="W3550" t="str">
            <v>Ajuste</v>
          </cell>
          <cell r="X3550">
            <v>13.4</v>
          </cell>
          <cell r="Y3550">
            <v>13.4</v>
          </cell>
        </row>
        <row r="3551">
          <cell r="U3551" t="str">
            <v>L106467</v>
          </cell>
          <cell r="V3551" t="str">
            <v>MERMA DE FRUVER 1 kg</v>
          </cell>
          <cell r="W3551" t="str">
            <v>Ajuste</v>
          </cell>
          <cell r="X3551">
            <v>32.1</v>
          </cell>
          <cell r="Y3551">
            <v>32.1</v>
          </cell>
        </row>
        <row r="3552">
          <cell r="U3552" t="str">
            <v>L106472</v>
          </cell>
          <cell r="V3552" t="str">
            <v>MERMA DE FRUVER 1 kg</v>
          </cell>
          <cell r="W3552" t="str">
            <v>Ajuste</v>
          </cell>
          <cell r="X3552">
            <v>14</v>
          </cell>
          <cell r="Y3552">
            <v>14</v>
          </cell>
        </row>
        <row r="3553">
          <cell r="U3553" t="str">
            <v>L106501</v>
          </cell>
          <cell r="V3553" t="str">
            <v>MERMA DE FRUVER 1 kg</v>
          </cell>
          <cell r="W3553" t="str">
            <v>Ajuste</v>
          </cell>
          <cell r="X3553">
            <v>20</v>
          </cell>
          <cell r="Y3553">
            <v>20</v>
          </cell>
        </row>
        <row r="3554">
          <cell r="U3554" t="str">
            <v>L106569</v>
          </cell>
          <cell r="V3554" t="str">
            <v>MERMA DE FRUVER 1 kg</v>
          </cell>
          <cell r="W3554" t="str">
            <v>Ajuste</v>
          </cell>
          <cell r="X3554">
            <v>15.6</v>
          </cell>
          <cell r="Y3554">
            <v>15.6</v>
          </cell>
        </row>
        <row r="3555">
          <cell r="U3555" t="str">
            <v>L106593</v>
          </cell>
          <cell r="V3555" t="str">
            <v>MERMA DE FRUVER 1 kg</v>
          </cell>
          <cell r="W3555" t="str">
            <v>Ajuste</v>
          </cell>
          <cell r="X3555">
            <v>21.64</v>
          </cell>
          <cell r="Y3555">
            <v>21.64</v>
          </cell>
        </row>
        <row r="3556">
          <cell r="U3556" t="str">
            <v>L106597</v>
          </cell>
          <cell r="V3556" t="str">
            <v>MERMA DE FRUVER 1 kg</v>
          </cell>
          <cell r="W3556" t="str">
            <v>Ajuste</v>
          </cell>
          <cell r="X3556">
            <v>3.63</v>
          </cell>
          <cell r="Y3556">
            <v>3.63</v>
          </cell>
        </row>
        <row r="3557">
          <cell r="U3557" t="str">
            <v>L106599</v>
          </cell>
          <cell r="V3557" t="str">
            <v>MERMA DE FRUVER 1 kg</v>
          </cell>
          <cell r="W3557" t="str">
            <v>Ajuste</v>
          </cell>
          <cell r="X3557">
            <v>100</v>
          </cell>
          <cell r="Y3557">
            <v>100</v>
          </cell>
        </row>
        <row r="3558">
          <cell r="U3558" t="str">
            <v>L106654</v>
          </cell>
          <cell r="V3558" t="str">
            <v>MERMA DE FRUVER 1 kg</v>
          </cell>
          <cell r="W3558" t="str">
            <v>Ajuste</v>
          </cell>
          <cell r="X3558">
            <v>60</v>
          </cell>
          <cell r="Y3558">
            <v>60</v>
          </cell>
        </row>
        <row r="3559">
          <cell r="U3559" t="str">
            <v>L106720</v>
          </cell>
          <cell r="V3559" t="str">
            <v>MERMA DE FRUVER 1 kg</v>
          </cell>
          <cell r="W3559" t="str">
            <v>Ajuste</v>
          </cell>
          <cell r="X3559">
            <v>18.43</v>
          </cell>
          <cell r="Y3559">
            <v>18.43</v>
          </cell>
        </row>
        <row r="3560">
          <cell r="U3560" t="str">
            <v>L106723</v>
          </cell>
          <cell r="V3560" t="str">
            <v>MERMA DE FRUVER 1 kg</v>
          </cell>
          <cell r="W3560" t="str">
            <v>Ajuste</v>
          </cell>
          <cell r="X3560">
            <v>5.2</v>
          </cell>
          <cell r="Y3560">
            <v>5.2</v>
          </cell>
        </row>
        <row r="3561">
          <cell r="U3561" t="str">
            <v>L106742</v>
          </cell>
          <cell r="V3561" t="str">
            <v>MERMA DE FRUVER 1 kg</v>
          </cell>
          <cell r="W3561" t="str">
            <v>Ajuste</v>
          </cell>
          <cell r="X3561">
            <v>5.45</v>
          </cell>
          <cell r="Y3561">
            <v>5.45</v>
          </cell>
        </row>
        <row r="3562">
          <cell r="U3562" t="str">
            <v>L106817</v>
          </cell>
          <cell r="V3562" t="str">
            <v>MERMA DE FRUVER 1 kg</v>
          </cell>
          <cell r="W3562" t="str">
            <v>Ajuste</v>
          </cell>
          <cell r="X3562">
            <v>9.42</v>
          </cell>
          <cell r="Y3562">
            <v>9.42</v>
          </cell>
        </row>
        <row r="3563">
          <cell r="U3563" t="str">
            <v>L106823</v>
          </cell>
          <cell r="V3563" t="str">
            <v>MERMA DE FRUVER 1 kg</v>
          </cell>
          <cell r="W3563" t="str">
            <v>Ajuste</v>
          </cell>
          <cell r="X3563">
            <v>4.6900000000000004</v>
          </cell>
          <cell r="Y3563">
            <v>4.6900000000000004</v>
          </cell>
        </row>
        <row r="3564">
          <cell r="U3564" t="str">
            <v>L106825</v>
          </cell>
          <cell r="V3564" t="str">
            <v>MERMA DE FRUVER 1 kg</v>
          </cell>
          <cell r="W3564" t="str">
            <v>Ajuste</v>
          </cell>
          <cell r="X3564">
            <v>8.14</v>
          </cell>
          <cell r="Y3564">
            <v>8.14</v>
          </cell>
        </row>
        <row r="3565">
          <cell r="U3565" t="str">
            <v>L106827</v>
          </cell>
          <cell r="V3565" t="str">
            <v>MERMA DE FRUVER 1 kg</v>
          </cell>
          <cell r="W3565" t="str">
            <v>Ajuste</v>
          </cell>
          <cell r="X3565">
            <v>66</v>
          </cell>
          <cell r="Y3565">
            <v>66</v>
          </cell>
        </row>
        <row r="3566">
          <cell r="U3566" t="str">
            <v>L106946</v>
          </cell>
          <cell r="V3566" t="str">
            <v>MERMA DE FRUVER 1 kg</v>
          </cell>
          <cell r="W3566" t="str">
            <v>Ajuste</v>
          </cell>
          <cell r="X3566">
            <v>20.12</v>
          </cell>
          <cell r="Y3566">
            <v>20.12</v>
          </cell>
        </row>
        <row r="3567">
          <cell r="U3567" t="str">
            <v>L106972</v>
          </cell>
          <cell r="V3567" t="str">
            <v>MERMA DE FRUVER 1 kg</v>
          </cell>
          <cell r="W3567" t="str">
            <v>Ajuste</v>
          </cell>
          <cell r="X3567">
            <v>80</v>
          </cell>
          <cell r="Y3567">
            <v>80</v>
          </cell>
        </row>
        <row r="3568">
          <cell r="U3568" t="str">
            <v>L106999</v>
          </cell>
          <cell r="V3568" t="str">
            <v>MERMA DE FRUVER 1 kg</v>
          </cell>
          <cell r="W3568" t="str">
            <v>Ajuste</v>
          </cell>
          <cell r="X3568">
            <v>63.59</v>
          </cell>
          <cell r="Y3568">
            <v>63.59</v>
          </cell>
        </row>
        <row r="3569">
          <cell r="U3569" t="str">
            <v>L107019</v>
          </cell>
          <cell r="V3569" t="str">
            <v>MERMA DE FRUVER 1 kg</v>
          </cell>
          <cell r="W3569" t="str">
            <v>Ajuste</v>
          </cell>
          <cell r="X3569">
            <v>21.5</v>
          </cell>
          <cell r="Y3569">
            <v>21.5</v>
          </cell>
        </row>
        <row r="3570">
          <cell r="U3570" t="str">
            <v>L107025</v>
          </cell>
          <cell r="V3570" t="str">
            <v>MERMA DE FRUVER 1 kg</v>
          </cell>
          <cell r="W3570" t="str">
            <v>Ajuste</v>
          </cell>
          <cell r="X3570">
            <v>4.75</v>
          </cell>
          <cell r="Y3570">
            <v>4.75</v>
          </cell>
        </row>
        <row r="3571">
          <cell r="U3571" t="str">
            <v>L107028</v>
          </cell>
          <cell r="V3571" t="str">
            <v>MERMA DE FRUVER 1 kg</v>
          </cell>
          <cell r="W3571" t="str">
            <v>Ajuste</v>
          </cell>
          <cell r="X3571">
            <v>9.77</v>
          </cell>
          <cell r="Y3571">
            <v>9.77</v>
          </cell>
        </row>
        <row r="3572">
          <cell r="U3572" t="str">
            <v>L107034</v>
          </cell>
          <cell r="V3572" t="str">
            <v>MERMA DE FRUVER 1 kg</v>
          </cell>
          <cell r="W3572" t="str">
            <v>Ajuste</v>
          </cell>
          <cell r="X3572">
            <v>85</v>
          </cell>
          <cell r="Y3572">
            <v>85</v>
          </cell>
        </row>
        <row r="3573">
          <cell r="U3573" t="str">
            <v>L107054</v>
          </cell>
          <cell r="V3573" t="str">
            <v>MERMA DE FRUVER 1 kg</v>
          </cell>
          <cell r="W3573" t="str">
            <v>Ajuste</v>
          </cell>
          <cell r="X3573">
            <v>44</v>
          </cell>
          <cell r="Y3573">
            <v>44</v>
          </cell>
        </row>
        <row r="3574">
          <cell r="U3574" t="str">
            <v>L107062</v>
          </cell>
          <cell r="V3574" t="str">
            <v>MERMA DE FRUVER 1 kg</v>
          </cell>
          <cell r="W3574" t="str">
            <v>Ajuste</v>
          </cell>
          <cell r="X3574">
            <v>7.05</v>
          </cell>
          <cell r="Y3574">
            <v>7.05</v>
          </cell>
        </row>
        <row r="3575">
          <cell r="U3575" t="str">
            <v>L107063</v>
          </cell>
          <cell r="V3575" t="str">
            <v>MERMA DE FRUVER 1 kg</v>
          </cell>
          <cell r="W3575" t="str">
            <v>Ajuste</v>
          </cell>
          <cell r="X3575">
            <v>5.71</v>
          </cell>
          <cell r="Y3575">
            <v>5.71</v>
          </cell>
        </row>
        <row r="3576">
          <cell r="U3576" t="str">
            <v>L107066</v>
          </cell>
          <cell r="V3576" t="str">
            <v>MERMA DE FRUVER 1 kg</v>
          </cell>
          <cell r="W3576" t="str">
            <v>Ajuste</v>
          </cell>
          <cell r="X3576">
            <v>81</v>
          </cell>
          <cell r="Y3576">
            <v>81</v>
          </cell>
        </row>
        <row r="3577">
          <cell r="U3577" t="str">
            <v>L107140</v>
          </cell>
          <cell r="V3577" t="str">
            <v>MERMA DE FRUVER 1 kg</v>
          </cell>
          <cell r="W3577" t="str">
            <v>Ajuste</v>
          </cell>
          <cell r="X3577">
            <v>10.72</v>
          </cell>
          <cell r="Y3577">
            <v>10.72</v>
          </cell>
        </row>
        <row r="3578">
          <cell r="U3578" t="str">
            <v>L107147</v>
          </cell>
          <cell r="V3578" t="str">
            <v>MERMA DE FRUVER 1 kg</v>
          </cell>
          <cell r="W3578" t="str">
            <v>Ajuste</v>
          </cell>
          <cell r="X3578">
            <v>17.84</v>
          </cell>
          <cell r="Y3578">
            <v>17.84</v>
          </cell>
        </row>
        <row r="3579">
          <cell r="U3579" t="str">
            <v>L107149</v>
          </cell>
          <cell r="V3579" t="str">
            <v>MERMA DE FRUVER 1 kg</v>
          </cell>
          <cell r="W3579" t="str">
            <v>Ajuste</v>
          </cell>
          <cell r="X3579">
            <v>320</v>
          </cell>
          <cell r="Y3579">
            <v>320</v>
          </cell>
        </row>
        <row r="3580">
          <cell r="U3580" t="str">
            <v>L107250</v>
          </cell>
          <cell r="V3580" t="str">
            <v>MERMA DE FRUVER 1 kg</v>
          </cell>
          <cell r="W3580" t="str">
            <v>Ajuste</v>
          </cell>
          <cell r="X3580">
            <v>5.17</v>
          </cell>
          <cell r="Y3580">
            <v>5.17</v>
          </cell>
        </row>
        <row r="3581">
          <cell r="U3581" t="str">
            <v>L107269</v>
          </cell>
          <cell r="V3581" t="str">
            <v>MERMA DE FRUVER 1 kg</v>
          </cell>
          <cell r="W3581" t="str">
            <v>Ajuste</v>
          </cell>
          <cell r="X3581">
            <v>12.22</v>
          </cell>
          <cell r="Y3581">
            <v>12.22</v>
          </cell>
        </row>
        <row r="3582">
          <cell r="U3582" t="str">
            <v>L107289</v>
          </cell>
          <cell r="V3582" t="str">
            <v>MERMA DE FRUVER 1 kg</v>
          </cell>
          <cell r="W3582" t="str">
            <v>Ajuste</v>
          </cell>
          <cell r="X3582">
            <v>33.43</v>
          </cell>
          <cell r="Y3582">
            <v>33.43</v>
          </cell>
        </row>
        <row r="3583">
          <cell r="U3583" t="str">
            <v>L107294</v>
          </cell>
          <cell r="V3583" t="str">
            <v>MERMA DE FRUVER 1 kg</v>
          </cell>
          <cell r="W3583" t="str">
            <v>Ajuste</v>
          </cell>
          <cell r="X3583">
            <v>60</v>
          </cell>
          <cell r="Y3583">
            <v>60</v>
          </cell>
        </row>
        <row r="3584">
          <cell r="U3584" t="str">
            <v>L103258</v>
          </cell>
          <cell r="V3584" t="str">
            <v>MERMA DE FRUVER 1 kg</v>
          </cell>
          <cell r="W3584" t="str">
            <v>Ajuste</v>
          </cell>
          <cell r="X3584">
            <v>23.95</v>
          </cell>
          <cell r="Y3584">
            <v>23.95</v>
          </cell>
        </row>
        <row r="3585">
          <cell r="U3585" t="str">
            <v>L103250</v>
          </cell>
          <cell r="V3585" t="str">
            <v>MERMA DE FRUVER 1 kg</v>
          </cell>
          <cell r="W3585" t="str">
            <v>Ajuste</v>
          </cell>
          <cell r="X3585">
            <v>30</v>
          </cell>
          <cell r="Y3585">
            <v>30</v>
          </cell>
        </row>
        <row r="3586">
          <cell r="U3586" t="str">
            <v>L103241</v>
          </cell>
          <cell r="V3586" t="str">
            <v>MERMA DE FRUVER 1 kg</v>
          </cell>
          <cell r="W3586" t="str">
            <v>Ajuste</v>
          </cell>
          <cell r="X3586">
            <v>66.819999999999993</v>
          </cell>
          <cell r="Y3586">
            <v>66.819999999999993</v>
          </cell>
        </row>
        <row r="3587">
          <cell r="U3587" t="str">
            <v>L103236</v>
          </cell>
          <cell r="V3587" t="str">
            <v>MERMA DE FRUVER 1 kg</v>
          </cell>
          <cell r="W3587" t="str">
            <v>Ajuste</v>
          </cell>
          <cell r="X3587">
            <v>35.08</v>
          </cell>
          <cell r="Y3587">
            <v>35.08</v>
          </cell>
        </row>
        <row r="3588">
          <cell r="U3588" t="str">
            <v>L103235</v>
          </cell>
          <cell r="V3588" t="str">
            <v>MERMA DE FRUVER 1 kg</v>
          </cell>
          <cell r="W3588" t="str">
            <v>Ajuste</v>
          </cell>
          <cell r="X3588">
            <v>35.08</v>
          </cell>
          <cell r="Y3588">
            <v>35.08</v>
          </cell>
        </row>
        <row r="3589">
          <cell r="U3589" t="str">
            <v>L103229</v>
          </cell>
          <cell r="V3589" t="str">
            <v>MERMA DE FRUVER 1 kg</v>
          </cell>
          <cell r="W3589" t="str">
            <v>Ajuste</v>
          </cell>
          <cell r="X3589">
            <v>41.84</v>
          </cell>
          <cell r="Y3589">
            <v>41.84</v>
          </cell>
        </row>
        <row r="3590">
          <cell r="U3590" t="str">
            <v>L103220</v>
          </cell>
          <cell r="V3590" t="str">
            <v>MERMA DE FRUVER 1 kg</v>
          </cell>
          <cell r="W3590" t="str">
            <v>Ajuste</v>
          </cell>
          <cell r="X3590">
            <v>18.2</v>
          </cell>
          <cell r="Y3590">
            <v>18.2</v>
          </cell>
        </row>
        <row r="3591">
          <cell r="U3591" t="str">
            <v>L103178</v>
          </cell>
          <cell r="V3591" t="str">
            <v>MERMA DE FRUVER 1 kg</v>
          </cell>
          <cell r="W3591" t="str">
            <v>Ajuste</v>
          </cell>
          <cell r="X3591">
            <v>18.45</v>
          </cell>
          <cell r="Y3591">
            <v>18.45</v>
          </cell>
        </row>
        <row r="3592">
          <cell r="U3592" t="str">
            <v>L103130</v>
          </cell>
          <cell r="V3592" t="str">
            <v>MERMA DE FRUVER 1 kg</v>
          </cell>
          <cell r="W3592" t="str">
            <v>Ajuste</v>
          </cell>
          <cell r="X3592">
            <v>50.15</v>
          </cell>
          <cell r="Y3592">
            <v>50.15</v>
          </cell>
        </row>
        <row r="3593">
          <cell r="U3593" t="str">
            <v>L103127</v>
          </cell>
          <cell r="V3593" t="str">
            <v>MERMA DE FRUVER 1 kg</v>
          </cell>
          <cell r="W3593" t="str">
            <v>Ajuste</v>
          </cell>
          <cell r="X3593">
            <v>20.079999999999998</v>
          </cell>
          <cell r="Y3593">
            <v>20.079999999999998</v>
          </cell>
        </row>
        <row r="3594">
          <cell r="U3594" t="str">
            <v>L107398</v>
          </cell>
          <cell r="V3594" t="str">
            <v>Merma KG</v>
          </cell>
          <cell r="W3594" t="str">
            <v>Ajuste</v>
          </cell>
          <cell r="X3594">
            <v>12.6</v>
          </cell>
          <cell r="Y3594">
            <v>12.6</v>
          </cell>
        </row>
        <row r="3595">
          <cell r="U3595" t="str">
            <v>L107371</v>
          </cell>
          <cell r="V3595" t="str">
            <v>MIL 2kg</v>
          </cell>
          <cell r="W3595" t="str">
            <v>Ajuste</v>
          </cell>
          <cell r="X3595">
            <v>2</v>
          </cell>
          <cell r="Y3595">
            <v>4</v>
          </cell>
        </row>
        <row r="3596">
          <cell r="U3596" t="str">
            <v>L107243</v>
          </cell>
          <cell r="V3596" t="str">
            <v>MLCT 3Kg</v>
          </cell>
          <cell r="W3596" t="str">
            <v>Ajuste</v>
          </cell>
          <cell r="X3596">
            <v>1</v>
          </cell>
          <cell r="Y3596">
            <v>3</v>
          </cell>
        </row>
        <row r="3597">
          <cell r="U3597" t="str">
            <v>L106265</v>
          </cell>
          <cell r="V3597" t="str">
            <v>MLNVAR 10kg</v>
          </cell>
          <cell r="W3597" t="str">
            <v>Ajuste</v>
          </cell>
          <cell r="X3597">
            <v>122</v>
          </cell>
          <cell r="Y3597">
            <v>1220</v>
          </cell>
        </row>
        <row r="3598">
          <cell r="U3598" t="str">
            <v>L106510</v>
          </cell>
          <cell r="V3598" t="str">
            <v>MLNVAR 10kg</v>
          </cell>
          <cell r="W3598" t="str">
            <v>Ajuste</v>
          </cell>
          <cell r="X3598">
            <v>310</v>
          </cell>
          <cell r="Y3598">
            <v>3100</v>
          </cell>
        </row>
        <row r="3599">
          <cell r="U3599" t="str">
            <v>L106505</v>
          </cell>
          <cell r="V3599" t="str">
            <v>MLT 12x330mL-CAJA</v>
          </cell>
          <cell r="W3599" t="str">
            <v>Ajuste</v>
          </cell>
          <cell r="X3599">
            <v>14</v>
          </cell>
          <cell r="Y3599">
            <v>55.44</v>
          </cell>
        </row>
        <row r="3600">
          <cell r="U3600" t="str">
            <v>L106856</v>
          </cell>
          <cell r="V3600" t="str">
            <v>MNS 10Kg-PAQUETE</v>
          </cell>
          <cell r="W3600" t="str">
            <v>Ajuste</v>
          </cell>
          <cell r="X3600">
            <v>200</v>
          </cell>
          <cell r="Y3600">
            <v>2000</v>
          </cell>
        </row>
        <row r="3601">
          <cell r="U3601" t="str">
            <v>L106882</v>
          </cell>
          <cell r="V3601" t="str">
            <v>MNS 10Kg-PAQUETE</v>
          </cell>
          <cell r="W3601" t="str">
            <v>Ajuste</v>
          </cell>
          <cell r="X3601">
            <v>740</v>
          </cell>
          <cell r="Y3601">
            <v>7400</v>
          </cell>
        </row>
        <row r="3602">
          <cell r="U3602" t="str">
            <v>L107144</v>
          </cell>
          <cell r="V3602" t="str">
            <v>MNS 10Kg-PAQUETE</v>
          </cell>
          <cell r="W3602" t="str">
            <v>Ajuste</v>
          </cell>
          <cell r="X3602">
            <v>624</v>
          </cell>
          <cell r="Y3602">
            <v>6240</v>
          </cell>
        </row>
        <row r="3603">
          <cell r="U3603" t="str">
            <v>L107334</v>
          </cell>
          <cell r="V3603" t="str">
            <v>MNS 10Kg-PAQUETE</v>
          </cell>
          <cell r="W3603" t="str">
            <v>Ajuste</v>
          </cell>
          <cell r="X3603">
            <v>520</v>
          </cell>
          <cell r="Y3603">
            <v>5200</v>
          </cell>
        </row>
        <row r="3604">
          <cell r="U3604" t="str">
            <v>L106751</v>
          </cell>
          <cell r="V3604" t="str">
            <v>MNS 2kg-PAQUETE</v>
          </cell>
          <cell r="W3604" t="str">
            <v>Ajuste</v>
          </cell>
          <cell r="X3604">
            <v>44</v>
          </cell>
          <cell r="Y3604">
            <v>88</v>
          </cell>
        </row>
        <row r="3605">
          <cell r="U3605" t="str">
            <v>L106752</v>
          </cell>
          <cell r="V3605" t="str">
            <v>MNS 2kg-PAQUETE</v>
          </cell>
          <cell r="W3605" t="str">
            <v>Ajuste</v>
          </cell>
          <cell r="X3605">
            <v>2</v>
          </cell>
          <cell r="Y3605">
            <v>4</v>
          </cell>
        </row>
        <row r="3606">
          <cell r="U3606" t="str">
            <v>L106851</v>
          </cell>
          <cell r="V3606" t="str">
            <v>MNS 2kg-PAQUETE</v>
          </cell>
          <cell r="W3606" t="str">
            <v>Ajuste</v>
          </cell>
          <cell r="X3606">
            <v>8</v>
          </cell>
          <cell r="Y3606">
            <v>16</v>
          </cell>
        </row>
        <row r="3607">
          <cell r="U3607" t="str">
            <v>L106854</v>
          </cell>
          <cell r="V3607" t="str">
            <v>MNS 2kg-PAQUETE</v>
          </cell>
          <cell r="W3607" t="str">
            <v>Ajuste</v>
          </cell>
          <cell r="X3607">
            <v>8</v>
          </cell>
          <cell r="Y3607">
            <v>16</v>
          </cell>
        </row>
        <row r="3608">
          <cell r="U3608" t="str">
            <v>L106525</v>
          </cell>
          <cell r="V3608" t="str">
            <v>MPF 1 UNIDAD</v>
          </cell>
          <cell r="W3608" t="str">
            <v>Ajuste</v>
          </cell>
          <cell r="X3608">
            <v>17</v>
          </cell>
          <cell r="Y3608">
            <v>17</v>
          </cell>
        </row>
        <row r="3609">
          <cell r="U3609" t="str">
            <v>L107009</v>
          </cell>
          <cell r="V3609" t="str">
            <v>MRL 2kg</v>
          </cell>
          <cell r="W3609" t="str">
            <v>Ajuste</v>
          </cell>
          <cell r="X3609">
            <v>8</v>
          </cell>
          <cell r="Y3609">
            <v>16</v>
          </cell>
        </row>
        <row r="3610">
          <cell r="U3610" t="str">
            <v>L106131</v>
          </cell>
          <cell r="V3610" t="str">
            <v>MTC 10KG-CAJA</v>
          </cell>
          <cell r="W3610" t="str">
            <v>Ajuste</v>
          </cell>
          <cell r="X3610">
            <v>336</v>
          </cell>
          <cell r="Y3610">
            <v>3360</v>
          </cell>
        </row>
        <row r="3611">
          <cell r="U3611" t="str">
            <v>L106571</v>
          </cell>
          <cell r="V3611" t="str">
            <v>MYN 2kg - Caja</v>
          </cell>
          <cell r="W3611" t="str">
            <v>Ajuste</v>
          </cell>
          <cell r="X3611">
            <v>12</v>
          </cell>
          <cell r="Y3611">
            <v>24</v>
          </cell>
        </row>
        <row r="3612">
          <cell r="U3612" t="str">
            <v>L106572</v>
          </cell>
          <cell r="V3612" t="str">
            <v>MYN 2kg - Caja</v>
          </cell>
          <cell r="W3612" t="str">
            <v>Ajuste</v>
          </cell>
          <cell r="X3612">
            <v>6</v>
          </cell>
          <cell r="Y3612">
            <v>12</v>
          </cell>
        </row>
        <row r="3613">
          <cell r="U3613" t="str">
            <v>L106573</v>
          </cell>
          <cell r="V3613" t="str">
            <v>MYN 2kg - Caja</v>
          </cell>
          <cell r="W3613" t="str">
            <v>Ajuste</v>
          </cell>
          <cell r="X3613">
            <v>10</v>
          </cell>
          <cell r="Y3613">
            <v>20</v>
          </cell>
        </row>
        <row r="3614">
          <cell r="U3614" t="str">
            <v>L106574</v>
          </cell>
          <cell r="V3614" t="str">
            <v>MYN 2kg - Caja</v>
          </cell>
          <cell r="W3614" t="str">
            <v>Ajuste</v>
          </cell>
          <cell r="X3614">
            <v>8</v>
          </cell>
          <cell r="Y3614">
            <v>16</v>
          </cell>
        </row>
        <row r="3615">
          <cell r="U3615" t="str">
            <v>L106575</v>
          </cell>
          <cell r="V3615" t="str">
            <v>MYN 2kg - Caja</v>
          </cell>
          <cell r="W3615" t="str">
            <v>Ajuste</v>
          </cell>
          <cell r="X3615">
            <v>4</v>
          </cell>
          <cell r="Y3615">
            <v>8</v>
          </cell>
        </row>
        <row r="3616">
          <cell r="U3616" t="str">
            <v>L106577</v>
          </cell>
          <cell r="V3616" t="str">
            <v>MYN 2kg - Caja</v>
          </cell>
          <cell r="W3616" t="str">
            <v>Ajuste</v>
          </cell>
          <cell r="X3616">
            <v>2</v>
          </cell>
          <cell r="Y3616">
            <v>4</v>
          </cell>
        </row>
        <row r="3617">
          <cell r="U3617" t="str">
            <v>L106578</v>
          </cell>
          <cell r="V3617" t="str">
            <v>MYN 2kg - Caja</v>
          </cell>
          <cell r="W3617" t="str">
            <v>Ajuste</v>
          </cell>
          <cell r="X3617">
            <v>7</v>
          </cell>
          <cell r="Y3617">
            <v>14</v>
          </cell>
        </row>
        <row r="3618">
          <cell r="U3618" t="str">
            <v>L106580</v>
          </cell>
          <cell r="V3618" t="str">
            <v>MYN 2kg - Caja</v>
          </cell>
          <cell r="W3618" t="str">
            <v>Ajuste</v>
          </cell>
          <cell r="X3618">
            <v>2</v>
          </cell>
          <cell r="Y3618">
            <v>4</v>
          </cell>
        </row>
        <row r="3619">
          <cell r="U3619" t="str">
            <v>L106243</v>
          </cell>
          <cell r="V3619" t="str">
            <v>MYN 3kg - Caja</v>
          </cell>
          <cell r="W3619" t="str">
            <v>Ajuste</v>
          </cell>
          <cell r="X3619">
            <v>2</v>
          </cell>
          <cell r="Y3619">
            <v>6</v>
          </cell>
        </row>
        <row r="3620">
          <cell r="U3620" t="str">
            <v>L106957</v>
          </cell>
          <cell r="V3620" t="str">
            <v>MYN 3kg - Caja</v>
          </cell>
          <cell r="W3620" t="str">
            <v>Ajuste</v>
          </cell>
          <cell r="X3620">
            <v>27</v>
          </cell>
          <cell r="Y3620">
            <v>81</v>
          </cell>
        </row>
        <row r="3621">
          <cell r="U3621" t="str">
            <v>L106306</v>
          </cell>
          <cell r="V3621" t="str">
            <v>MZL 3kg</v>
          </cell>
          <cell r="W3621" t="str">
            <v>Ajuste</v>
          </cell>
          <cell r="X3621">
            <v>32</v>
          </cell>
          <cell r="Y3621">
            <v>96</v>
          </cell>
        </row>
        <row r="3622">
          <cell r="U3622" t="str">
            <v>L106724</v>
          </cell>
          <cell r="V3622" t="str">
            <v>MZL 3kg</v>
          </cell>
          <cell r="W3622" t="str">
            <v>Ajuste</v>
          </cell>
          <cell r="X3622">
            <v>36</v>
          </cell>
          <cell r="Y3622">
            <v>108</v>
          </cell>
        </row>
        <row r="3623">
          <cell r="U3623" t="str">
            <v>L107238</v>
          </cell>
          <cell r="V3623" t="str">
            <v>MZL 3kg</v>
          </cell>
          <cell r="W3623" t="str">
            <v>Ajuste</v>
          </cell>
          <cell r="X3623">
            <v>2</v>
          </cell>
          <cell r="Y3623">
            <v>6</v>
          </cell>
        </row>
        <row r="3624">
          <cell r="U3624" t="str">
            <v>L106179</v>
          </cell>
          <cell r="V3624" t="str">
            <v>NV ACE 12x900ml-CAJA</v>
          </cell>
          <cell r="W3624" t="str">
            <v>Ajuste</v>
          </cell>
          <cell r="X3624">
            <v>712</v>
          </cell>
          <cell r="Y3624">
            <v>7689.6</v>
          </cell>
        </row>
        <row r="3625">
          <cell r="U3625" t="str">
            <v>L106179</v>
          </cell>
          <cell r="V3625" t="str">
            <v>NV ACE 1x900ml-UNI</v>
          </cell>
          <cell r="W3625" t="str">
            <v>Ajuste</v>
          </cell>
          <cell r="X3625">
            <v>734</v>
          </cell>
          <cell r="Y3625">
            <v>660.60000000000059</v>
          </cell>
        </row>
        <row r="3626">
          <cell r="U3626" t="str">
            <v>L106180</v>
          </cell>
          <cell r="V3626" t="str">
            <v>NV ACE 1x900ml-UNI</v>
          </cell>
          <cell r="W3626" t="str">
            <v>Ajuste</v>
          </cell>
          <cell r="X3626">
            <v>20</v>
          </cell>
          <cell r="Y3626">
            <v>18</v>
          </cell>
        </row>
        <row r="3627">
          <cell r="U3627" t="str">
            <v>L106188</v>
          </cell>
          <cell r="V3627" t="str">
            <v>NV ARJ 1X1LB-UNI</v>
          </cell>
          <cell r="W3627" t="str">
            <v>Ajuste</v>
          </cell>
          <cell r="X3627">
            <v>1077</v>
          </cell>
          <cell r="Y3627">
            <v>452.34</v>
          </cell>
        </row>
        <row r="3628">
          <cell r="U3628" t="str">
            <v>L106187</v>
          </cell>
          <cell r="V3628" t="str">
            <v>NV ARJ 25X1LB-CAJA</v>
          </cell>
          <cell r="W3628" t="str">
            <v>Ajuste</v>
          </cell>
          <cell r="X3628">
            <v>170</v>
          </cell>
          <cell r="Y3628">
            <v>1926.1000000000006</v>
          </cell>
        </row>
        <row r="3629">
          <cell r="U3629" t="str">
            <v>L106161</v>
          </cell>
          <cell r="V3629" t="str">
            <v>NV ARZ 10x5lb-CAJA</v>
          </cell>
          <cell r="W3629" t="str">
            <v>Ajuste</v>
          </cell>
          <cell r="X3629">
            <v>858</v>
          </cell>
          <cell r="Y3629">
            <v>19450.860000000004</v>
          </cell>
        </row>
        <row r="3630">
          <cell r="U3630" t="str">
            <v>L106161</v>
          </cell>
          <cell r="V3630" t="str">
            <v>NV ARZ 1x5lb-UNI</v>
          </cell>
          <cell r="W3630" t="str">
            <v>Ajuste</v>
          </cell>
          <cell r="X3630">
            <v>219</v>
          </cell>
          <cell r="Y3630">
            <v>494.93999999999988</v>
          </cell>
        </row>
        <row r="3631">
          <cell r="U3631" t="str">
            <v>L106181</v>
          </cell>
          <cell r="V3631" t="str">
            <v>NV ATN 1x170g-UNIDAD</v>
          </cell>
          <cell r="W3631" t="str">
            <v>Ajuste</v>
          </cell>
          <cell r="X3631">
            <v>2294</v>
          </cell>
          <cell r="Y3631">
            <v>389.98000000000013</v>
          </cell>
        </row>
        <row r="3632">
          <cell r="U3632" t="str">
            <v>L106181</v>
          </cell>
          <cell r="V3632" t="str">
            <v>NV ATN 48x170g-CAJA</v>
          </cell>
          <cell r="W3632" t="str">
            <v>Ajuste</v>
          </cell>
          <cell r="X3632">
            <v>178</v>
          </cell>
          <cell r="Y3632">
            <v>1452.4800000000007</v>
          </cell>
        </row>
        <row r="3633">
          <cell r="U3633" t="str">
            <v>L106182</v>
          </cell>
          <cell r="V3633" t="str">
            <v>NV ATN 1x170g-UNIDAD</v>
          </cell>
          <cell r="W3633" t="str">
            <v>Ajuste</v>
          </cell>
          <cell r="X3633">
            <v>20</v>
          </cell>
          <cell r="Y3633">
            <v>3.4000000000000004</v>
          </cell>
        </row>
        <row r="3634">
          <cell r="U3634" t="str">
            <v>L106320</v>
          </cell>
          <cell r="V3634" t="str">
            <v>NV AZC 25 x 800g-CAJA</v>
          </cell>
          <cell r="W3634" t="str">
            <v>Ajuste</v>
          </cell>
          <cell r="X3634">
            <v>172</v>
          </cell>
          <cell r="Y3634">
            <v>3440</v>
          </cell>
        </row>
        <row r="3635">
          <cell r="U3635" t="str">
            <v>L106346</v>
          </cell>
          <cell r="V3635" t="str">
            <v>NV BPA - UNI</v>
          </cell>
          <cell r="W3635" t="str">
            <v>Ajuste</v>
          </cell>
          <cell r="X3635">
            <v>8365</v>
          </cell>
          <cell r="Y3635">
            <v>83.650000000000034</v>
          </cell>
        </row>
        <row r="3636">
          <cell r="U3636" t="str">
            <v>L106036</v>
          </cell>
          <cell r="V3636" t="str">
            <v>NV CRAVE 24X320g-CAJA</v>
          </cell>
          <cell r="W3636" t="str">
            <v>Ajuste</v>
          </cell>
          <cell r="X3636">
            <v>180</v>
          </cell>
          <cell r="Y3636">
            <v>1382.4</v>
          </cell>
        </row>
        <row r="3637">
          <cell r="U3637" t="str">
            <v>L106036</v>
          </cell>
          <cell r="V3637" t="str">
            <v>NV CRAVE 1X320g-UNI</v>
          </cell>
          <cell r="W3637" t="str">
            <v>Ajuste</v>
          </cell>
          <cell r="X3637">
            <v>1166</v>
          </cell>
          <cell r="Y3637">
            <v>373.11999999999972</v>
          </cell>
        </row>
        <row r="3638">
          <cell r="U3638" t="str">
            <v>L106038</v>
          </cell>
          <cell r="V3638" t="str">
            <v>NV CRAVE 1X320g-UNI</v>
          </cell>
          <cell r="W3638" t="str">
            <v>Ajuste</v>
          </cell>
          <cell r="X3638">
            <v>4</v>
          </cell>
          <cell r="Y3638">
            <v>1.28</v>
          </cell>
        </row>
        <row r="3639">
          <cell r="U3639" t="str">
            <v>L106038</v>
          </cell>
          <cell r="V3639" t="str">
            <v>NV CRAVE 1X320g-UNI</v>
          </cell>
          <cell r="W3639" t="str">
            <v>Mal Ingreso</v>
          </cell>
          <cell r="X3639">
            <v>4</v>
          </cell>
          <cell r="Y3639">
            <v>1.28</v>
          </cell>
        </row>
        <row r="3640">
          <cell r="U3640" t="str">
            <v>L106037</v>
          </cell>
          <cell r="V3640" t="str">
            <v>NV CRMAIZ 24X320g-CAJA</v>
          </cell>
          <cell r="W3640" t="str">
            <v>Ajuste</v>
          </cell>
          <cell r="X3640">
            <v>180</v>
          </cell>
          <cell r="Y3640">
            <v>1382.4</v>
          </cell>
        </row>
        <row r="3641">
          <cell r="U3641" t="str">
            <v>L106037</v>
          </cell>
          <cell r="V3641" t="str">
            <v>NV CRMAIZ 1X320g-UNI</v>
          </cell>
          <cell r="W3641" t="str">
            <v>Ajuste</v>
          </cell>
          <cell r="X3641">
            <v>1166</v>
          </cell>
          <cell r="Y3641">
            <v>373.11999999999972</v>
          </cell>
        </row>
        <row r="3642">
          <cell r="U3642" t="str">
            <v>L106156</v>
          </cell>
          <cell r="V3642" t="str">
            <v>NV HAR 24 x 454g-CAJA</v>
          </cell>
          <cell r="W3642" t="str">
            <v>Ajuste</v>
          </cell>
          <cell r="X3642">
            <v>358</v>
          </cell>
          <cell r="Y3642">
            <v>3898.619999999999</v>
          </cell>
        </row>
        <row r="3643">
          <cell r="U3643" t="str">
            <v>L106156</v>
          </cell>
          <cell r="V3643" t="str">
            <v>NV HAR 1 x 454g-UNI</v>
          </cell>
          <cell r="W3643" t="str">
            <v>Ajuste</v>
          </cell>
          <cell r="X3643">
            <v>1368</v>
          </cell>
          <cell r="Y3643">
            <v>615.6</v>
          </cell>
        </row>
        <row r="3644">
          <cell r="U3644" t="str">
            <v>L106173</v>
          </cell>
          <cell r="V3644" t="str">
            <v>NV LCH 24X400g-CAJA</v>
          </cell>
          <cell r="W3644" t="str">
            <v>Ajuste</v>
          </cell>
          <cell r="X3644">
            <v>178</v>
          </cell>
          <cell r="Y3644">
            <v>1708.8000000000002</v>
          </cell>
        </row>
        <row r="3645">
          <cell r="U3645" t="str">
            <v>L106173</v>
          </cell>
          <cell r="V3645" t="str">
            <v>NV LCH 1X400g-UNI</v>
          </cell>
          <cell r="W3645" t="str">
            <v>Ajuste</v>
          </cell>
          <cell r="X3645">
            <v>1147</v>
          </cell>
          <cell r="Y3645">
            <v>458.7999999999999</v>
          </cell>
        </row>
        <row r="3646">
          <cell r="U3646" t="str">
            <v>L106174</v>
          </cell>
          <cell r="V3646" t="str">
            <v>NV LCH 1X400g-UNI</v>
          </cell>
          <cell r="W3646" t="str">
            <v>Ajuste</v>
          </cell>
          <cell r="X3646">
            <v>10</v>
          </cell>
          <cell r="Y3646">
            <v>4</v>
          </cell>
        </row>
        <row r="3647">
          <cell r="U3647" t="str">
            <v>L106185</v>
          </cell>
          <cell r="V3647" t="str">
            <v>NV LTJ 25X1Lb-CAJA</v>
          </cell>
          <cell r="W3647" t="str">
            <v>Ajuste</v>
          </cell>
          <cell r="X3647">
            <v>342</v>
          </cell>
          <cell r="Y3647">
            <v>3874.8599999999997</v>
          </cell>
        </row>
        <row r="3648">
          <cell r="U3648" t="str">
            <v>L106185</v>
          </cell>
          <cell r="V3648" t="str">
            <v>NV LTJ 1X1Lb-UNI</v>
          </cell>
          <cell r="W3648" t="str">
            <v>Ajuste</v>
          </cell>
          <cell r="X3648">
            <v>1287</v>
          </cell>
          <cell r="Y3648">
            <v>579.14999999999975</v>
          </cell>
        </row>
        <row r="3649">
          <cell r="U3649" t="str">
            <v>L106186</v>
          </cell>
          <cell r="V3649" t="str">
            <v>NV LTJ 1X1Lb-UNI</v>
          </cell>
          <cell r="W3649" t="str">
            <v>Ajuste</v>
          </cell>
          <cell r="X3649">
            <v>14</v>
          </cell>
          <cell r="Y3649">
            <v>6.3000000000000007</v>
          </cell>
        </row>
        <row r="3650">
          <cell r="U3650" t="str">
            <v>L106034</v>
          </cell>
          <cell r="V3650" t="str">
            <v>NV SAL 1X454g-UNI</v>
          </cell>
          <cell r="W3650" t="str">
            <v>Ajuste</v>
          </cell>
          <cell r="X3650">
            <v>1396</v>
          </cell>
          <cell r="Y3650">
            <v>628.20000000000005</v>
          </cell>
        </row>
        <row r="3651">
          <cell r="U3651" t="str">
            <v>L106034</v>
          </cell>
          <cell r="V3651" t="str">
            <v>NV SAL 30X454g-CAJA</v>
          </cell>
          <cell r="W3651" t="str">
            <v>Ajuste</v>
          </cell>
          <cell r="X3651">
            <v>144</v>
          </cell>
          <cell r="Y3651">
            <v>1961.2799999999984</v>
          </cell>
        </row>
        <row r="3652">
          <cell r="U3652" t="str">
            <v>L106183</v>
          </cell>
          <cell r="V3652" t="str">
            <v>NV SPAGUETTIS 1 x 454G-UNI</v>
          </cell>
          <cell r="W3652" t="str">
            <v>Ajuste</v>
          </cell>
          <cell r="X3652">
            <v>420</v>
          </cell>
          <cell r="Y3652">
            <v>189.00000000000003</v>
          </cell>
        </row>
        <row r="3653">
          <cell r="U3653" t="str">
            <v>L106183</v>
          </cell>
          <cell r="V3653" t="str">
            <v>NV SPAGUETTIS 20 x 454G-CAJA</v>
          </cell>
          <cell r="W3653" t="str">
            <v>Ajuste</v>
          </cell>
          <cell r="X3653">
            <v>856</v>
          </cell>
          <cell r="Y3653">
            <v>7772.4799999999977</v>
          </cell>
        </row>
        <row r="3654">
          <cell r="U3654" t="str">
            <v>L106184</v>
          </cell>
          <cell r="V3654" t="str">
            <v>NV SPAGUETTIS 1 x 454G-UNI</v>
          </cell>
          <cell r="W3654" t="str">
            <v>Ajuste</v>
          </cell>
          <cell r="X3654">
            <v>8</v>
          </cell>
          <cell r="Y3654">
            <v>3.6</v>
          </cell>
        </row>
        <row r="3655">
          <cell r="U3655" t="str">
            <v>L106178</v>
          </cell>
          <cell r="V3655" t="str">
            <v>NV SRD 1X15 OZ-UNI</v>
          </cell>
          <cell r="W3655" t="str">
            <v>Ajuste</v>
          </cell>
          <cell r="X3655">
            <v>10</v>
          </cell>
          <cell r="Y3655">
            <v>4.2</v>
          </cell>
        </row>
        <row r="3656">
          <cell r="U3656" t="str">
            <v>L106178</v>
          </cell>
          <cell r="V3656" t="str">
            <v>SRD 1X15 OZ-UNI</v>
          </cell>
          <cell r="W3656" t="str">
            <v>Ajuste</v>
          </cell>
          <cell r="X3656">
            <v>5</v>
          </cell>
          <cell r="Y3656">
            <v>2.1</v>
          </cell>
        </row>
        <row r="3657">
          <cell r="U3657" t="str">
            <v>L106178</v>
          </cell>
          <cell r="V3657" t="str">
            <v>SRD 1X15 OZ-UNI</v>
          </cell>
          <cell r="W3657" t="str">
            <v>Mal Ingreso</v>
          </cell>
          <cell r="X3657">
            <v>5</v>
          </cell>
          <cell r="Y3657">
            <v>2.1</v>
          </cell>
        </row>
        <row r="3658">
          <cell r="U3658" t="str">
            <v>L106177</v>
          </cell>
          <cell r="V3658" t="str">
            <v>NV SRD 24X15 OZ-CAJA</v>
          </cell>
          <cell r="W3658" t="str">
            <v>Ajuste</v>
          </cell>
          <cell r="X3658">
            <v>178</v>
          </cell>
          <cell r="Y3658">
            <v>1815.600000000001</v>
          </cell>
        </row>
        <row r="3659">
          <cell r="U3659" t="str">
            <v>L106177</v>
          </cell>
          <cell r="V3659" t="str">
            <v>NV SRD 1X15 OZ-UNI</v>
          </cell>
          <cell r="W3659" t="str">
            <v>Ajuste</v>
          </cell>
          <cell r="X3659">
            <v>1147</v>
          </cell>
          <cell r="Y3659">
            <v>481.7399999999999</v>
          </cell>
        </row>
        <row r="3660">
          <cell r="U3660" t="str">
            <v>L106175</v>
          </cell>
          <cell r="V3660" t="str">
            <v>NV SRD 1X5.5 ONZ-UNI</v>
          </cell>
          <cell r="W3660" t="str">
            <v>Ajuste</v>
          </cell>
          <cell r="X3660">
            <v>2090</v>
          </cell>
          <cell r="Y3660">
            <v>313.50000000000017</v>
          </cell>
        </row>
        <row r="3661">
          <cell r="U3661" t="str">
            <v>L106175</v>
          </cell>
          <cell r="V3661" t="str">
            <v>NV SRD 50X5.5 ONZ-CAJA</v>
          </cell>
          <cell r="W3661" t="str">
            <v>Ajuste</v>
          </cell>
          <cell r="X3661">
            <v>170</v>
          </cell>
          <cell r="Y3661">
            <v>1324.3000000000002</v>
          </cell>
        </row>
        <row r="3662">
          <cell r="U3662" t="str">
            <v>L106176</v>
          </cell>
          <cell r="V3662" t="str">
            <v>NV SRD 1X5.5 ONZ-UNI</v>
          </cell>
          <cell r="W3662" t="str">
            <v>Ajuste</v>
          </cell>
          <cell r="X3662">
            <v>64</v>
          </cell>
          <cell r="Y3662">
            <v>9.6</v>
          </cell>
        </row>
        <row r="3663">
          <cell r="U3663" t="str">
            <v>L107338</v>
          </cell>
          <cell r="V3663" t="str">
            <v>PAL 6kg-Caja</v>
          </cell>
          <cell r="W3663" t="str">
            <v>Ajuste</v>
          </cell>
          <cell r="X3663">
            <v>1</v>
          </cell>
          <cell r="Y3663">
            <v>6</v>
          </cell>
        </row>
        <row r="3664">
          <cell r="U3664" t="str">
            <v>L106098</v>
          </cell>
          <cell r="V3664" t="str">
            <v>Pan kg</v>
          </cell>
          <cell r="W3664" t="str">
            <v>Ajuste</v>
          </cell>
          <cell r="X3664">
            <v>29.2</v>
          </cell>
          <cell r="Y3664">
            <v>29.2</v>
          </cell>
        </row>
        <row r="3665">
          <cell r="U3665" t="str">
            <v>L106137</v>
          </cell>
          <cell r="V3665" t="str">
            <v>Pan kg</v>
          </cell>
          <cell r="W3665" t="str">
            <v>Ajuste</v>
          </cell>
          <cell r="X3665">
            <v>3.25</v>
          </cell>
          <cell r="Y3665">
            <v>3.25</v>
          </cell>
        </row>
        <row r="3666">
          <cell r="U3666" t="str">
            <v>L106151</v>
          </cell>
          <cell r="V3666" t="str">
            <v>Pan kg</v>
          </cell>
          <cell r="W3666" t="str">
            <v>Ajuste</v>
          </cell>
          <cell r="X3666">
            <v>0.95</v>
          </cell>
          <cell r="Y3666">
            <v>0.95</v>
          </cell>
        </row>
        <row r="3667">
          <cell r="U3667" t="str">
            <v>L106432</v>
          </cell>
          <cell r="V3667" t="str">
            <v>Pan kg</v>
          </cell>
          <cell r="W3667" t="str">
            <v>Ajuste</v>
          </cell>
          <cell r="X3667">
            <v>2.3199999999999998</v>
          </cell>
          <cell r="Y3667">
            <v>2.3199999999999998</v>
          </cell>
        </row>
        <row r="3668">
          <cell r="U3668" t="str">
            <v>L107150</v>
          </cell>
          <cell r="V3668" t="str">
            <v>Pan kg</v>
          </cell>
          <cell r="W3668" t="str">
            <v>Ajuste</v>
          </cell>
          <cell r="X3668">
            <v>5.2</v>
          </cell>
          <cell r="Y3668">
            <v>5.2</v>
          </cell>
        </row>
        <row r="3669">
          <cell r="U3669" t="str">
            <v>L107285</v>
          </cell>
          <cell r="V3669" t="str">
            <v>Pan kg</v>
          </cell>
          <cell r="W3669" t="str">
            <v>Ajuste</v>
          </cell>
          <cell r="X3669">
            <v>2</v>
          </cell>
          <cell r="Y3669">
            <v>2</v>
          </cell>
        </row>
        <row r="3670">
          <cell r="U3670" t="str">
            <v>L106245</v>
          </cell>
          <cell r="V3670" t="str">
            <v>Pancake kg</v>
          </cell>
          <cell r="W3670" t="str">
            <v>Ajuste</v>
          </cell>
          <cell r="X3670">
            <v>3.47</v>
          </cell>
          <cell r="Y3670">
            <v>3.47</v>
          </cell>
        </row>
        <row r="3671">
          <cell r="U3671" t="str">
            <v>L106802</v>
          </cell>
          <cell r="V3671" t="str">
            <v>Pancake kg</v>
          </cell>
          <cell r="W3671" t="str">
            <v>Ajuste</v>
          </cell>
          <cell r="X3671">
            <v>6.41</v>
          </cell>
          <cell r="Y3671">
            <v>6.41</v>
          </cell>
        </row>
        <row r="3672">
          <cell r="U3672" t="str">
            <v>L106128</v>
          </cell>
          <cell r="V3672" t="str">
            <v>Pasta de tomate kg</v>
          </cell>
          <cell r="W3672" t="str">
            <v>Ajuste</v>
          </cell>
          <cell r="X3672">
            <v>165</v>
          </cell>
          <cell r="Y3672">
            <v>165</v>
          </cell>
        </row>
        <row r="3673">
          <cell r="U3673" t="str">
            <v>L106981</v>
          </cell>
          <cell r="V3673" t="str">
            <v>Pasta de tomate kg</v>
          </cell>
          <cell r="W3673" t="str">
            <v>Ajuste</v>
          </cell>
          <cell r="X3673">
            <v>450</v>
          </cell>
          <cell r="Y3673">
            <v>450</v>
          </cell>
        </row>
        <row r="3674">
          <cell r="U3674" t="str">
            <v>L107104</v>
          </cell>
          <cell r="V3674" t="str">
            <v>Pasta de tomate kg</v>
          </cell>
          <cell r="W3674" t="str">
            <v>Ajuste</v>
          </cell>
          <cell r="X3674">
            <v>1</v>
          </cell>
          <cell r="Y3674">
            <v>1</v>
          </cell>
        </row>
        <row r="3675">
          <cell r="U3675" t="str">
            <v>L107022</v>
          </cell>
          <cell r="V3675" t="str">
            <v>PASTV 6kg</v>
          </cell>
          <cell r="W3675" t="str">
            <v>Ajuste</v>
          </cell>
          <cell r="X3675">
            <v>2</v>
          </cell>
          <cell r="Y3675">
            <v>12</v>
          </cell>
        </row>
        <row r="3676">
          <cell r="U3676" t="str">
            <v>L106149</v>
          </cell>
          <cell r="V3676" t="str">
            <v>PASTVGT 2kg</v>
          </cell>
          <cell r="W3676" t="str">
            <v>Ajuste</v>
          </cell>
          <cell r="X3676">
            <v>4</v>
          </cell>
          <cell r="Y3676">
            <v>8</v>
          </cell>
        </row>
        <row r="3677">
          <cell r="U3677" t="str">
            <v>L106468</v>
          </cell>
          <cell r="V3677" t="str">
            <v>PASTVGT 2kg</v>
          </cell>
          <cell r="W3677" t="str">
            <v>Ajuste</v>
          </cell>
          <cell r="X3677">
            <v>2</v>
          </cell>
          <cell r="Y3677">
            <v>4</v>
          </cell>
        </row>
        <row r="3678">
          <cell r="U3678" t="str">
            <v>L106714</v>
          </cell>
          <cell r="V3678" t="str">
            <v>PASTVGT 3kg</v>
          </cell>
          <cell r="W3678" t="str">
            <v>Ajuste</v>
          </cell>
          <cell r="X3678">
            <v>6</v>
          </cell>
          <cell r="Y3678">
            <v>18</v>
          </cell>
        </row>
        <row r="3679">
          <cell r="U3679" t="str">
            <v>L107363</v>
          </cell>
          <cell r="V3679" t="str">
            <v>PCK 1kg - CAJA</v>
          </cell>
          <cell r="W3679" t="str">
            <v>Ajuste</v>
          </cell>
          <cell r="X3679">
            <v>25</v>
          </cell>
          <cell r="Y3679">
            <v>25</v>
          </cell>
        </row>
        <row r="3680">
          <cell r="U3680" t="str">
            <v>L106238</v>
          </cell>
          <cell r="V3680" t="str">
            <v>PCK 2kg - CAJA</v>
          </cell>
          <cell r="W3680" t="str">
            <v>Ajuste</v>
          </cell>
          <cell r="X3680">
            <v>4</v>
          </cell>
          <cell r="Y3680">
            <v>8</v>
          </cell>
        </row>
        <row r="3681">
          <cell r="U3681" t="str">
            <v>L106239</v>
          </cell>
          <cell r="V3681" t="str">
            <v>PCK 2kg - CAJA</v>
          </cell>
          <cell r="W3681" t="str">
            <v>Ajuste</v>
          </cell>
          <cell r="X3681">
            <v>4</v>
          </cell>
          <cell r="Y3681">
            <v>8</v>
          </cell>
        </row>
        <row r="3682">
          <cell r="U3682" t="str">
            <v>L106240</v>
          </cell>
          <cell r="V3682" t="str">
            <v>PCK 2kg - CAJA</v>
          </cell>
          <cell r="W3682" t="str">
            <v>Ajuste</v>
          </cell>
          <cell r="X3682">
            <v>6</v>
          </cell>
          <cell r="Y3682">
            <v>12</v>
          </cell>
        </row>
        <row r="3683">
          <cell r="U3683" t="str">
            <v>L106554</v>
          </cell>
          <cell r="V3683" t="str">
            <v>PCK 2kg - CAJA</v>
          </cell>
          <cell r="W3683" t="str">
            <v>Ajuste</v>
          </cell>
          <cell r="X3683">
            <v>2</v>
          </cell>
          <cell r="Y3683">
            <v>4</v>
          </cell>
        </row>
        <row r="3684">
          <cell r="U3684" t="str">
            <v>L106954</v>
          </cell>
          <cell r="V3684" t="str">
            <v>PCK 2kg - CAJA</v>
          </cell>
          <cell r="W3684" t="str">
            <v>Ajuste</v>
          </cell>
          <cell r="X3684">
            <v>12</v>
          </cell>
          <cell r="Y3684">
            <v>24</v>
          </cell>
        </row>
        <row r="3685">
          <cell r="U3685" t="str">
            <v>L107300</v>
          </cell>
          <cell r="V3685" t="str">
            <v>PCK 2kg - CAJA</v>
          </cell>
          <cell r="W3685" t="str">
            <v>Ajuste</v>
          </cell>
          <cell r="X3685">
            <v>3</v>
          </cell>
          <cell r="Y3685">
            <v>6</v>
          </cell>
        </row>
        <row r="3686">
          <cell r="U3686" t="str">
            <v>L106439</v>
          </cell>
          <cell r="V3686" t="str">
            <v>PDPI 1.5kg</v>
          </cell>
          <cell r="W3686" t="str">
            <v>Ajuste</v>
          </cell>
          <cell r="X3686">
            <v>62</v>
          </cell>
          <cell r="Y3686">
            <v>93</v>
          </cell>
        </row>
        <row r="3687">
          <cell r="U3687" t="str">
            <v>L106051</v>
          </cell>
          <cell r="V3687" t="str">
            <v>PFC 2KG - BOLSA</v>
          </cell>
          <cell r="W3687" t="str">
            <v>Ajuste</v>
          </cell>
          <cell r="X3687">
            <v>62</v>
          </cell>
          <cell r="Y3687">
            <v>124</v>
          </cell>
        </row>
        <row r="3688">
          <cell r="U3688" t="str">
            <v>L106142</v>
          </cell>
          <cell r="V3688" t="str">
            <v>PFC 2KG - BOLSA</v>
          </cell>
          <cell r="W3688" t="str">
            <v>Ajuste</v>
          </cell>
          <cell r="X3688">
            <v>20</v>
          </cell>
          <cell r="Y3688">
            <v>40</v>
          </cell>
        </row>
        <row r="3689">
          <cell r="U3689" t="str">
            <v>L106360</v>
          </cell>
          <cell r="V3689" t="str">
            <v>PFC 2KG - BOLSA</v>
          </cell>
          <cell r="W3689" t="str">
            <v>Ajuste</v>
          </cell>
          <cell r="X3689">
            <v>74</v>
          </cell>
          <cell r="Y3689">
            <v>148</v>
          </cell>
        </row>
        <row r="3690">
          <cell r="U3690" t="str">
            <v>L106587</v>
          </cell>
          <cell r="V3690" t="str">
            <v>PFC 2KG - BOLSA</v>
          </cell>
          <cell r="W3690" t="str">
            <v>Ajuste</v>
          </cell>
          <cell r="X3690">
            <v>116</v>
          </cell>
          <cell r="Y3690">
            <v>232</v>
          </cell>
        </row>
        <row r="3691">
          <cell r="U3691" t="str">
            <v>L106948</v>
          </cell>
          <cell r="V3691" t="str">
            <v>PFC 2KG - BOLSA</v>
          </cell>
          <cell r="W3691" t="str">
            <v>Ajuste</v>
          </cell>
          <cell r="X3691">
            <v>74</v>
          </cell>
          <cell r="Y3691">
            <v>148</v>
          </cell>
        </row>
        <row r="3692">
          <cell r="U3692" t="str">
            <v>L107280</v>
          </cell>
          <cell r="V3692" t="str">
            <v>PFC 2KG - BOLSA</v>
          </cell>
          <cell r="W3692" t="str">
            <v>Ajuste</v>
          </cell>
          <cell r="X3692">
            <v>43</v>
          </cell>
          <cell r="Y3692">
            <v>86</v>
          </cell>
        </row>
        <row r="3693">
          <cell r="U3693" t="str">
            <v>L106939</v>
          </cell>
          <cell r="V3693" t="str">
            <v>PFC 2KG - BOLSA</v>
          </cell>
          <cell r="W3693" t="str">
            <v>Ajuste</v>
          </cell>
          <cell r="X3693">
            <v>2</v>
          </cell>
          <cell r="Y3693">
            <v>4</v>
          </cell>
        </row>
        <row r="3694">
          <cell r="U3694" t="str">
            <v>L106052</v>
          </cell>
          <cell r="V3694" t="str">
            <v>PFC 3KG - CAJA</v>
          </cell>
          <cell r="W3694" t="str">
            <v>Ajuste</v>
          </cell>
          <cell r="X3694">
            <v>2</v>
          </cell>
          <cell r="Y3694">
            <v>6</v>
          </cell>
        </row>
        <row r="3695">
          <cell r="U3695" t="str">
            <v>L106949</v>
          </cell>
          <cell r="V3695" t="str">
            <v>PFC 3KG - CAJA</v>
          </cell>
          <cell r="W3695" t="str">
            <v>Ajuste</v>
          </cell>
          <cell r="X3695">
            <v>2</v>
          </cell>
          <cell r="Y3695">
            <v>6</v>
          </cell>
        </row>
        <row r="3696">
          <cell r="U3696" t="str">
            <v>L107281</v>
          </cell>
          <cell r="V3696" t="str">
            <v>PFC 3KG - CAJA</v>
          </cell>
          <cell r="W3696" t="str">
            <v>Ajuste</v>
          </cell>
          <cell r="X3696">
            <v>2</v>
          </cell>
          <cell r="Y3696">
            <v>6</v>
          </cell>
        </row>
        <row r="3697">
          <cell r="U3697" t="str">
            <v>L106260</v>
          </cell>
          <cell r="V3697" t="str">
            <v>PH 1kg</v>
          </cell>
          <cell r="W3697" t="str">
            <v>Ajuste</v>
          </cell>
          <cell r="X3697">
            <v>12</v>
          </cell>
          <cell r="Y3697">
            <v>12</v>
          </cell>
        </row>
        <row r="3698">
          <cell r="U3698" t="str">
            <v>L106832</v>
          </cell>
          <cell r="V3698" t="str">
            <v>PH 1kg</v>
          </cell>
          <cell r="W3698" t="str">
            <v>Ajuste</v>
          </cell>
          <cell r="X3698">
            <v>7</v>
          </cell>
          <cell r="Y3698">
            <v>7</v>
          </cell>
        </row>
        <row r="3699">
          <cell r="U3699" t="str">
            <v>L106832</v>
          </cell>
          <cell r="V3699" t="str">
            <v>PH 1kg</v>
          </cell>
          <cell r="W3699" t="str">
            <v>Uso del BAP</v>
          </cell>
          <cell r="X3699">
            <v>1</v>
          </cell>
          <cell r="Y3699">
            <v>1</v>
          </cell>
        </row>
        <row r="3700">
          <cell r="U3700" t="str">
            <v>L107346</v>
          </cell>
          <cell r="V3700" t="str">
            <v>PH 1kg</v>
          </cell>
          <cell r="W3700" t="str">
            <v>Ajuste</v>
          </cell>
          <cell r="X3700">
            <v>15</v>
          </cell>
          <cell r="Y3700">
            <v>15</v>
          </cell>
        </row>
        <row r="3701">
          <cell r="U3701" t="str">
            <v>L107389</v>
          </cell>
          <cell r="V3701" t="str">
            <v>PHC 1kg - UNIDAD</v>
          </cell>
          <cell r="W3701" t="str">
            <v>Ajuste</v>
          </cell>
          <cell r="X3701">
            <v>30</v>
          </cell>
          <cell r="Y3701">
            <v>30</v>
          </cell>
        </row>
        <row r="3702">
          <cell r="U3702" t="str">
            <v>L106855</v>
          </cell>
          <cell r="V3702" t="str">
            <v>PIEVR 4kg</v>
          </cell>
          <cell r="W3702" t="str">
            <v>Ajuste</v>
          </cell>
          <cell r="X3702">
            <v>158</v>
          </cell>
          <cell r="Y3702">
            <v>632</v>
          </cell>
        </row>
        <row r="3703">
          <cell r="U3703" t="str">
            <v>L106412</v>
          </cell>
          <cell r="V3703" t="str">
            <v>PLA 1.3kg - UNIDAD</v>
          </cell>
          <cell r="W3703" t="str">
            <v>Ajuste</v>
          </cell>
          <cell r="X3703">
            <v>682</v>
          </cell>
          <cell r="Y3703">
            <v>886.599999999999</v>
          </cell>
        </row>
        <row r="3704">
          <cell r="U3704" t="str">
            <v>L106387</v>
          </cell>
          <cell r="V3704" t="str">
            <v>PLM 1kg-CAJA</v>
          </cell>
          <cell r="W3704" t="str">
            <v>Ajuste</v>
          </cell>
          <cell r="X3704">
            <v>4</v>
          </cell>
          <cell r="Y3704">
            <v>4</v>
          </cell>
        </row>
        <row r="3705">
          <cell r="U3705" t="str">
            <v>L106303</v>
          </cell>
          <cell r="V3705" t="str">
            <v>PLMTO 3kg</v>
          </cell>
          <cell r="W3705" t="str">
            <v>Ajuste</v>
          </cell>
          <cell r="X3705">
            <v>6</v>
          </cell>
          <cell r="Y3705">
            <v>18</v>
          </cell>
        </row>
        <row r="3706">
          <cell r="U3706" t="str">
            <v>L106250</v>
          </cell>
          <cell r="V3706" t="str">
            <v>PMP 1kg-CAJA</v>
          </cell>
          <cell r="W3706" t="str">
            <v>Ajuste</v>
          </cell>
          <cell r="X3706">
            <v>24</v>
          </cell>
          <cell r="Y3706">
            <v>24</v>
          </cell>
        </row>
        <row r="3707">
          <cell r="U3707" t="str">
            <v>L106830</v>
          </cell>
          <cell r="V3707" t="str">
            <v>PMP 1kg-CAJA</v>
          </cell>
          <cell r="W3707" t="str">
            <v>Ajuste</v>
          </cell>
          <cell r="X3707">
            <v>20</v>
          </cell>
          <cell r="Y3707">
            <v>20</v>
          </cell>
        </row>
        <row r="3708">
          <cell r="U3708" t="str">
            <v>L107347</v>
          </cell>
          <cell r="V3708" t="str">
            <v>PMP 1kg-CAJA</v>
          </cell>
          <cell r="W3708" t="str">
            <v>Ajuste</v>
          </cell>
          <cell r="X3708">
            <v>6</v>
          </cell>
          <cell r="Y3708">
            <v>6</v>
          </cell>
        </row>
        <row r="3709">
          <cell r="U3709" t="str">
            <v>L107379</v>
          </cell>
          <cell r="V3709" t="str">
            <v>PMT 2kg-CAJA</v>
          </cell>
          <cell r="W3709" t="str">
            <v>Ajuste</v>
          </cell>
          <cell r="X3709">
            <v>2</v>
          </cell>
          <cell r="Y3709">
            <v>4</v>
          </cell>
        </row>
        <row r="3710">
          <cell r="U3710" t="str">
            <v>L106831</v>
          </cell>
          <cell r="V3710" t="str">
            <v>PNA 1kg-CAJA</v>
          </cell>
          <cell r="W3710" t="str">
            <v>Ajuste</v>
          </cell>
          <cell r="X3710">
            <v>14</v>
          </cell>
          <cell r="Y3710">
            <v>14</v>
          </cell>
        </row>
        <row r="3711">
          <cell r="U3711" t="str">
            <v>L107348</v>
          </cell>
          <cell r="V3711" t="str">
            <v>PNA 1kg-CAJA</v>
          </cell>
          <cell r="W3711" t="str">
            <v>Ajuste</v>
          </cell>
          <cell r="X3711">
            <v>5</v>
          </cell>
          <cell r="Y3711">
            <v>5</v>
          </cell>
        </row>
        <row r="3712">
          <cell r="U3712" t="str">
            <v>L106069</v>
          </cell>
          <cell r="V3712" t="str">
            <v>PNALT 3kg</v>
          </cell>
          <cell r="W3712" t="str">
            <v>Ajuste</v>
          </cell>
          <cell r="X3712">
            <v>16</v>
          </cell>
          <cell r="Y3712">
            <v>48</v>
          </cell>
        </row>
        <row r="3713">
          <cell r="U3713" t="str">
            <v>L106070</v>
          </cell>
          <cell r="V3713" t="str">
            <v>PNALT 3kg</v>
          </cell>
          <cell r="W3713" t="str">
            <v>Ajuste</v>
          </cell>
          <cell r="X3713">
            <v>25</v>
          </cell>
          <cell r="Y3713">
            <v>75</v>
          </cell>
        </row>
        <row r="3714">
          <cell r="U3714" t="str">
            <v>L106072</v>
          </cell>
          <cell r="V3714" t="str">
            <v>PNALT 3kg</v>
          </cell>
          <cell r="W3714" t="str">
            <v>Ajuste</v>
          </cell>
          <cell r="X3714">
            <v>10</v>
          </cell>
          <cell r="Y3714">
            <v>30</v>
          </cell>
        </row>
        <row r="3715">
          <cell r="U3715" t="str">
            <v>L106117</v>
          </cell>
          <cell r="V3715" t="str">
            <v>PNALT 3kg</v>
          </cell>
          <cell r="W3715" t="str">
            <v>Ajuste</v>
          </cell>
          <cell r="X3715">
            <v>4</v>
          </cell>
          <cell r="Y3715">
            <v>12</v>
          </cell>
        </row>
        <row r="3716">
          <cell r="U3716" t="str">
            <v>L106118</v>
          </cell>
          <cell r="V3716" t="str">
            <v>PNALT 3kg</v>
          </cell>
          <cell r="W3716" t="str">
            <v>Ajuste</v>
          </cell>
          <cell r="X3716">
            <v>4</v>
          </cell>
          <cell r="Y3716">
            <v>12</v>
          </cell>
        </row>
        <row r="3717">
          <cell r="U3717" t="str">
            <v>L106119</v>
          </cell>
          <cell r="V3717" t="str">
            <v>PNALT 3kg</v>
          </cell>
          <cell r="W3717" t="str">
            <v>Ajuste</v>
          </cell>
          <cell r="X3717">
            <v>8</v>
          </cell>
          <cell r="Y3717">
            <v>24</v>
          </cell>
        </row>
        <row r="3718">
          <cell r="U3718" t="str">
            <v>L106135</v>
          </cell>
          <cell r="V3718" t="str">
            <v>PNALT 3kg</v>
          </cell>
          <cell r="W3718" t="str">
            <v>Ajuste</v>
          </cell>
          <cell r="X3718">
            <v>8</v>
          </cell>
          <cell r="Y3718">
            <v>24</v>
          </cell>
        </row>
        <row r="3719">
          <cell r="U3719" t="str">
            <v>L106308</v>
          </cell>
          <cell r="V3719" t="str">
            <v>PNALT 3kg</v>
          </cell>
          <cell r="W3719" t="str">
            <v>Ajuste</v>
          </cell>
          <cell r="X3719">
            <v>3</v>
          </cell>
          <cell r="Y3719">
            <v>9</v>
          </cell>
        </row>
        <row r="3720">
          <cell r="U3720" t="str">
            <v>L107333</v>
          </cell>
          <cell r="V3720" t="str">
            <v>PNALT 3kg</v>
          </cell>
          <cell r="W3720" t="str">
            <v>Ajuste</v>
          </cell>
          <cell r="X3720">
            <v>3</v>
          </cell>
          <cell r="Y3720">
            <v>9</v>
          </cell>
        </row>
        <row r="3721">
          <cell r="U3721" t="str">
            <v>L106403</v>
          </cell>
          <cell r="V3721" t="str">
            <v>PPC 20kg-BOLSA</v>
          </cell>
          <cell r="W3721" t="str">
            <v>Ajuste</v>
          </cell>
          <cell r="X3721">
            <v>70</v>
          </cell>
          <cell r="Y3721">
            <v>1400</v>
          </cell>
        </row>
        <row r="3722">
          <cell r="U3722" t="str">
            <v>L107014</v>
          </cell>
          <cell r="V3722" t="str">
            <v>PPC 20kg-BOLSA</v>
          </cell>
          <cell r="W3722" t="str">
            <v>Ajuste</v>
          </cell>
          <cell r="X3722">
            <v>114</v>
          </cell>
          <cell r="Y3722">
            <v>2280</v>
          </cell>
        </row>
        <row r="3723">
          <cell r="U3723" t="str">
            <v>L106400</v>
          </cell>
          <cell r="V3723" t="str">
            <v>PPF 2kg-CAJA</v>
          </cell>
          <cell r="W3723" t="str">
            <v>Ajuste</v>
          </cell>
          <cell r="X3723">
            <v>24</v>
          </cell>
          <cell r="Y3723">
            <v>48</v>
          </cell>
        </row>
        <row r="3724">
          <cell r="U3724" t="str">
            <v>L106399</v>
          </cell>
          <cell r="V3724" t="str">
            <v>PPF 3kg-CAJA</v>
          </cell>
          <cell r="W3724" t="str">
            <v>Ajuste</v>
          </cell>
          <cell r="X3724">
            <v>420</v>
          </cell>
          <cell r="Y3724">
            <v>1260</v>
          </cell>
        </row>
        <row r="3725">
          <cell r="U3725" t="str">
            <v>L106861</v>
          </cell>
          <cell r="V3725" t="str">
            <v>PPF 3kg-CAJA</v>
          </cell>
          <cell r="W3725" t="str">
            <v>Ajuste</v>
          </cell>
          <cell r="X3725">
            <v>204</v>
          </cell>
          <cell r="Y3725">
            <v>612</v>
          </cell>
        </row>
        <row r="3726">
          <cell r="U3726" t="str">
            <v>L106884</v>
          </cell>
          <cell r="V3726" t="str">
            <v>PTD 1 kg</v>
          </cell>
          <cell r="W3726" t="str">
            <v>Ajuste</v>
          </cell>
          <cell r="X3726">
            <v>80</v>
          </cell>
          <cell r="Y3726">
            <v>80</v>
          </cell>
        </row>
        <row r="3727">
          <cell r="U3727" t="str">
            <v>L106978</v>
          </cell>
          <cell r="V3727" t="str">
            <v>PTD 1 kg</v>
          </cell>
          <cell r="W3727" t="str">
            <v>Ajuste</v>
          </cell>
          <cell r="X3727">
            <v>29</v>
          </cell>
          <cell r="Y3727">
            <v>29</v>
          </cell>
        </row>
        <row r="3728">
          <cell r="U3728" t="str">
            <v>L106889</v>
          </cell>
          <cell r="V3728" t="str">
            <v>PTD 1 kg</v>
          </cell>
          <cell r="W3728" t="str">
            <v>Ajuste</v>
          </cell>
          <cell r="X3728">
            <v>100</v>
          </cell>
          <cell r="Y3728">
            <v>100</v>
          </cell>
        </row>
        <row r="3729">
          <cell r="U3729" t="str">
            <v>L107224</v>
          </cell>
          <cell r="V3729" t="str">
            <v>PTD 1 kg</v>
          </cell>
          <cell r="W3729" t="str">
            <v>Ajuste</v>
          </cell>
          <cell r="X3729">
            <v>42</v>
          </cell>
          <cell r="Y3729">
            <v>42</v>
          </cell>
        </row>
        <row r="3730">
          <cell r="U3730" t="str">
            <v>L107225</v>
          </cell>
          <cell r="V3730" t="str">
            <v>PTD 1 kg</v>
          </cell>
          <cell r="W3730" t="str">
            <v>Ajuste</v>
          </cell>
          <cell r="X3730">
            <v>72</v>
          </cell>
          <cell r="Y3730">
            <v>72</v>
          </cell>
        </row>
        <row r="3731">
          <cell r="U3731" t="str">
            <v>L106883</v>
          </cell>
          <cell r="V3731" t="str">
            <v>PTD 1 kg</v>
          </cell>
          <cell r="W3731" t="str">
            <v>Ajuste</v>
          </cell>
          <cell r="X3731">
            <v>48</v>
          </cell>
          <cell r="Y3731">
            <v>48</v>
          </cell>
        </row>
        <row r="3732">
          <cell r="U3732" t="str">
            <v>L106885</v>
          </cell>
          <cell r="V3732" t="str">
            <v>PTD 1 kg</v>
          </cell>
          <cell r="W3732" t="str">
            <v>Ajuste</v>
          </cell>
          <cell r="X3732">
            <v>84</v>
          </cell>
          <cell r="Y3732">
            <v>84</v>
          </cell>
        </row>
        <row r="3733">
          <cell r="U3733" t="str">
            <v>L106886</v>
          </cell>
          <cell r="V3733" t="str">
            <v>PTD 1 kg</v>
          </cell>
          <cell r="W3733" t="str">
            <v>Ajuste</v>
          </cell>
          <cell r="X3733">
            <v>24</v>
          </cell>
          <cell r="Y3733">
            <v>24</v>
          </cell>
        </row>
        <row r="3734">
          <cell r="U3734" t="str">
            <v>L106887</v>
          </cell>
          <cell r="V3734" t="str">
            <v>PTD 1 kg</v>
          </cell>
          <cell r="W3734" t="str">
            <v>Ajuste</v>
          </cell>
          <cell r="X3734">
            <v>89</v>
          </cell>
          <cell r="Y3734">
            <v>89</v>
          </cell>
        </row>
        <row r="3735">
          <cell r="U3735" t="str">
            <v>L106888</v>
          </cell>
          <cell r="V3735" t="str">
            <v>PTD 1 kg</v>
          </cell>
          <cell r="W3735" t="str">
            <v>Ajuste</v>
          </cell>
          <cell r="X3735">
            <v>64</v>
          </cell>
          <cell r="Y3735">
            <v>64</v>
          </cell>
        </row>
        <row r="3736">
          <cell r="U3736" t="str">
            <v>L106898</v>
          </cell>
          <cell r="V3736" t="str">
            <v>PTD 1 kg</v>
          </cell>
          <cell r="W3736" t="str">
            <v>Ajuste</v>
          </cell>
          <cell r="X3736">
            <v>79</v>
          </cell>
          <cell r="Y3736">
            <v>79</v>
          </cell>
        </row>
        <row r="3737">
          <cell r="U3737" t="str">
            <v>L106977</v>
          </cell>
          <cell r="V3737" t="str">
            <v>PTD 1 kg</v>
          </cell>
          <cell r="W3737" t="str">
            <v>Ajuste</v>
          </cell>
          <cell r="X3737">
            <v>11</v>
          </cell>
          <cell r="Y3737">
            <v>11</v>
          </cell>
        </row>
        <row r="3738">
          <cell r="U3738" t="str">
            <v>L106979</v>
          </cell>
          <cell r="V3738" t="str">
            <v>PTD 1 kg</v>
          </cell>
          <cell r="W3738" t="str">
            <v>Ajuste</v>
          </cell>
          <cell r="X3738">
            <v>12</v>
          </cell>
          <cell r="Y3738">
            <v>12</v>
          </cell>
        </row>
        <row r="3739">
          <cell r="U3739" t="str">
            <v>L107220</v>
          </cell>
          <cell r="V3739" t="str">
            <v>PTD 1 kg</v>
          </cell>
          <cell r="W3739" t="str">
            <v>Ajuste</v>
          </cell>
          <cell r="X3739">
            <v>5</v>
          </cell>
          <cell r="Y3739">
            <v>5</v>
          </cell>
        </row>
        <row r="3740">
          <cell r="U3740" t="str">
            <v>L107221</v>
          </cell>
          <cell r="V3740" t="str">
            <v>PTD 1 kg</v>
          </cell>
          <cell r="W3740" t="str">
            <v>Ajuste</v>
          </cell>
          <cell r="X3740">
            <v>14</v>
          </cell>
          <cell r="Y3740">
            <v>14</v>
          </cell>
        </row>
        <row r="3741">
          <cell r="U3741" t="str">
            <v>L107222</v>
          </cell>
          <cell r="V3741" t="str">
            <v>PTD 1 kg</v>
          </cell>
          <cell r="W3741" t="str">
            <v>Ajuste</v>
          </cell>
          <cell r="X3741">
            <v>18</v>
          </cell>
          <cell r="Y3741">
            <v>18</v>
          </cell>
        </row>
        <row r="3742">
          <cell r="U3742" t="str">
            <v>L107223</v>
          </cell>
          <cell r="V3742" t="str">
            <v>PTD 1 kg</v>
          </cell>
          <cell r="W3742" t="str">
            <v>Ajuste</v>
          </cell>
          <cell r="X3742">
            <v>10</v>
          </cell>
          <cell r="Y3742">
            <v>10</v>
          </cell>
        </row>
        <row r="3743">
          <cell r="U3743" t="str">
            <v>L107226</v>
          </cell>
          <cell r="V3743" t="str">
            <v>PTD 1 kg</v>
          </cell>
          <cell r="W3743" t="str">
            <v>Ajuste</v>
          </cell>
          <cell r="X3743">
            <v>14</v>
          </cell>
          <cell r="Y3743">
            <v>14</v>
          </cell>
        </row>
        <row r="3744">
          <cell r="U3744" t="str">
            <v>L107227</v>
          </cell>
          <cell r="V3744" t="str">
            <v>PTD 1 kg</v>
          </cell>
          <cell r="W3744" t="str">
            <v>Ajuste</v>
          </cell>
          <cell r="X3744">
            <v>5</v>
          </cell>
          <cell r="Y3744">
            <v>5</v>
          </cell>
        </row>
        <row r="3745">
          <cell r="U3745" t="str">
            <v>L107228</v>
          </cell>
          <cell r="V3745" t="str">
            <v>PTD 1 kg</v>
          </cell>
          <cell r="W3745" t="str">
            <v>Ajuste</v>
          </cell>
          <cell r="X3745">
            <v>14</v>
          </cell>
          <cell r="Y3745">
            <v>14</v>
          </cell>
        </row>
        <row r="3746">
          <cell r="U3746" t="str">
            <v>L107229</v>
          </cell>
          <cell r="V3746" t="str">
            <v>PTD 1 kg</v>
          </cell>
          <cell r="W3746" t="str">
            <v>Ajuste</v>
          </cell>
          <cell r="X3746">
            <v>6</v>
          </cell>
          <cell r="Y3746">
            <v>6</v>
          </cell>
        </row>
        <row r="3747">
          <cell r="U3747" t="str">
            <v>L107230</v>
          </cell>
          <cell r="V3747" t="str">
            <v>PTD 1 kg</v>
          </cell>
          <cell r="W3747" t="str">
            <v>Ajuste</v>
          </cell>
          <cell r="X3747">
            <v>5</v>
          </cell>
          <cell r="Y3747">
            <v>5</v>
          </cell>
        </row>
        <row r="3748">
          <cell r="U3748" t="str">
            <v>L107231</v>
          </cell>
          <cell r="V3748" t="str">
            <v>PTD 1 kg</v>
          </cell>
          <cell r="W3748" t="str">
            <v>Ajuste</v>
          </cell>
          <cell r="X3748">
            <v>1</v>
          </cell>
          <cell r="Y3748">
            <v>1</v>
          </cell>
        </row>
        <row r="3749">
          <cell r="U3749" t="str">
            <v>L107232</v>
          </cell>
          <cell r="V3749" t="str">
            <v>PTD 1 kg</v>
          </cell>
          <cell r="W3749" t="str">
            <v>Ajuste</v>
          </cell>
          <cell r="X3749">
            <v>12</v>
          </cell>
          <cell r="Y3749">
            <v>12</v>
          </cell>
        </row>
        <row r="3750">
          <cell r="U3750" t="str">
            <v>L107263</v>
          </cell>
          <cell r="V3750" t="str">
            <v>PTD 1 kg</v>
          </cell>
          <cell r="W3750" t="str">
            <v>Ajuste</v>
          </cell>
          <cell r="X3750">
            <v>3</v>
          </cell>
          <cell r="Y3750">
            <v>3</v>
          </cell>
        </row>
        <row r="3751">
          <cell r="U3751" t="str">
            <v>L102833</v>
          </cell>
          <cell r="V3751" t="str">
            <v>PTD 2 kg</v>
          </cell>
          <cell r="W3751" t="str">
            <v>Ajuste</v>
          </cell>
          <cell r="X3751">
            <v>4</v>
          </cell>
          <cell r="Y3751">
            <v>8</v>
          </cell>
        </row>
        <row r="3752">
          <cell r="U3752" t="str">
            <v>L106612</v>
          </cell>
          <cell r="V3752" t="str">
            <v>PTM -2kg- Caja</v>
          </cell>
          <cell r="W3752" t="str">
            <v>Ajuste</v>
          </cell>
          <cell r="X3752">
            <v>8</v>
          </cell>
          <cell r="Y3752">
            <v>16</v>
          </cell>
        </row>
        <row r="3753">
          <cell r="U3753" t="str">
            <v>L106613</v>
          </cell>
          <cell r="V3753" t="str">
            <v>PTM -2kg- Caja</v>
          </cell>
          <cell r="W3753" t="str">
            <v>Ajuste</v>
          </cell>
          <cell r="X3753">
            <v>2</v>
          </cell>
          <cell r="Y3753">
            <v>4</v>
          </cell>
        </row>
        <row r="3754">
          <cell r="U3754" t="str">
            <v>L106614</v>
          </cell>
          <cell r="V3754" t="str">
            <v>PTM -2kg- Caja</v>
          </cell>
          <cell r="W3754" t="str">
            <v>Ajuste</v>
          </cell>
          <cell r="X3754">
            <v>2</v>
          </cell>
          <cell r="Y3754">
            <v>4</v>
          </cell>
        </row>
        <row r="3755">
          <cell r="U3755" t="str">
            <v>L106611</v>
          </cell>
          <cell r="V3755" t="str">
            <v>PTM -3kg- Caja</v>
          </cell>
          <cell r="W3755" t="str">
            <v>Ajuste</v>
          </cell>
          <cell r="X3755">
            <v>2</v>
          </cell>
          <cell r="Y3755">
            <v>6</v>
          </cell>
        </row>
        <row r="3756">
          <cell r="U3756" t="str">
            <v>L106838</v>
          </cell>
          <cell r="V3756" t="str">
            <v>PTM 5kg-CAJA</v>
          </cell>
          <cell r="W3756" t="str">
            <v>Ajuste</v>
          </cell>
          <cell r="X3756">
            <v>120</v>
          </cell>
          <cell r="Y3756">
            <v>600</v>
          </cell>
        </row>
        <row r="3757">
          <cell r="U3757" t="str">
            <v>L106837</v>
          </cell>
          <cell r="V3757" t="str">
            <v>PTM 5kg-CAJA</v>
          </cell>
          <cell r="W3757" t="str">
            <v>Ajuste</v>
          </cell>
          <cell r="X3757">
            <v>108</v>
          </cell>
          <cell r="Y3757">
            <v>540</v>
          </cell>
        </row>
        <row r="3758">
          <cell r="U3758" t="str">
            <v>L106836</v>
          </cell>
          <cell r="V3758" t="str">
            <v>PTM 5kg-CAJA</v>
          </cell>
          <cell r="W3758" t="str">
            <v>Ajuste</v>
          </cell>
          <cell r="X3758">
            <v>107</v>
          </cell>
          <cell r="Y3758">
            <v>535</v>
          </cell>
        </row>
        <row r="3759">
          <cell r="U3759" t="str">
            <v>L106835</v>
          </cell>
          <cell r="V3759" t="str">
            <v>PTM 5kg-CAJA</v>
          </cell>
          <cell r="W3759" t="str">
            <v>Ajuste</v>
          </cell>
          <cell r="X3759">
            <v>161</v>
          </cell>
          <cell r="Y3759">
            <v>805</v>
          </cell>
        </row>
        <row r="3760">
          <cell r="U3760" t="str">
            <v>L106976</v>
          </cell>
          <cell r="V3760" t="str">
            <v>PTM 5kg-CAJA</v>
          </cell>
          <cell r="W3760" t="str">
            <v>Ajuste</v>
          </cell>
          <cell r="X3760">
            <v>222</v>
          </cell>
          <cell r="Y3760">
            <v>1110</v>
          </cell>
        </row>
        <row r="3761">
          <cell r="U3761" t="str">
            <v>L106123</v>
          </cell>
          <cell r="V3761" t="str">
            <v>PTM 5kg-CAJA</v>
          </cell>
          <cell r="W3761" t="str">
            <v>Ajuste</v>
          </cell>
          <cell r="X3761">
            <v>154</v>
          </cell>
          <cell r="Y3761">
            <v>770</v>
          </cell>
        </row>
        <row r="3762">
          <cell r="U3762" t="str">
            <v>L106124</v>
          </cell>
          <cell r="V3762" t="str">
            <v>PTM 5kg-CAJA</v>
          </cell>
          <cell r="W3762" t="str">
            <v>Ajuste</v>
          </cell>
          <cell r="X3762">
            <v>38</v>
          </cell>
          <cell r="Y3762">
            <v>190</v>
          </cell>
        </row>
        <row r="3763">
          <cell r="U3763" t="str">
            <v>L106125</v>
          </cell>
          <cell r="V3763" t="str">
            <v>PTM 5kg-CAJA</v>
          </cell>
          <cell r="W3763" t="str">
            <v>Ajuste</v>
          </cell>
          <cell r="X3763">
            <v>176</v>
          </cell>
          <cell r="Y3763">
            <v>880</v>
          </cell>
        </row>
        <row r="3764">
          <cell r="U3764" t="str">
            <v>L106126</v>
          </cell>
          <cell r="V3764" t="str">
            <v>PTM 5kg-CAJA</v>
          </cell>
          <cell r="W3764" t="str">
            <v>Ajuste</v>
          </cell>
          <cell r="X3764">
            <v>142</v>
          </cell>
          <cell r="Y3764">
            <v>710</v>
          </cell>
        </row>
        <row r="3765">
          <cell r="U3765" t="str">
            <v>L106127</v>
          </cell>
          <cell r="V3765" t="str">
            <v>PTM 5kg-CAJA</v>
          </cell>
          <cell r="W3765" t="str">
            <v>Ajuste</v>
          </cell>
          <cell r="X3765">
            <v>58</v>
          </cell>
          <cell r="Y3765">
            <v>290</v>
          </cell>
        </row>
        <row r="3766">
          <cell r="U3766" t="str">
            <v>L106980</v>
          </cell>
          <cell r="V3766" t="str">
            <v>PTM 5kg-CAJA</v>
          </cell>
          <cell r="W3766" t="str">
            <v>Ajuste</v>
          </cell>
          <cell r="X3766">
            <v>77</v>
          </cell>
          <cell r="Y3766">
            <v>385</v>
          </cell>
        </row>
        <row r="3767">
          <cell r="U3767" t="str">
            <v>L107052</v>
          </cell>
          <cell r="V3767" t="str">
            <v>PTN 1kg-CAJA</v>
          </cell>
          <cell r="W3767" t="str">
            <v>Ajuste</v>
          </cell>
          <cell r="X3767">
            <v>16</v>
          </cell>
          <cell r="Y3767">
            <v>16</v>
          </cell>
        </row>
        <row r="3768">
          <cell r="U3768" t="str">
            <v>L106325</v>
          </cell>
          <cell r="V3768" t="str">
            <v>PTV 5kg</v>
          </cell>
          <cell r="W3768" t="str">
            <v>Ajuste</v>
          </cell>
          <cell r="X3768">
            <v>120</v>
          </cell>
          <cell r="Y3768">
            <v>600</v>
          </cell>
        </row>
        <row r="3769">
          <cell r="U3769" t="str">
            <v>L106104</v>
          </cell>
          <cell r="V3769" t="str">
            <v>PV ADR 3kg</v>
          </cell>
          <cell r="W3769" t="str">
            <v>Ajuste</v>
          </cell>
          <cell r="X3769">
            <v>96</v>
          </cell>
          <cell r="Y3769">
            <v>288</v>
          </cell>
        </row>
        <row r="3770">
          <cell r="U3770" t="str">
            <v>L106772</v>
          </cell>
          <cell r="V3770" t="str">
            <v>PV ARZ 5Kg</v>
          </cell>
          <cell r="W3770" t="str">
            <v>Ajuste</v>
          </cell>
          <cell r="X3770">
            <v>204</v>
          </cell>
          <cell r="Y3770">
            <v>1020</v>
          </cell>
        </row>
        <row r="3771">
          <cell r="U3771" t="str">
            <v>L106162</v>
          </cell>
          <cell r="V3771" t="str">
            <v>PV ARZ 5Kg</v>
          </cell>
          <cell r="W3771" t="str">
            <v>Ajuste</v>
          </cell>
          <cell r="X3771">
            <v>74</v>
          </cell>
          <cell r="Y3771">
            <v>370</v>
          </cell>
        </row>
        <row r="3772">
          <cell r="U3772" t="str">
            <v>L107245</v>
          </cell>
          <cell r="V3772" t="str">
            <v>PV ARZ 5Kg</v>
          </cell>
          <cell r="W3772" t="str">
            <v>Ajuste</v>
          </cell>
          <cell r="X3772">
            <v>56</v>
          </cell>
          <cell r="Y3772">
            <v>280</v>
          </cell>
        </row>
        <row r="3773">
          <cell r="U3773" t="str">
            <v>L106829</v>
          </cell>
          <cell r="V3773" t="str">
            <v>PV CHT 2KG</v>
          </cell>
          <cell r="W3773" t="str">
            <v>Ajuste</v>
          </cell>
          <cell r="X3773">
            <v>20</v>
          </cell>
          <cell r="Y3773">
            <v>40</v>
          </cell>
        </row>
        <row r="3774">
          <cell r="U3774" t="str">
            <v>L106852</v>
          </cell>
          <cell r="V3774" t="str">
            <v>PV CRV 2kg</v>
          </cell>
          <cell r="W3774" t="str">
            <v>Ajuste</v>
          </cell>
          <cell r="X3774">
            <v>4</v>
          </cell>
          <cell r="Y3774">
            <v>8</v>
          </cell>
        </row>
        <row r="3775">
          <cell r="U3775" t="str">
            <v>L106512</v>
          </cell>
          <cell r="V3775" t="str">
            <v>PV EMBV 2kg</v>
          </cell>
          <cell r="W3775" t="str">
            <v>Ajuste</v>
          </cell>
          <cell r="X3775">
            <v>36</v>
          </cell>
          <cell r="Y3775">
            <v>72</v>
          </cell>
        </row>
        <row r="3776">
          <cell r="U3776" t="str">
            <v>L106473</v>
          </cell>
          <cell r="V3776" t="str">
            <v>PV EMBV 2kg</v>
          </cell>
          <cell r="W3776" t="str">
            <v>Ajuste</v>
          </cell>
          <cell r="X3776">
            <v>108</v>
          </cell>
          <cell r="Y3776">
            <v>216</v>
          </cell>
        </row>
        <row r="3777">
          <cell r="U3777" t="str">
            <v>L106511</v>
          </cell>
          <cell r="V3777" t="str">
            <v>PV EMBV 2kg</v>
          </cell>
          <cell r="W3777" t="str">
            <v>Ajuste</v>
          </cell>
          <cell r="X3777">
            <v>12</v>
          </cell>
          <cell r="Y3777">
            <v>24</v>
          </cell>
        </row>
        <row r="3778">
          <cell r="U3778" t="str">
            <v>L106964</v>
          </cell>
          <cell r="V3778" t="str">
            <v>PV EMBV 2kg</v>
          </cell>
          <cell r="W3778" t="str">
            <v>Ajuste</v>
          </cell>
          <cell r="X3778">
            <v>2</v>
          </cell>
          <cell r="Y3778">
            <v>4</v>
          </cell>
        </row>
        <row r="3779">
          <cell r="U3779" t="str">
            <v>L106450</v>
          </cell>
          <cell r="V3779" t="str">
            <v>PV EMBV 3kg</v>
          </cell>
          <cell r="W3779" t="str">
            <v>Ajuste</v>
          </cell>
          <cell r="X3779">
            <v>24</v>
          </cell>
          <cell r="Y3779">
            <v>72</v>
          </cell>
        </row>
        <row r="3780">
          <cell r="U3780" t="str">
            <v>L106451</v>
          </cell>
          <cell r="V3780" t="str">
            <v>PV EMBV 3kg</v>
          </cell>
          <cell r="W3780" t="str">
            <v>Ajuste</v>
          </cell>
          <cell r="X3780">
            <v>12</v>
          </cell>
          <cell r="Y3780">
            <v>36</v>
          </cell>
        </row>
        <row r="3781">
          <cell r="U3781" t="str">
            <v>L106513</v>
          </cell>
          <cell r="V3781" t="str">
            <v>PV EMBV 3kg</v>
          </cell>
          <cell r="W3781" t="str">
            <v>Ajuste</v>
          </cell>
          <cell r="X3781">
            <v>2</v>
          </cell>
          <cell r="Y3781">
            <v>6</v>
          </cell>
        </row>
        <row r="3782">
          <cell r="U3782" t="str">
            <v>L106053</v>
          </cell>
          <cell r="V3782" t="str">
            <v>PV FRUVER 10kg</v>
          </cell>
          <cell r="W3782" t="str">
            <v>Ajuste</v>
          </cell>
          <cell r="X3782">
            <v>104</v>
          </cell>
          <cell r="Y3782">
            <v>1040</v>
          </cell>
        </row>
        <row r="3783">
          <cell r="U3783" t="str">
            <v>L106099</v>
          </cell>
          <cell r="V3783" t="str">
            <v>PV FRUVER 10kg</v>
          </cell>
          <cell r="W3783" t="str">
            <v>Ajuste</v>
          </cell>
          <cell r="X3783">
            <v>78</v>
          </cell>
          <cell r="Y3783">
            <v>780</v>
          </cell>
        </row>
        <row r="3784">
          <cell r="U3784" t="str">
            <v>L106153</v>
          </cell>
          <cell r="V3784" t="str">
            <v>PV FRUVER 10kg</v>
          </cell>
          <cell r="W3784" t="str">
            <v>Ajuste</v>
          </cell>
          <cell r="X3784">
            <v>128</v>
          </cell>
          <cell r="Y3784">
            <v>1280</v>
          </cell>
        </row>
        <row r="3785">
          <cell r="U3785" t="str">
            <v>L106202</v>
          </cell>
          <cell r="V3785" t="str">
            <v>PV FRUVER 10kg</v>
          </cell>
          <cell r="W3785" t="str">
            <v>Ajuste</v>
          </cell>
          <cell r="X3785">
            <v>180</v>
          </cell>
          <cell r="Y3785">
            <v>1800</v>
          </cell>
        </row>
        <row r="3786">
          <cell r="U3786" t="str">
            <v>L106435</v>
          </cell>
          <cell r="V3786" t="str">
            <v>PV FRUVER 10kg</v>
          </cell>
          <cell r="W3786" t="str">
            <v>Ajuste</v>
          </cell>
          <cell r="X3786">
            <v>142</v>
          </cell>
          <cell r="Y3786">
            <v>1420</v>
          </cell>
        </row>
        <row r="3787">
          <cell r="U3787" t="str">
            <v>L106462</v>
          </cell>
          <cell r="V3787" t="str">
            <v>PV FRUVER 10kg</v>
          </cell>
          <cell r="W3787" t="str">
            <v>Ajuste</v>
          </cell>
          <cell r="X3787">
            <v>140</v>
          </cell>
          <cell r="Y3787">
            <v>1400</v>
          </cell>
        </row>
        <row r="3788">
          <cell r="U3788" t="str">
            <v>L106500</v>
          </cell>
          <cell r="V3788" t="str">
            <v>PV FRUVER 10kg</v>
          </cell>
          <cell r="W3788" t="str">
            <v>Ajuste</v>
          </cell>
          <cell r="X3788">
            <v>92</v>
          </cell>
          <cell r="Y3788">
            <v>920</v>
          </cell>
        </row>
        <row r="3789">
          <cell r="U3789" t="str">
            <v>L106598</v>
          </cell>
          <cell r="V3789" t="str">
            <v>PV FRUVER 10kg</v>
          </cell>
          <cell r="W3789" t="str">
            <v>Ajuste</v>
          </cell>
          <cell r="X3789">
            <v>126</v>
          </cell>
          <cell r="Y3789">
            <v>1260</v>
          </cell>
        </row>
        <row r="3790">
          <cell r="U3790" t="str">
            <v>L106653</v>
          </cell>
          <cell r="V3790" t="str">
            <v>PV FRUVER 10kg</v>
          </cell>
          <cell r="W3790" t="str">
            <v>Ajuste</v>
          </cell>
          <cell r="X3790">
            <v>210</v>
          </cell>
          <cell r="Y3790">
            <v>2100</v>
          </cell>
        </row>
        <row r="3791">
          <cell r="U3791" t="str">
            <v>L106826</v>
          </cell>
          <cell r="V3791" t="str">
            <v>PV FRUVER 10kg</v>
          </cell>
          <cell r="W3791" t="str">
            <v>Ajuste</v>
          </cell>
          <cell r="X3791">
            <v>150</v>
          </cell>
          <cell r="Y3791">
            <v>1500</v>
          </cell>
        </row>
        <row r="3792">
          <cell r="U3792" t="str">
            <v>L106971</v>
          </cell>
          <cell r="V3792" t="str">
            <v>PV FRUVER 10kg</v>
          </cell>
          <cell r="W3792" t="str">
            <v>Ajuste</v>
          </cell>
          <cell r="X3792">
            <v>120</v>
          </cell>
          <cell r="Y3792">
            <v>1200</v>
          </cell>
        </row>
        <row r="3793">
          <cell r="U3793" t="str">
            <v>L107033</v>
          </cell>
          <cell r="V3793" t="str">
            <v>PV FRUVER 10kg</v>
          </cell>
          <cell r="W3793" t="str">
            <v>Ajuste</v>
          </cell>
          <cell r="X3793">
            <v>104</v>
          </cell>
          <cell r="Y3793">
            <v>1040</v>
          </cell>
        </row>
        <row r="3794">
          <cell r="U3794" t="str">
            <v>L107065</v>
          </cell>
          <cell r="V3794" t="str">
            <v>PV FRUVER 10kg</v>
          </cell>
          <cell r="W3794" t="str">
            <v>Ajuste</v>
          </cell>
          <cell r="X3794">
            <v>104</v>
          </cell>
          <cell r="Y3794">
            <v>1040</v>
          </cell>
        </row>
        <row r="3795">
          <cell r="U3795" t="str">
            <v>L107148</v>
          </cell>
          <cell r="V3795" t="str">
            <v>PV FRUVER 10kg</v>
          </cell>
          <cell r="W3795" t="str">
            <v>Ajuste</v>
          </cell>
          <cell r="X3795">
            <v>120</v>
          </cell>
          <cell r="Y3795">
            <v>1200</v>
          </cell>
        </row>
        <row r="3796">
          <cell r="U3796" t="str">
            <v>L107293</v>
          </cell>
          <cell r="V3796" t="str">
            <v>PV FRUVER 10kg</v>
          </cell>
          <cell r="W3796" t="str">
            <v>Ajuste</v>
          </cell>
          <cell r="X3796">
            <v>148</v>
          </cell>
          <cell r="Y3796">
            <v>1480</v>
          </cell>
        </row>
        <row r="3797">
          <cell r="U3797" t="str">
            <v>L106046</v>
          </cell>
          <cell r="V3797" t="str">
            <v>PV FRVDVG 5kg</v>
          </cell>
          <cell r="W3797" t="str">
            <v>Ajuste</v>
          </cell>
          <cell r="X3797">
            <v>2</v>
          </cell>
          <cell r="Y3797">
            <v>10</v>
          </cell>
        </row>
        <row r="3798">
          <cell r="U3798" t="str">
            <v>L106049</v>
          </cell>
          <cell r="V3798" t="str">
            <v>PV FRVDVG 5kg</v>
          </cell>
          <cell r="W3798" t="str">
            <v>Ajuste</v>
          </cell>
          <cell r="X3798">
            <v>2</v>
          </cell>
          <cell r="Y3798">
            <v>10</v>
          </cell>
        </row>
        <row r="3799">
          <cell r="U3799" t="str">
            <v>L106102</v>
          </cell>
          <cell r="V3799" t="str">
            <v>PV FRVDVG 5kg</v>
          </cell>
          <cell r="W3799" t="str">
            <v>Ajuste</v>
          </cell>
          <cell r="X3799">
            <v>2</v>
          </cell>
          <cell r="Y3799">
            <v>10</v>
          </cell>
        </row>
        <row r="3800">
          <cell r="U3800" t="str">
            <v>L106592</v>
          </cell>
          <cell r="V3800" t="str">
            <v>PV FRVDVG 5kg</v>
          </cell>
          <cell r="W3800" t="str">
            <v>Ajuste</v>
          </cell>
          <cell r="X3800">
            <v>2</v>
          </cell>
          <cell r="Y3800">
            <v>10</v>
          </cell>
        </row>
        <row r="3801">
          <cell r="U3801" t="str">
            <v>L106719</v>
          </cell>
          <cell r="V3801" t="str">
            <v>PV FRVDVG 5kg</v>
          </cell>
          <cell r="W3801" t="str">
            <v>Ajuste</v>
          </cell>
          <cell r="X3801">
            <v>2</v>
          </cell>
          <cell r="Y3801">
            <v>10</v>
          </cell>
        </row>
        <row r="3802">
          <cell r="U3802" t="str">
            <v>L107027</v>
          </cell>
          <cell r="V3802" t="str">
            <v>PV FRVDVG 5kg</v>
          </cell>
          <cell r="W3802" t="str">
            <v>Ajuste</v>
          </cell>
          <cell r="X3802">
            <v>2</v>
          </cell>
          <cell r="Y3802">
            <v>10</v>
          </cell>
        </row>
        <row r="3803">
          <cell r="U3803" t="str">
            <v>L107249</v>
          </cell>
          <cell r="V3803" t="str">
            <v>PV FRVDVG 5kg</v>
          </cell>
          <cell r="W3803" t="str">
            <v>Ajuste</v>
          </cell>
          <cell r="X3803">
            <v>2</v>
          </cell>
          <cell r="Y3803">
            <v>10</v>
          </cell>
        </row>
        <row r="3804">
          <cell r="U3804" t="str">
            <v>L106045</v>
          </cell>
          <cell r="V3804" t="str">
            <v>PV FRVDVG 8kg</v>
          </cell>
          <cell r="W3804" t="str">
            <v>Ajuste</v>
          </cell>
          <cell r="X3804">
            <v>8</v>
          </cell>
          <cell r="Y3804">
            <v>64</v>
          </cell>
        </row>
        <row r="3805">
          <cell r="U3805" t="str">
            <v>L106048</v>
          </cell>
          <cell r="V3805" t="str">
            <v>PV FRVDVG 8kg</v>
          </cell>
          <cell r="W3805" t="str">
            <v>Ajuste</v>
          </cell>
          <cell r="X3805">
            <v>14</v>
          </cell>
          <cell r="Y3805">
            <v>112</v>
          </cell>
        </row>
        <row r="3806">
          <cell r="U3806" t="str">
            <v>L106101</v>
          </cell>
          <cell r="V3806" t="str">
            <v>PV FRVDVG 8kg</v>
          </cell>
          <cell r="W3806" t="str">
            <v>Ajuste</v>
          </cell>
          <cell r="X3806">
            <v>12</v>
          </cell>
          <cell r="Y3806">
            <v>96</v>
          </cell>
        </row>
        <row r="3807">
          <cell r="U3807" t="str">
            <v>L106140</v>
          </cell>
          <cell r="V3807" t="str">
            <v>PV FRVDVG 8kg</v>
          </cell>
          <cell r="W3807" t="str">
            <v>Ajuste</v>
          </cell>
          <cell r="X3807">
            <v>8</v>
          </cell>
          <cell r="Y3807">
            <v>64</v>
          </cell>
        </row>
        <row r="3808">
          <cell r="U3808" t="str">
            <v>L106146</v>
          </cell>
          <cell r="V3808" t="str">
            <v>PV FRVDVG 8kg</v>
          </cell>
          <cell r="W3808" t="str">
            <v>Ajuste</v>
          </cell>
          <cell r="X3808">
            <v>18</v>
          </cell>
          <cell r="Y3808">
            <v>144</v>
          </cell>
        </row>
        <row r="3809">
          <cell r="U3809" t="str">
            <v>L106195</v>
          </cell>
          <cell r="V3809" t="str">
            <v>PV FRVDVG 8kg</v>
          </cell>
          <cell r="W3809" t="str">
            <v>Ajuste</v>
          </cell>
          <cell r="X3809">
            <v>14</v>
          </cell>
          <cell r="Y3809">
            <v>112</v>
          </cell>
        </row>
        <row r="3810">
          <cell r="U3810" t="str">
            <v>L106353</v>
          </cell>
          <cell r="V3810" t="str">
            <v>PV FRVDVG 8kg</v>
          </cell>
          <cell r="W3810" t="str">
            <v>Ajuste</v>
          </cell>
          <cell r="X3810">
            <v>26</v>
          </cell>
          <cell r="Y3810">
            <v>208</v>
          </cell>
        </row>
        <row r="3811">
          <cell r="U3811" t="str">
            <v>L106355</v>
          </cell>
          <cell r="V3811" t="str">
            <v>PV FRVDVG 8kg</v>
          </cell>
          <cell r="W3811" t="str">
            <v>Ajuste</v>
          </cell>
          <cell r="X3811">
            <v>20</v>
          </cell>
          <cell r="Y3811">
            <v>160</v>
          </cell>
        </row>
        <row r="3812">
          <cell r="U3812" t="str">
            <v>L106424</v>
          </cell>
          <cell r="V3812" t="str">
            <v>PV FRVDVG 8kg</v>
          </cell>
          <cell r="W3812" t="str">
            <v>Ajuste</v>
          </cell>
          <cell r="X3812">
            <v>22</v>
          </cell>
          <cell r="Y3812">
            <v>176</v>
          </cell>
        </row>
        <row r="3813">
          <cell r="U3813" t="str">
            <v>L106464</v>
          </cell>
          <cell r="V3813" t="str">
            <v>PV FRVDVG 8kg</v>
          </cell>
          <cell r="W3813" t="str">
            <v>Ajuste</v>
          </cell>
          <cell r="X3813">
            <v>20</v>
          </cell>
          <cell r="Y3813">
            <v>160</v>
          </cell>
        </row>
        <row r="3814">
          <cell r="U3814" t="str">
            <v>L106466</v>
          </cell>
          <cell r="V3814" t="str">
            <v>PV FRVDVG 8kg</v>
          </cell>
          <cell r="W3814" t="str">
            <v>Ajuste</v>
          </cell>
          <cell r="X3814">
            <v>40</v>
          </cell>
          <cell r="Y3814">
            <v>320</v>
          </cell>
        </row>
        <row r="3815">
          <cell r="U3815" t="str">
            <v>L106471</v>
          </cell>
          <cell r="V3815" t="str">
            <v>PV FRVDVG 8kg</v>
          </cell>
          <cell r="W3815" t="str">
            <v>Ajuste</v>
          </cell>
          <cell r="X3815">
            <v>30</v>
          </cell>
          <cell r="Y3815">
            <v>240</v>
          </cell>
        </row>
        <row r="3816">
          <cell r="U3816" t="str">
            <v>L106568</v>
          </cell>
          <cell r="V3816" t="str">
            <v>PV FRVDVG 8kg</v>
          </cell>
          <cell r="W3816" t="str">
            <v>Ajuste</v>
          </cell>
          <cell r="X3816">
            <v>20</v>
          </cell>
          <cell r="Y3816">
            <v>160</v>
          </cell>
        </row>
        <row r="3817">
          <cell r="U3817" t="str">
            <v>L106591</v>
          </cell>
          <cell r="V3817" t="str">
            <v>PV FRVDVG 8kg</v>
          </cell>
          <cell r="W3817" t="str">
            <v>Ajuste</v>
          </cell>
          <cell r="X3817">
            <v>30</v>
          </cell>
          <cell r="Y3817">
            <v>240</v>
          </cell>
        </row>
        <row r="3818">
          <cell r="U3818" t="str">
            <v>L106596</v>
          </cell>
          <cell r="V3818" t="str">
            <v>PV FRVDVG 8kg</v>
          </cell>
          <cell r="W3818" t="str">
            <v>Ajuste</v>
          </cell>
          <cell r="X3818">
            <v>8</v>
          </cell>
          <cell r="Y3818">
            <v>64</v>
          </cell>
        </row>
        <row r="3819">
          <cell r="U3819" t="str">
            <v>L106718</v>
          </cell>
          <cell r="V3819" t="str">
            <v>PV FRVDVG 8kg</v>
          </cell>
          <cell r="W3819" t="str">
            <v>Ajuste</v>
          </cell>
          <cell r="X3819">
            <v>28</v>
          </cell>
          <cell r="Y3819">
            <v>224</v>
          </cell>
        </row>
        <row r="3820">
          <cell r="U3820" t="str">
            <v>L106722</v>
          </cell>
          <cell r="V3820" t="str">
            <v>PV FRVDVG 8kg</v>
          </cell>
          <cell r="W3820" t="str">
            <v>Ajuste</v>
          </cell>
          <cell r="X3820">
            <v>16</v>
          </cell>
          <cell r="Y3820">
            <v>128</v>
          </cell>
        </row>
        <row r="3821">
          <cell r="U3821" t="str">
            <v>L106741</v>
          </cell>
          <cell r="V3821" t="str">
            <v>PV FRVDVG 8kg</v>
          </cell>
          <cell r="W3821" t="str">
            <v>Ajuste</v>
          </cell>
          <cell r="X3821">
            <v>14</v>
          </cell>
          <cell r="Y3821">
            <v>112</v>
          </cell>
        </row>
        <row r="3822">
          <cell r="U3822" t="str">
            <v>L106816</v>
          </cell>
          <cell r="V3822" t="str">
            <v>PV FRVDVG 8kg</v>
          </cell>
          <cell r="W3822" t="str">
            <v>Ajuste</v>
          </cell>
          <cell r="X3822">
            <v>34</v>
          </cell>
          <cell r="Y3822">
            <v>272</v>
          </cell>
        </row>
        <row r="3823">
          <cell r="U3823" t="str">
            <v>L106822</v>
          </cell>
          <cell r="V3823" t="str">
            <v>PV FRVDVG 8kg</v>
          </cell>
          <cell r="W3823" t="str">
            <v>Ajuste</v>
          </cell>
          <cell r="X3823">
            <v>14</v>
          </cell>
          <cell r="Y3823">
            <v>112</v>
          </cell>
        </row>
        <row r="3824">
          <cell r="U3824" t="str">
            <v>L106824</v>
          </cell>
          <cell r="V3824" t="str">
            <v>PV FRVDVG 8kg</v>
          </cell>
          <cell r="W3824" t="str">
            <v>Ajuste</v>
          </cell>
          <cell r="X3824">
            <v>22</v>
          </cell>
          <cell r="Y3824">
            <v>176</v>
          </cell>
        </row>
        <row r="3825">
          <cell r="U3825" t="str">
            <v>L106945</v>
          </cell>
          <cell r="V3825" t="str">
            <v>PV FRVDVG 8kg</v>
          </cell>
          <cell r="W3825" t="str">
            <v>Ajuste</v>
          </cell>
          <cell r="X3825">
            <v>42</v>
          </cell>
          <cell r="Y3825">
            <v>336</v>
          </cell>
        </row>
        <row r="3826">
          <cell r="U3826" t="str">
            <v>L106998</v>
          </cell>
          <cell r="V3826" t="str">
            <v>PV FRVDVG 8kg</v>
          </cell>
          <cell r="W3826" t="str">
            <v>Ajuste</v>
          </cell>
          <cell r="X3826">
            <v>62</v>
          </cell>
          <cell r="Y3826">
            <v>496</v>
          </cell>
        </row>
        <row r="3827">
          <cell r="U3827" t="str">
            <v>L107018</v>
          </cell>
          <cell r="V3827" t="str">
            <v>PV FRVDVG 8kg</v>
          </cell>
          <cell r="W3827" t="str">
            <v>Ajuste</v>
          </cell>
          <cell r="X3827">
            <v>52</v>
          </cell>
          <cell r="Y3827">
            <v>416</v>
          </cell>
        </row>
        <row r="3828">
          <cell r="U3828" t="str">
            <v>L107024</v>
          </cell>
          <cell r="V3828" t="str">
            <v>PV FRVDVG 8kg</v>
          </cell>
          <cell r="W3828" t="str">
            <v>Ajuste</v>
          </cell>
          <cell r="X3828">
            <v>10</v>
          </cell>
          <cell r="Y3828">
            <v>80</v>
          </cell>
        </row>
        <row r="3829">
          <cell r="U3829" t="str">
            <v>L107026</v>
          </cell>
          <cell r="V3829" t="str">
            <v>PV FRVDVG 8kg</v>
          </cell>
          <cell r="W3829" t="str">
            <v>Ajuste</v>
          </cell>
          <cell r="X3829">
            <v>18</v>
          </cell>
          <cell r="Y3829">
            <v>144</v>
          </cell>
        </row>
        <row r="3830">
          <cell r="U3830" t="str">
            <v>L107053</v>
          </cell>
          <cell r="V3830" t="str">
            <v>PV FRVDVG 8kg</v>
          </cell>
          <cell r="W3830" t="str">
            <v>Ajuste</v>
          </cell>
          <cell r="X3830">
            <v>42</v>
          </cell>
          <cell r="Y3830">
            <v>336</v>
          </cell>
        </row>
        <row r="3831">
          <cell r="U3831" t="str">
            <v>L107059</v>
          </cell>
          <cell r="V3831" t="str">
            <v>PV FRVDVG 8kg</v>
          </cell>
          <cell r="W3831" t="str">
            <v>Ajuste</v>
          </cell>
          <cell r="X3831">
            <v>12</v>
          </cell>
          <cell r="Y3831">
            <v>96</v>
          </cell>
        </row>
        <row r="3832">
          <cell r="U3832" t="str">
            <v>L107061</v>
          </cell>
          <cell r="V3832" t="str">
            <v>PV FRVDVG 8kg</v>
          </cell>
          <cell r="W3832" t="str">
            <v>Ajuste</v>
          </cell>
          <cell r="X3832">
            <v>18</v>
          </cell>
          <cell r="Y3832">
            <v>144</v>
          </cell>
        </row>
        <row r="3833">
          <cell r="U3833" t="str">
            <v>L107132</v>
          </cell>
          <cell r="V3833" t="str">
            <v>PV FRVDVG 8kg</v>
          </cell>
          <cell r="W3833" t="str">
            <v>Ajuste</v>
          </cell>
          <cell r="X3833">
            <v>10</v>
          </cell>
          <cell r="Y3833">
            <v>80</v>
          </cell>
        </row>
        <row r="3834">
          <cell r="U3834" t="str">
            <v>L107139</v>
          </cell>
          <cell r="V3834" t="str">
            <v>PV FRVDVG 8kg</v>
          </cell>
          <cell r="W3834" t="str">
            <v>Ajuste</v>
          </cell>
          <cell r="X3834">
            <v>14</v>
          </cell>
          <cell r="Y3834">
            <v>112</v>
          </cell>
        </row>
        <row r="3835">
          <cell r="U3835" t="str">
            <v>L107146</v>
          </cell>
          <cell r="V3835" t="str">
            <v>PV FRVDVG 8kg</v>
          </cell>
          <cell r="W3835" t="str">
            <v>Ajuste</v>
          </cell>
          <cell r="X3835">
            <v>26</v>
          </cell>
          <cell r="Y3835">
            <v>208</v>
          </cell>
        </row>
        <row r="3836">
          <cell r="U3836" t="str">
            <v>L107248</v>
          </cell>
          <cell r="V3836" t="str">
            <v>PV FRVDVG 8kg</v>
          </cell>
          <cell r="W3836" t="str">
            <v>Ajuste</v>
          </cell>
          <cell r="X3836">
            <v>16</v>
          </cell>
          <cell r="Y3836">
            <v>128</v>
          </cell>
        </row>
        <row r="3837">
          <cell r="U3837" t="str">
            <v>L107268</v>
          </cell>
          <cell r="V3837" t="str">
            <v>PV FRVDVG 8kg</v>
          </cell>
          <cell r="W3837" t="str">
            <v>Ajuste</v>
          </cell>
          <cell r="X3837">
            <v>18</v>
          </cell>
          <cell r="Y3837">
            <v>144</v>
          </cell>
        </row>
        <row r="3838">
          <cell r="U3838" t="str">
            <v>L107288</v>
          </cell>
          <cell r="V3838" t="str">
            <v>PV FRVDVG 8kg</v>
          </cell>
          <cell r="W3838" t="str">
            <v>Ajuste</v>
          </cell>
          <cell r="X3838">
            <v>42</v>
          </cell>
          <cell r="Y3838">
            <v>336</v>
          </cell>
        </row>
        <row r="3839">
          <cell r="U3839" t="str">
            <v>L106434</v>
          </cell>
          <cell r="V3839" t="str">
            <v>PV GERB 2Kg</v>
          </cell>
          <cell r="W3839" t="str">
            <v>Ajuste</v>
          </cell>
          <cell r="X3839">
            <v>32</v>
          </cell>
          <cell r="Y3839">
            <v>64</v>
          </cell>
        </row>
        <row r="3840">
          <cell r="U3840" t="str">
            <v>L107308</v>
          </cell>
          <cell r="V3840" t="str">
            <v>PV GLV 2kg</v>
          </cell>
          <cell r="W3840" t="str">
            <v>Ajuste</v>
          </cell>
          <cell r="X3840">
            <v>12</v>
          </cell>
          <cell r="Y3840">
            <v>24</v>
          </cell>
        </row>
        <row r="3841">
          <cell r="U3841" t="str">
            <v>L106610</v>
          </cell>
          <cell r="V3841" t="str">
            <v>PV GLV 4kg</v>
          </cell>
          <cell r="W3841" t="str">
            <v>Ajuste</v>
          </cell>
          <cell r="X3841">
            <v>174</v>
          </cell>
          <cell r="Y3841">
            <v>696</v>
          </cell>
        </row>
        <row r="3842">
          <cell r="U3842" t="str">
            <v>L106797</v>
          </cell>
          <cell r="V3842" t="str">
            <v>PV GTA 1kg</v>
          </cell>
          <cell r="W3842" t="str">
            <v>Ajuste</v>
          </cell>
          <cell r="X3842">
            <v>10</v>
          </cell>
          <cell r="Y3842">
            <v>10</v>
          </cell>
        </row>
        <row r="3843">
          <cell r="U3843" t="str">
            <v>L106798</v>
          </cell>
          <cell r="V3843" t="str">
            <v>PV GTA 1kg</v>
          </cell>
          <cell r="W3843" t="str">
            <v>Ajuste</v>
          </cell>
          <cell r="X3843">
            <v>2</v>
          </cell>
          <cell r="Y3843">
            <v>2</v>
          </cell>
        </row>
        <row r="3844">
          <cell r="U3844" t="str">
            <v>L106814</v>
          </cell>
          <cell r="V3844" t="str">
            <v>PV GTA 1kg</v>
          </cell>
          <cell r="W3844" t="str">
            <v>Ajuste</v>
          </cell>
          <cell r="X3844">
            <v>2</v>
          </cell>
          <cell r="Y3844">
            <v>2</v>
          </cell>
        </row>
        <row r="3845">
          <cell r="U3845" t="str">
            <v>L106815</v>
          </cell>
          <cell r="V3845" t="str">
            <v>PV GTA 1kg</v>
          </cell>
          <cell r="W3845" t="str">
            <v>Ajuste</v>
          </cell>
          <cell r="X3845">
            <v>6</v>
          </cell>
          <cell r="Y3845">
            <v>6</v>
          </cell>
        </row>
        <row r="3846">
          <cell r="U3846" t="str">
            <v>L107006</v>
          </cell>
          <cell r="V3846" t="str">
            <v>PV GTA 1kg</v>
          </cell>
          <cell r="W3846" t="str">
            <v>Ajuste</v>
          </cell>
          <cell r="X3846">
            <v>32</v>
          </cell>
          <cell r="Y3846">
            <v>32</v>
          </cell>
        </row>
        <row r="3847">
          <cell r="U3847" t="str">
            <v>L107266</v>
          </cell>
          <cell r="V3847" t="str">
            <v>PV GTA 1kg</v>
          </cell>
          <cell r="W3847" t="str">
            <v>Ajuste</v>
          </cell>
          <cell r="X3847">
            <v>2</v>
          </cell>
          <cell r="Y3847">
            <v>2</v>
          </cell>
        </row>
        <row r="3848">
          <cell r="U3848" t="str">
            <v>L107265</v>
          </cell>
          <cell r="V3848" t="str">
            <v>PV GTA 2kg-CAJA</v>
          </cell>
          <cell r="W3848" t="str">
            <v>Ajuste</v>
          </cell>
          <cell r="X3848">
            <v>14</v>
          </cell>
          <cell r="Y3848">
            <v>28</v>
          </cell>
        </row>
        <row r="3849">
          <cell r="U3849" t="str">
            <v>L107278</v>
          </cell>
          <cell r="V3849" t="str">
            <v>PV GTA 2kg-CAJA</v>
          </cell>
          <cell r="W3849" t="str">
            <v>Ajuste</v>
          </cell>
          <cell r="X3849">
            <v>2</v>
          </cell>
          <cell r="Y3849">
            <v>4</v>
          </cell>
        </row>
        <row r="3850">
          <cell r="U3850" t="str">
            <v>L107279</v>
          </cell>
          <cell r="V3850" t="str">
            <v>PV GTA 2kg-CAJA</v>
          </cell>
          <cell r="W3850" t="str">
            <v>Ajuste</v>
          </cell>
          <cell r="X3850">
            <v>6</v>
          </cell>
          <cell r="Y3850">
            <v>12</v>
          </cell>
        </row>
        <row r="3851">
          <cell r="U3851" t="str">
            <v>L106475</v>
          </cell>
          <cell r="V3851" t="str">
            <v>PV GTA 5kg-CAJA</v>
          </cell>
          <cell r="W3851" t="str">
            <v>Ajuste</v>
          </cell>
          <cell r="X3851">
            <v>2</v>
          </cell>
          <cell r="Y3851">
            <v>10</v>
          </cell>
        </row>
        <row r="3852">
          <cell r="U3852" t="str">
            <v>L106476</v>
          </cell>
          <cell r="V3852" t="str">
            <v>PV GTA 5kg-CAJA</v>
          </cell>
          <cell r="W3852" t="str">
            <v>Ajuste</v>
          </cell>
          <cell r="X3852">
            <v>4</v>
          </cell>
          <cell r="Y3852">
            <v>20</v>
          </cell>
        </row>
        <row r="3853">
          <cell r="U3853" t="str">
            <v>L106477</v>
          </cell>
          <cell r="V3853" t="str">
            <v>PV GTA 5kg-CAJA</v>
          </cell>
          <cell r="W3853" t="str">
            <v>Ajuste</v>
          </cell>
          <cell r="X3853">
            <v>10</v>
          </cell>
          <cell r="Y3853">
            <v>50</v>
          </cell>
        </row>
        <row r="3854">
          <cell r="U3854" t="str">
            <v>L106478</v>
          </cell>
          <cell r="V3854" t="str">
            <v>PV GTA 5kg-CAJA</v>
          </cell>
          <cell r="W3854" t="str">
            <v>Ajuste</v>
          </cell>
          <cell r="X3854">
            <v>4</v>
          </cell>
          <cell r="Y3854">
            <v>20</v>
          </cell>
        </row>
        <row r="3855">
          <cell r="U3855" t="str">
            <v>L106479</v>
          </cell>
          <cell r="V3855" t="str">
            <v>PV GTA 5kg-CAJA</v>
          </cell>
          <cell r="W3855" t="str">
            <v>Ajuste</v>
          </cell>
          <cell r="X3855">
            <v>4</v>
          </cell>
          <cell r="Y3855">
            <v>20</v>
          </cell>
        </row>
        <row r="3856">
          <cell r="U3856" t="str">
            <v>L106480</v>
          </cell>
          <cell r="V3856" t="str">
            <v>PV GTA 5kg-CAJA</v>
          </cell>
          <cell r="W3856" t="str">
            <v>Ajuste</v>
          </cell>
          <cell r="X3856">
            <v>2</v>
          </cell>
          <cell r="Y3856">
            <v>10</v>
          </cell>
        </row>
        <row r="3857">
          <cell r="U3857" t="str">
            <v>L106481</v>
          </cell>
          <cell r="V3857" t="str">
            <v>PV GTA 5kg-CAJA</v>
          </cell>
          <cell r="W3857" t="str">
            <v>Ajuste</v>
          </cell>
          <cell r="X3857">
            <v>2</v>
          </cell>
          <cell r="Y3857">
            <v>10</v>
          </cell>
        </row>
        <row r="3858">
          <cell r="U3858" t="str">
            <v>L106482</v>
          </cell>
          <cell r="V3858" t="str">
            <v>PV GTA 5kg-CAJA</v>
          </cell>
          <cell r="W3858" t="str">
            <v>Ajuste</v>
          </cell>
          <cell r="X3858">
            <v>2</v>
          </cell>
          <cell r="Y3858">
            <v>10</v>
          </cell>
        </row>
        <row r="3859">
          <cell r="U3859" t="str">
            <v>L106483</v>
          </cell>
          <cell r="V3859" t="str">
            <v>PV GTA 5kg-CAJA</v>
          </cell>
          <cell r="W3859" t="str">
            <v>Ajuste</v>
          </cell>
          <cell r="X3859">
            <v>2</v>
          </cell>
          <cell r="Y3859">
            <v>10</v>
          </cell>
        </row>
        <row r="3860">
          <cell r="U3860" t="str">
            <v>L106484</v>
          </cell>
          <cell r="V3860" t="str">
            <v>PV GTA 5kg-CAJA</v>
          </cell>
          <cell r="W3860" t="str">
            <v>Ajuste</v>
          </cell>
          <cell r="X3860">
            <v>2</v>
          </cell>
          <cell r="Y3860">
            <v>10</v>
          </cell>
        </row>
        <row r="3861">
          <cell r="U3861" t="str">
            <v>L106348</v>
          </cell>
          <cell r="V3861" t="str">
            <v>PV HRPHE 2kg</v>
          </cell>
          <cell r="W3861" t="str">
            <v>Ajuste</v>
          </cell>
          <cell r="X3861">
            <v>458</v>
          </cell>
          <cell r="Y3861">
            <v>916</v>
          </cell>
        </row>
        <row r="3862">
          <cell r="U3862" t="str">
            <v>L106438</v>
          </cell>
          <cell r="V3862" t="str">
            <v>PV JGO 2kg</v>
          </cell>
          <cell r="W3862" t="str">
            <v>Ajuste</v>
          </cell>
          <cell r="X3862">
            <v>908</v>
          </cell>
          <cell r="Y3862">
            <v>1816</v>
          </cell>
        </row>
        <row r="3863">
          <cell r="U3863" t="str">
            <v>L106300</v>
          </cell>
          <cell r="V3863" t="str">
            <v>PV JGO 3kg</v>
          </cell>
          <cell r="W3863" t="str">
            <v>Ajuste</v>
          </cell>
          <cell r="X3863">
            <v>10</v>
          </cell>
          <cell r="Y3863">
            <v>30</v>
          </cell>
        </row>
        <row r="3864">
          <cell r="U3864" t="str">
            <v>L106990</v>
          </cell>
          <cell r="V3864" t="str">
            <v>PV MAN 1Kg</v>
          </cell>
          <cell r="W3864" t="str">
            <v>Ajuste</v>
          </cell>
          <cell r="X3864">
            <v>12</v>
          </cell>
          <cell r="Y3864">
            <v>12</v>
          </cell>
        </row>
        <row r="3865">
          <cell r="U3865" t="str">
            <v>L106993</v>
          </cell>
          <cell r="V3865" t="str">
            <v>PV MAN 1Kg</v>
          </cell>
          <cell r="W3865" t="str">
            <v>Ajuste</v>
          </cell>
          <cell r="X3865">
            <v>32</v>
          </cell>
          <cell r="Y3865">
            <v>32</v>
          </cell>
        </row>
        <row r="3866">
          <cell r="U3866" t="str">
            <v>L107002</v>
          </cell>
          <cell r="V3866" t="str">
            <v>PV MAN 1Kg</v>
          </cell>
          <cell r="W3866" t="str">
            <v>Ajuste</v>
          </cell>
          <cell r="X3866">
            <v>8</v>
          </cell>
          <cell r="Y3866">
            <v>8</v>
          </cell>
        </row>
        <row r="3867">
          <cell r="U3867" t="str">
            <v>L107003</v>
          </cell>
          <cell r="V3867" t="str">
            <v>PV MAN 1Kg</v>
          </cell>
          <cell r="W3867" t="str">
            <v>Ajuste</v>
          </cell>
          <cell r="X3867">
            <v>4</v>
          </cell>
          <cell r="Y3867">
            <v>4</v>
          </cell>
        </row>
        <row r="3868">
          <cell r="U3868" t="str">
            <v>L107005</v>
          </cell>
          <cell r="V3868" t="str">
            <v>PV MAN 1Kg</v>
          </cell>
          <cell r="W3868" t="str">
            <v>Ajuste</v>
          </cell>
          <cell r="X3868">
            <v>4</v>
          </cell>
          <cell r="Y3868">
            <v>4</v>
          </cell>
        </row>
        <row r="3869">
          <cell r="U3869" t="str">
            <v>L106485</v>
          </cell>
          <cell r="V3869" t="str">
            <v>PV MNS 10Kg-PAQUETE</v>
          </cell>
          <cell r="W3869" t="str">
            <v>Ajuste</v>
          </cell>
          <cell r="X3869">
            <v>200</v>
          </cell>
          <cell r="Y3869">
            <v>2000</v>
          </cell>
        </row>
        <row r="3870">
          <cell r="U3870" t="str">
            <v>L106764</v>
          </cell>
          <cell r="V3870" t="str">
            <v>PV MNS 10Kg-PAQUETE</v>
          </cell>
          <cell r="W3870" t="str">
            <v>Ajuste</v>
          </cell>
          <cell r="X3870">
            <v>776</v>
          </cell>
          <cell r="Y3870">
            <v>7760</v>
          </cell>
        </row>
        <row r="3871">
          <cell r="U3871" t="str">
            <v>L106819</v>
          </cell>
          <cell r="V3871" t="str">
            <v>PV PAN 2kg</v>
          </cell>
          <cell r="W3871" t="str">
            <v>Ajuste</v>
          </cell>
          <cell r="X3871">
            <v>14</v>
          </cell>
          <cell r="Y3871">
            <v>28</v>
          </cell>
        </row>
        <row r="3872">
          <cell r="U3872" t="str">
            <v>L106095</v>
          </cell>
          <cell r="V3872" t="str">
            <v>PV PAN 2kg</v>
          </cell>
          <cell r="W3872" t="str">
            <v>Ajuste</v>
          </cell>
          <cell r="X3872">
            <v>14</v>
          </cell>
          <cell r="Y3872">
            <v>28</v>
          </cell>
        </row>
        <row r="3873">
          <cell r="U3873" t="str">
            <v>L106097</v>
          </cell>
          <cell r="V3873" t="str">
            <v>PV PAN 2kg</v>
          </cell>
          <cell r="W3873" t="str">
            <v>Ajuste</v>
          </cell>
          <cell r="X3873">
            <v>18</v>
          </cell>
          <cell r="Y3873">
            <v>36</v>
          </cell>
        </row>
        <row r="3874">
          <cell r="U3874" t="str">
            <v>L106138</v>
          </cell>
          <cell r="V3874" t="str">
            <v>PV PAN 2kg</v>
          </cell>
          <cell r="W3874" t="str">
            <v>Ajuste</v>
          </cell>
          <cell r="X3874">
            <v>14</v>
          </cell>
          <cell r="Y3874">
            <v>28</v>
          </cell>
        </row>
        <row r="3875">
          <cell r="U3875" t="str">
            <v>L106145</v>
          </cell>
          <cell r="V3875" t="str">
            <v>PV PAN 2kg</v>
          </cell>
          <cell r="W3875" t="str">
            <v>Ajuste</v>
          </cell>
          <cell r="X3875">
            <v>6</v>
          </cell>
          <cell r="Y3875">
            <v>12</v>
          </cell>
        </row>
        <row r="3876">
          <cell r="U3876" t="str">
            <v>L106150</v>
          </cell>
          <cell r="V3876" t="str">
            <v>PV PAN 2kg</v>
          </cell>
          <cell r="W3876" t="str">
            <v>Ajuste</v>
          </cell>
          <cell r="X3876">
            <v>20</v>
          </cell>
          <cell r="Y3876">
            <v>40</v>
          </cell>
        </row>
        <row r="3877">
          <cell r="U3877" t="str">
            <v>L106194</v>
          </cell>
          <cell r="V3877" t="str">
            <v>PV PAN 2kg</v>
          </cell>
          <cell r="W3877" t="str">
            <v>Ajuste</v>
          </cell>
          <cell r="X3877">
            <v>8</v>
          </cell>
          <cell r="Y3877">
            <v>16</v>
          </cell>
        </row>
        <row r="3878">
          <cell r="U3878" t="str">
            <v>L106198</v>
          </cell>
          <cell r="V3878" t="str">
            <v>PV PAN 2kg</v>
          </cell>
          <cell r="W3878" t="str">
            <v>Ajuste</v>
          </cell>
          <cell r="X3878">
            <v>134</v>
          </cell>
          <cell r="Y3878">
            <v>268</v>
          </cell>
        </row>
        <row r="3879">
          <cell r="U3879" t="str">
            <v>L106359</v>
          </cell>
          <cell r="V3879" t="str">
            <v>PV PAN 2kg</v>
          </cell>
          <cell r="W3879" t="str">
            <v>Ajuste</v>
          </cell>
          <cell r="X3879">
            <v>10</v>
          </cell>
          <cell r="Y3879">
            <v>20</v>
          </cell>
        </row>
        <row r="3880">
          <cell r="U3880" t="str">
            <v>L106416</v>
          </cell>
          <cell r="V3880" t="str">
            <v>PV PAN 2kg</v>
          </cell>
          <cell r="W3880" t="str">
            <v>Ajuste</v>
          </cell>
          <cell r="X3880">
            <v>2</v>
          </cell>
          <cell r="Y3880">
            <v>4</v>
          </cell>
        </row>
        <row r="3881">
          <cell r="U3881" t="str">
            <v>L106423</v>
          </cell>
          <cell r="V3881" t="str">
            <v>PV PAN 2kg</v>
          </cell>
          <cell r="W3881" t="str">
            <v>Ajuste</v>
          </cell>
          <cell r="X3881">
            <v>8</v>
          </cell>
          <cell r="Y3881">
            <v>16</v>
          </cell>
        </row>
        <row r="3882">
          <cell r="U3882" t="str">
            <v>L106428</v>
          </cell>
          <cell r="V3882" t="str">
            <v>PV PAN 2kg</v>
          </cell>
          <cell r="W3882" t="str">
            <v>Ajuste</v>
          </cell>
          <cell r="X3882">
            <v>16</v>
          </cell>
          <cell r="Y3882">
            <v>32</v>
          </cell>
        </row>
        <row r="3883">
          <cell r="U3883" t="str">
            <v>L106429</v>
          </cell>
          <cell r="V3883" t="str">
            <v>PV PAN 2kg</v>
          </cell>
          <cell r="W3883" t="str">
            <v>Ajuste</v>
          </cell>
          <cell r="X3883">
            <v>12</v>
          </cell>
          <cell r="Y3883">
            <v>24</v>
          </cell>
        </row>
        <row r="3884">
          <cell r="U3884" t="str">
            <v>L106431</v>
          </cell>
          <cell r="V3884" t="str">
            <v>PV PAN 2kg</v>
          </cell>
          <cell r="W3884" t="str">
            <v>Ajuste</v>
          </cell>
          <cell r="X3884">
            <v>10</v>
          </cell>
          <cell r="Y3884">
            <v>20</v>
          </cell>
        </row>
        <row r="3885">
          <cell r="U3885" t="str">
            <v>L106459</v>
          </cell>
          <cell r="V3885" t="str">
            <v>PV PAN 2kg</v>
          </cell>
          <cell r="W3885" t="str">
            <v>Ajuste</v>
          </cell>
          <cell r="X3885">
            <v>8</v>
          </cell>
          <cell r="Y3885">
            <v>16</v>
          </cell>
        </row>
        <row r="3886">
          <cell r="U3886" t="str">
            <v>L106496</v>
          </cell>
          <cell r="V3886" t="str">
            <v>PV PAN 2kg</v>
          </cell>
          <cell r="W3886" t="str">
            <v>Ajuste</v>
          </cell>
          <cell r="X3886">
            <v>12</v>
          </cell>
          <cell r="Y3886">
            <v>24</v>
          </cell>
        </row>
        <row r="3887">
          <cell r="U3887" t="str">
            <v>L106586</v>
          </cell>
          <cell r="V3887" t="str">
            <v>PV PAN 2kg</v>
          </cell>
          <cell r="W3887" t="str">
            <v>Ajuste</v>
          </cell>
          <cell r="X3887">
            <v>8</v>
          </cell>
          <cell r="Y3887">
            <v>16</v>
          </cell>
        </row>
        <row r="3888">
          <cell r="U3888" t="str">
            <v>L106590</v>
          </cell>
          <cell r="V3888" t="str">
            <v>PV PAN 2kg</v>
          </cell>
          <cell r="W3888" t="str">
            <v>Ajuste</v>
          </cell>
          <cell r="X3888">
            <v>2</v>
          </cell>
          <cell r="Y3888">
            <v>4</v>
          </cell>
        </row>
        <row r="3889">
          <cell r="U3889" t="str">
            <v>L106595</v>
          </cell>
          <cell r="V3889" t="str">
            <v>PV PAN 2kg</v>
          </cell>
          <cell r="W3889" t="str">
            <v>Ajuste</v>
          </cell>
          <cell r="X3889">
            <v>2</v>
          </cell>
          <cell r="Y3889">
            <v>4</v>
          </cell>
        </row>
        <row r="3890">
          <cell r="U3890" t="str">
            <v>L106715</v>
          </cell>
          <cell r="V3890" t="str">
            <v>PV PAN 2kg</v>
          </cell>
          <cell r="W3890" t="str">
            <v>Ajuste</v>
          </cell>
          <cell r="X3890">
            <v>16</v>
          </cell>
          <cell r="Y3890">
            <v>32</v>
          </cell>
        </row>
        <row r="3891">
          <cell r="U3891" t="str">
            <v>L106738</v>
          </cell>
          <cell r="V3891" t="str">
            <v>PV PAN 2kg</v>
          </cell>
          <cell r="W3891" t="str">
            <v>Ajuste</v>
          </cell>
          <cell r="X3891">
            <v>70</v>
          </cell>
          <cell r="Y3891">
            <v>140</v>
          </cell>
        </row>
        <row r="3892">
          <cell r="U3892" t="str">
            <v>L106740</v>
          </cell>
          <cell r="V3892" t="str">
            <v>PV PAN 2kg</v>
          </cell>
          <cell r="W3892" t="str">
            <v>Ajuste</v>
          </cell>
          <cell r="X3892">
            <v>10</v>
          </cell>
          <cell r="Y3892">
            <v>20</v>
          </cell>
        </row>
        <row r="3893">
          <cell r="U3893" t="str">
            <v>L106859</v>
          </cell>
          <cell r="V3893" t="str">
            <v>PV PAN 2kg</v>
          </cell>
          <cell r="W3893" t="str">
            <v>Ajuste</v>
          </cell>
          <cell r="X3893">
            <v>24</v>
          </cell>
          <cell r="Y3893">
            <v>48</v>
          </cell>
        </row>
        <row r="3894">
          <cell r="U3894" t="str">
            <v>L107016</v>
          </cell>
          <cell r="V3894" t="str">
            <v>PV PAN 2kg</v>
          </cell>
          <cell r="W3894" t="str">
            <v>Ajuste</v>
          </cell>
          <cell r="X3894">
            <v>10</v>
          </cell>
          <cell r="Y3894">
            <v>20</v>
          </cell>
        </row>
        <row r="3895">
          <cell r="U3895" t="str">
            <v>L107020</v>
          </cell>
          <cell r="V3895" t="str">
            <v>PV PAN 2kg</v>
          </cell>
          <cell r="W3895" t="str">
            <v>Ajuste</v>
          </cell>
          <cell r="X3895">
            <v>10</v>
          </cell>
          <cell r="Y3895">
            <v>20</v>
          </cell>
        </row>
        <row r="3896">
          <cell r="U3896" t="str">
            <v>L107050</v>
          </cell>
          <cell r="V3896" t="str">
            <v>PV PAN 2kg</v>
          </cell>
          <cell r="W3896" t="str">
            <v>Ajuste</v>
          </cell>
          <cell r="X3896">
            <v>6</v>
          </cell>
          <cell r="Y3896">
            <v>12</v>
          </cell>
        </row>
        <row r="3897">
          <cell r="U3897" t="str">
            <v>L107051</v>
          </cell>
          <cell r="V3897" t="str">
            <v>PV PAN 2kg</v>
          </cell>
          <cell r="W3897" t="str">
            <v>Ajuste</v>
          </cell>
          <cell r="X3897">
            <v>30</v>
          </cell>
          <cell r="Y3897">
            <v>60</v>
          </cell>
        </row>
        <row r="3898">
          <cell r="U3898" t="str">
            <v>L107058</v>
          </cell>
          <cell r="V3898" t="str">
            <v>PV PAN 2kg</v>
          </cell>
          <cell r="W3898" t="str">
            <v>Ajuste</v>
          </cell>
          <cell r="X3898">
            <v>12</v>
          </cell>
          <cell r="Y3898">
            <v>24</v>
          </cell>
        </row>
        <row r="3899">
          <cell r="U3899" t="str">
            <v>L107131</v>
          </cell>
          <cell r="V3899" t="str">
            <v>PV PAN 2kg</v>
          </cell>
          <cell r="W3899" t="str">
            <v>Ajuste</v>
          </cell>
          <cell r="X3899">
            <v>4</v>
          </cell>
          <cell r="Y3899">
            <v>8</v>
          </cell>
        </row>
        <row r="3900">
          <cell r="U3900" t="str">
            <v>L107137</v>
          </cell>
          <cell r="V3900" t="str">
            <v>PV PAN 2kg</v>
          </cell>
          <cell r="W3900" t="str">
            <v>Ajuste</v>
          </cell>
          <cell r="X3900">
            <v>20</v>
          </cell>
          <cell r="Y3900">
            <v>40</v>
          </cell>
        </row>
        <row r="3901">
          <cell r="U3901" t="str">
            <v>L107143</v>
          </cell>
          <cell r="V3901" t="str">
            <v>PV PAN 2kg</v>
          </cell>
          <cell r="W3901" t="str">
            <v>Ajuste</v>
          </cell>
          <cell r="X3901">
            <v>10</v>
          </cell>
          <cell r="Y3901">
            <v>20</v>
          </cell>
        </row>
        <row r="3902">
          <cell r="U3902" t="str">
            <v>L107283</v>
          </cell>
          <cell r="V3902" t="str">
            <v>PV PAN 2kg</v>
          </cell>
          <cell r="W3902" t="str">
            <v>Ajuste</v>
          </cell>
          <cell r="X3902">
            <v>4</v>
          </cell>
          <cell r="Y3902">
            <v>8</v>
          </cell>
        </row>
        <row r="3903">
          <cell r="U3903" t="str">
            <v>L107284</v>
          </cell>
          <cell r="V3903" t="str">
            <v>PV PAN 2kg</v>
          </cell>
          <cell r="W3903" t="str">
            <v>Ajuste</v>
          </cell>
          <cell r="X3903">
            <v>8</v>
          </cell>
          <cell r="Y3903">
            <v>16</v>
          </cell>
        </row>
        <row r="3904">
          <cell r="U3904" t="str">
            <v>L107290</v>
          </cell>
          <cell r="V3904" t="str">
            <v>PV PAN 2kg</v>
          </cell>
          <cell r="W3904" t="str">
            <v>Ajuste</v>
          </cell>
          <cell r="X3904">
            <v>2</v>
          </cell>
          <cell r="Y3904">
            <v>4</v>
          </cell>
        </row>
        <row r="3905">
          <cell r="U3905" t="str">
            <v>L107291</v>
          </cell>
          <cell r="V3905" t="str">
            <v>PV PAN 2kg</v>
          </cell>
          <cell r="W3905" t="str">
            <v>Ajuste</v>
          </cell>
          <cell r="X3905">
            <v>2</v>
          </cell>
          <cell r="Y3905">
            <v>4</v>
          </cell>
        </row>
        <row r="3906">
          <cell r="U3906" t="str">
            <v>L106147</v>
          </cell>
          <cell r="V3906" t="str">
            <v>PV PAN 3kg-CAJA</v>
          </cell>
          <cell r="W3906" t="str">
            <v>Ajuste</v>
          </cell>
          <cell r="X3906">
            <v>2</v>
          </cell>
          <cell r="Y3906">
            <v>6</v>
          </cell>
        </row>
        <row r="3907">
          <cell r="U3907" t="str">
            <v>L106430</v>
          </cell>
          <cell r="V3907" t="str">
            <v>PV PAN 3kg-CAJA</v>
          </cell>
          <cell r="W3907" t="str">
            <v>Ajuste</v>
          </cell>
          <cell r="X3907">
            <v>2</v>
          </cell>
          <cell r="Y3907">
            <v>6</v>
          </cell>
        </row>
        <row r="3908">
          <cell r="U3908" t="str">
            <v>L107282</v>
          </cell>
          <cell r="V3908" t="str">
            <v>PV PAN 3kg-CAJA</v>
          </cell>
          <cell r="W3908" t="str">
            <v>Ajuste</v>
          </cell>
          <cell r="X3908">
            <v>2</v>
          </cell>
          <cell r="Y3908">
            <v>6</v>
          </cell>
        </row>
        <row r="3909">
          <cell r="U3909" t="str">
            <v>L106094</v>
          </cell>
          <cell r="V3909" t="str">
            <v>PV PASTV 2kg</v>
          </cell>
          <cell r="W3909" t="str">
            <v>Ajuste</v>
          </cell>
          <cell r="X3909">
            <v>22</v>
          </cell>
          <cell r="Y3909">
            <v>44</v>
          </cell>
        </row>
        <row r="3910">
          <cell r="U3910" t="str">
            <v>L106139</v>
          </cell>
          <cell r="V3910" t="str">
            <v>PV PASTV 2kg</v>
          </cell>
          <cell r="W3910" t="str">
            <v>Ajuste</v>
          </cell>
          <cell r="X3910">
            <v>14</v>
          </cell>
          <cell r="Y3910">
            <v>28</v>
          </cell>
        </row>
        <row r="3911">
          <cell r="U3911" t="str">
            <v>L106143</v>
          </cell>
          <cell r="V3911" t="str">
            <v>PV PASTV 2kg</v>
          </cell>
          <cell r="W3911" t="str">
            <v>Ajuste</v>
          </cell>
          <cell r="X3911">
            <v>24</v>
          </cell>
          <cell r="Y3911">
            <v>48</v>
          </cell>
        </row>
        <row r="3912">
          <cell r="U3912" t="str">
            <v>L106192</v>
          </cell>
          <cell r="V3912" t="str">
            <v>PV PASTV 2kg</v>
          </cell>
          <cell r="W3912" t="str">
            <v>Ajuste</v>
          </cell>
          <cell r="X3912">
            <v>30</v>
          </cell>
          <cell r="Y3912">
            <v>60</v>
          </cell>
        </row>
        <row r="3913">
          <cell r="U3913" t="str">
            <v>L106199</v>
          </cell>
          <cell r="V3913" t="str">
            <v>PV PASTV 2kg</v>
          </cell>
          <cell r="W3913" t="str">
            <v>Ajuste</v>
          </cell>
          <cell r="X3913">
            <v>2</v>
          </cell>
          <cell r="Y3913">
            <v>4</v>
          </cell>
        </row>
        <row r="3914">
          <cell r="U3914" t="str">
            <v>L106352</v>
          </cell>
          <cell r="V3914" t="str">
            <v>PV PASTV 2kg</v>
          </cell>
          <cell r="W3914" t="str">
            <v>Ajuste</v>
          </cell>
          <cell r="X3914">
            <v>38</v>
          </cell>
          <cell r="Y3914">
            <v>76</v>
          </cell>
        </row>
        <row r="3915">
          <cell r="U3915" t="str">
            <v>L106358</v>
          </cell>
          <cell r="V3915" t="str">
            <v>PV PASTV 2kg</v>
          </cell>
          <cell r="W3915" t="str">
            <v>Ajuste</v>
          </cell>
          <cell r="X3915">
            <v>22</v>
          </cell>
          <cell r="Y3915">
            <v>44</v>
          </cell>
        </row>
        <row r="3916">
          <cell r="U3916" t="str">
            <v>L106415</v>
          </cell>
          <cell r="V3916" t="str">
            <v>PV PASTV 2kg</v>
          </cell>
          <cell r="W3916" t="str">
            <v>Ajuste</v>
          </cell>
          <cell r="X3916">
            <v>26</v>
          </cell>
          <cell r="Y3916">
            <v>52</v>
          </cell>
        </row>
        <row r="3917">
          <cell r="U3917" t="str">
            <v>L106422</v>
          </cell>
          <cell r="V3917" t="str">
            <v>PV PASTV 2kg</v>
          </cell>
          <cell r="W3917" t="str">
            <v>Ajuste</v>
          </cell>
          <cell r="X3917">
            <v>20</v>
          </cell>
          <cell r="Y3917">
            <v>40</v>
          </cell>
        </row>
        <row r="3918">
          <cell r="U3918" t="str">
            <v>L106458</v>
          </cell>
          <cell r="V3918" t="str">
            <v>PV PASTV 2kg</v>
          </cell>
          <cell r="W3918" t="str">
            <v>Ajuste</v>
          </cell>
          <cell r="X3918">
            <v>38</v>
          </cell>
          <cell r="Y3918">
            <v>76</v>
          </cell>
        </row>
        <row r="3919">
          <cell r="U3919" t="str">
            <v>L106461</v>
          </cell>
          <cell r="V3919" t="str">
            <v>PV PASTV 2kg</v>
          </cell>
          <cell r="W3919" t="str">
            <v>Ajuste</v>
          </cell>
          <cell r="X3919">
            <v>26</v>
          </cell>
          <cell r="Y3919">
            <v>52</v>
          </cell>
        </row>
        <row r="3920">
          <cell r="U3920" t="str">
            <v>L106495</v>
          </cell>
          <cell r="V3920" t="str">
            <v>PV PASTV 2kg</v>
          </cell>
          <cell r="W3920" t="str">
            <v>Ajuste</v>
          </cell>
          <cell r="X3920">
            <v>40</v>
          </cell>
          <cell r="Y3920">
            <v>80</v>
          </cell>
        </row>
        <row r="3921">
          <cell r="U3921" t="str">
            <v>L106498</v>
          </cell>
          <cell r="V3921" t="str">
            <v>PV PASTV 2kg</v>
          </cell>
          <cell r="W3921" t="str">
            <v>Ajuste</v>
          </cell>
          <cell r="X3921">
            <v>18</v>
          </cell>
          <cell r="Y3921">
            <v>36</v>
          </cell>
        </row>
        <row r="3922">
          <cell r="U3922" t="str">
            <v>L106589</v>
          </cell>
          <cell r="V3922" t="str">
            <v>PV PASTV 2kg</v>
          </cell>
          <cell r="W3922" t="str">
            <v>Ajuste</v>
          </cell>
          <cell r="X3922">
            <v>20</v>
          </cell>
          <cell r="Y3922">
            <v>40</v>
          </cell>
        </row>
        <row r="3923">
          <cell r="U3923" t="str">
            <v>L106739</v>
          </cell>
          <cell r="V3923" t="str">
            <v>PV PASTV 2kg</v>
          </cell>
          <cell r="W3923" t="str">
            <v>Ajuste</v>
          </cell>
          <cell r="X3923">
            <v>32</v>
          </cell>
          <cell r="Y3923">
            <v>64</v>
          </cell>
        </row>
        <row r="3924">
          <cell r="U3924" t="str">
            <v>L106820</v>
          </cell>
          <cell r="V3924" t="str">
            <v>PV PASTV 2kg</v>
          </cell>
          <cell r="W3924" t="str">
            <v>Ajuste</v>
          </cell>
          <cell r="X3924">
            <v>2</v>
          </cell>
          <cell r="Y3924">
            <v>4</v>
          </cell>
        </row>
        <row r="3925">
          <cell r="U3925" t="str">
            <v>L106947</v>
          </cell>
          <cell r="V3925" t="str">
            <v>PV PASTV 2kg</v>
          </cell>
          <cell r="W3925" t="str">
            <v>Ajuste</v>
          </cell>
          <cell r="X3925">
            <v>36</v>
          </cell>
          <cell r="Y3925">
            <v>72</v>
          </cell>
        </row>
        <row r="3926">
          <cell r="U3926" t="str">
            <v>L107017</v>
          </cell>
          <cell r="V3926" t="str">
            <v>PV PASTV 2kg</v>
          </cell>
          <cell r="W3926" t="str">
            <v>Ajuste</v>
          </cell>
          <cell r="X3926">
            <v>16</v>
          </cell>
          <cell r="Y3926">
            <v>32</v>
          </cell>
        </row>
        <row r="3927">
          <cell r="U3927" t="str">
            <v>L107021</v>
          </cell>
          <cell r="V3927" t="str">
            <v>PV PASTV 2kg</v>
          </cell>
          <cell r="W3927" t="str">
            <v>Ajuste</v>
          </cell>
          <cell r="X3927">
            <v>4</v>
          </cell>
          <cell r="Y3927">
            <v>8</v>
          </cell>
        </row>
        <row r="3928">
          <cell r="U3928" t="str">
            <v>L107049</v>
          </cell>
          <cell r="V3928" t="str">
            <v>PV PASTV 2kg</v>
          </cell>
          <cell r="W3928" t="str">
            <v>Ajuste</v>
          </cell>
          <cell r="X3928">
            <v>12</v>
          </cell>
          <cell r="Y3928">
            <v>24</v>
          </cell>
        </row>
        <row r="3929">
          <cell r="U3929" t="str">
            <v>L107057</v>
          </cell>
          <cell r="V3929" t="str">
            <v>PV PASTV 2kg</v>
          </cell>
          <cell r="W3929" t="str">
            <v>Ajuste</v>
          </cell>
          <cell r="X3929">
            <v>24</v>
          </cell>
          <cell r="Y3929">
            <v>48</v>
          </cell>
        </row>
        <row r="3930">
          <cell r="U3930" t="str">
            <v>L107130</v>
          </cell>
          <cell r="V3930" t="str">
            <v>PV PASTV 2kg</v>
          </cell>
          <cell r="W3930" t="str">
            <v>Ajuste</v>
          </cell>
          <cell r="X3930">
            <v>18</v>
          </cell>
          <cell r="Y3930">
            <v>36</v>
          </cell>
        </row>
        <row r="3931">
          <cell r="U3931" t="str">
            <v>L107136</v>
          </cell>
          <cell r="V3931" t="str">
            <v>PV PASTV 2kg</v>
          </cell>
          <cell r="W3931" t="str">
            <v>Ajuste</v>
          </cell>
          <cell r="X3931">
            <v>10</v>
          </cell>
          <cell r="Y3931">
            <v>20</v>
          </cell>
        </row>
        <row r="3932">
          <cell r="U3932" t="str">
            <v>L106093</v>
          </cell>
          <cell r="V3932" t="str">
            <v>PV PASTV 3kg</v>
          </cell>
          <cell r="W3932" t="str">
            <v>Ajuste</v>
          </cell>
          <cell r="X3932">
            <v>14</v>
          </cell>
          <cell r="Y3932">
            <v>42</v>
          </cell>
        </row>
        <row r="3933">
          <cell r="U3933" t="str">
            <v>L106144</v>
          </cell>
          <cell r="V3933" t="str">
            <v>PV PASTV 3kg</v>
          </cell>
          <cell r="W3933" t="str">
            <v>Ajuste</v>
          </cell>
          <cell r="X3933">
            <v>32</v>
          </cell>
          <cell r="Y3933">
            <v>96</v>
          </cell>
        </row>
        <row r="3934">
          <cell r="U3934" t="str">
            <v>L106197</v>
          </cell>
          <cell r="V3934" t="str">
            <v>PV PASTV 3kg</v>
          </cell>
          <cell r="W3934" t="str">
            <v>Ajuste</v>
          </cell>
          <cell r="X3934">
            <v>8</v>
          </cell>
          <cell r="Y3934">
            <v>24</v>
          </cell>
        </row>
        <row r="3935">
          <cell r="U3935" t="str">
            <v>L106351</v>
          </cell>
          <cell r="V3935" t="str">
            <v>PV PASTV 3kg</v>
          </cell>
          <cell r="W3935" t="str">
            <v>Ajuste</v>
          </cell>
          <cell r="X3935">
            <v>16</v>
          </cell>
          <cell r="Y3935">
            <v>48</v>
          </cell>
        </row>
        <row r="3936">
          <cell r="U3936" t="str">
            <v>L106357</v>
          </cell>
          <cell r="V3936" t="str">
            <v>PV PASTV 3kg</v>
          </cell>
          <cell r="W3936" t="str">
            <v>Ajuste</v>
          </cell>
          <cell r="X3936">
            <v>24</v>
          </cell>
          <cell r="Y3936">
            <v>72</v>
          </cell>
        </row>
        <row r="3937">
          <cell r="U3937" t="str">
            <v>L106414</v>
          </cell>
          <cell r="V3937" t="str">
            <v>PV PASTV 3kg</v>
          </cell>
          <cell r="W3937" t="str">
            <v>Ajuste</v>
          </cell>
          <cell r="X3937">
            <v>12</v>
          </cell>
          <cell r="Y3937">
            <v>36</v>
          </cell>
        </row>
        <row r="3938">
          <cell r="U3938" t="str">
            <v>L106421</v>
          </cell>
          <cell r="V3938" t="str">
            <v>PV PASTV 3kg</v>
          </cell>
          <cell r="W3938" t="str">
            <v>Ajuste</v>
          </cell>
          <cell r="X3938">
            <v>10</v>
          </cell>
          <cell r="Y3938">
            <v>30</v>
          </cell>
        </row>
        <row r="3939">
          <cell r="U3939" t="str">
            <v>L106457</v>
          </cell>
          <cell r="V3939" t="str">
            <v>PV PASTV 3kg</v>
          </cell>
          <cell r="W3939" t="str">
            <v>Ajuste</v>
          </cell>
          <cell r="X3939">
            <v>18</v>
          </cell>
          <cell r="Y3939">
            <v>54</v>
          </cell>
        </row>
        <row r="3940">
          <cell r="U3940" t="str">
            <v>L106497</v>
          </cell>
          <cell r="V3940" t="str">
            <v>PV PASTV 3kg</v>
          </cell>
          <cell r="W3940" t="str">
            <v>Ajuste</v>
          </cell>
          <cell r="X3940">
            <v>20</v>
          </cell>
          <cell r="Y3940">
            <v>60</v>
          </cell>
        </row>
        <row r="3941">
          <cell r="U3941" t="str">
            <v>L106821</v>
          </cell>
          <cell r="V3941" t="str">
            <v>PV PASTV 3kg</v>
          </cell>
          <cell r="W3941" t="str">
            <v>Ajuste</v>
          </cell>
          <cell r="X3941">
            <v>2</v>
          </cell>
          <cell r="Y3941">
            <v>6</v>
          </cell>
        </row>
        <row r="3942">
          <cell r="U3942" t="str">
            <v>L106943</v>
          </cell>
          <cell r="V3942" t="str">
            <v>PV PASTV 3kg</v>
          </cell>
          <cell r="W3942" t="str">
            <v>Ajuste</v>
          </cell>
          <cell r="X3942">
            <v>8</v>
          </cell>
          <cell r="Y3942">
            <v>24</v>
          </cell>
        </row>
        <row r="3943">
          <cell r="U3943" t="str">
            <v>L107015</v>
          </cell>
          <cell r="V3943" t="str">
            <v>PV PASTV 3kg</v>
          </cell>
          <cell r="W3943" t="str">
            <v>Ajuste</v>
          </cell>
          <cell r="X3943">
            <v>6</v>
          </cell>
          <cell r="Y3943">
            <v>18</v>
          </cell>
        </row>
        <row r="3944">
          <cell r="U3944" t="str">
            <v>L107048</v>
          </cell>
          <cell r="V3944" t="str">
            <v>PV PASTV 3kg</v>
          </cell>
          <cell r="W3944" t="str">
            <v>Ajuste</v>
          </cell>
          <cell r="X3944">
            <v>18</v>
          </cell>
          <cell r="Y3944">
            <v>54</v>
          </cell>
        </row>
        <row r="3945">
          <cell r="U3945" t="str">
            <v>L107129</v>
          </cell>
          <cell r="V3945" t="str">
            <v>PV PASTV 3kg</v>
          </cell>
          <cell r="W3945" t="str">
            <v>Ajuste</v>
          </cell>
          <cell r="X3945">
            <v>12</v>
          </cell>
          <cell r="Y3945">
            <v>36</v>
          </cell>
        </row>
        <row r="3946">
          <cell r="U3946" t="str">
            <v>L107135</v>
          </cell>
          <cell r="V3946" t="str">
            <v>PV PASTV 3kg</v>
          </cell>
          <cell r="W3946" t="str">
            <v>Ajuste</v>
          </cell>
          <cell r="X3946">
            <v>18</v>
          </cell>
          <cell r="Y3946">
            <v>54</v>
          </cell>
        </row>
        <row r="3947">
          <cell r="U3947" t="str">
            <v>L107142</v>
          </cell>
          <cell r="V3947" t="str">
            <v>PV PASTV 3kg</v>
          </cell>
          <cell r="W3947" t="str">
            <v>Ajuste</v>
          </cell>
          <cell r="X3947">
            <v>2</v>
          </cell>
          <cell r="Y3947">
            <v>6</v>
          </cell>
        </row>
        <row r="3948">
          <cell r="U3948" t="str">
            <v>L106193</v>
          </cell>
          <cell r="V3948" t="str">
            <v>PV PASTV 4kg</v>
          </cell>
          <cell r="W3948" t="str">
            <v>Ajuste</v>
          </cell>
          <cell r="X3948">
            <v>10</v>
          </cell>
          <cell r="Y3948">
            <v>40</v>
          </cell>
        </row>
        <row r="3949">
          <cell r="U3949" t="str">
            <v>L106350</v>
          </cell>
          <cell r="V3949" t="str">
            <v>PV PASTV 4kg</v>
          </cell>
          <cell r="W3949" t="str">
            <v>Ajuste</v>
          </cell>
          <cell r="X3949">
            <v>4</v>
          </cell>
          <cell r="Y3949">
            <v>16</v>
          </cell>
        </row>
        <row r="3950">
          <cell r="U3950" t="str">
            <v>L106942</v>
          </cell>
          <cell r="V3950" t="str">
            <v>PV PASTV 4kg</v>
          </cell>
          <cell r="W3950" t="str">
            <v>Ajuste</v>
          </cell>
          <cell r="X3950">
            <v>2</v>
          </cell>
          <cell r="Y3950">
            <v>8</v>
          </cell>
        </row>
        <row r="3951">
          <cell r="U3951" t="str">
            <v>L107056</v>
          </cell>
          <cell r="V3951" t="str">
            <v>PV PASTV 4kg</v>
          </cell>
          <cell r="W3951" t="str">
            <v>Ajuste</v>
          </cell>
          <cell r="X3951">
            <v>6</v>
          </cell>
          <cell r="Y3951">
            <v>24</v>
          </cell>
        </row>
        <row r="3952">
          <cell r="U3952" t="str">
            <v>L107138</v>
          </cell>
          <cell r="V3952" t="str">
            <v>PV PRTZ UND</v>
          </cell>
          <cell r="W3952" t="str">
            <v>Ajuste</v>
          </cell>
          <cell r="X3952">
            <v>26</v>
          </cell>
          <cell r="Y3952">
            <v>26</v>
          </cell>
        </row>
        <row r="3953">
          <cell r="U3953" t="str">
            <v>L106044</v>
          </cell>
          <cell r="V3953" t="str">
            <v>PV PRTZ UND</v>
          </cell>
          <cell r="W3953" t="str">
            <v>Ajuste</v>
          </cell>
          <cell r="X3953">
            <v>16</v>
          </cell>
          <cell r="Y3953">
            <v>16</v>
          </cell>
        </row>
        <row r="3954">
          <cell r="U3954" t="str">
            <v>L106132</v>
          </cell>
          <cell r="V3954" t="str">
            <v>PV PRTZ UND</v>
          </cell>
          <cell r="W3954" t="str">
            <v>Ajuste</v>
          </cell>
          <cell r="X3954">
            <v>18</v>
          </cell>
          <cell r="Y3954">
            <v>18</v>
          </cell>
        </row>
        <row r="3955">
          <cell r="U3955" t="str">
            <v>L106152</v>
          </cell>
          <cell r="V3955" t="str">
            <v>PV PRTZ UND</v>
          </cell>
          <cell r="W3955" t="str">
            <v>Ajuste</v>
          </cell>
          <cell r="X3955">
            <v>32</v>
          </cell>
          <cell r="Y3955">
            <v>32</v>
          </cell>
        </row>
        <row r="3956">
          <cell r="U3956" t="str">
            <v>L106411</v>
          </cell>
          <cell r="V3956" t="str">
            <v>PV PRTZ UND</v>
          </cell>
          <cell r="W3956" t="str">
            <v>Ajuste</v>
          </cell>
          <cell r="X3956">
            <v>32</v>
          </cell>
          <cell r="Y3956">
            <v>32</v>
          </cell>
        </row>
        <row r="3957">
          <cell r="U3957" t="str">
            <v>L106420</v>
          </cell>
          <cell r="V3957" t="str">
            <v>PV PRTZ UND</v>
          </cell>
          <cell r="W3957" t="str">
            <v>Ajuste</v>
          </cell>
          <cell r="X3957">
            <v>20</v>
          </cell>
          <cell r="Y3957">
            <v>20</v>
          </cell>
        </row>
        <row r="3958">
          <cell r="U3958" t="str">
            <v>L106460</v>
          </cell>
          <cell r="V3958" t="str">
            <v>PV PRTZ UND</v>
          </cell>
          <cell r="W3958" t="str">
            <v>Ajuste</v>
          </cell>
          <cell r="X3958">
            <v>10</v>
          </cell>
          <cell r="Y3958">
            <v>10</v>
          </cell>
        </row>
        <row r="3959">
          <cell r="U3959" t="str">
            <v>L106469</v>
          </cell>
          <cell r="V3959" t="str">
            <v>PV PRTZ UND</v>
          </cell>
          <cell r="W3959" t="str">
            <v>Ajuste</v>
          </cell>
          <cell r="X3959">
            <v>32</v>
          </cell>
          <cell r="Y3959">
            <v>32</v>
          </cell>
        </row>
        <row r="3960">
          <cell r="U3960" t="str">
            <v>L106494</v>
          </cell>
          <cell r="V3960" t="str">
            <v>PV PRTZ UND</v>
          </cell>
          <cell r="W3960" t="str">
            <v>Ajuste</v>
          </cell>
          <cell r="X3960">
            <v>34</v>
          </cell>
          <cell r="Y3960">
            <v>34</v>
          </cell>
        </row>
        <row r="3961">
          <cell r="U3961" t="str">
            <v>L106608</v>
          </cell>
          <cell r="V3961" t="str">
            <v>PV PRTZ UND</v>
          </cell>
          <cell r="W3961" t="str">
            <v>Ajuste</v>
          </cell>
          <cell r="X3961">
            <v>8</v>
          </cell>
          <cell r="Y3961">
            <v>8</v>
          </cell>
        </row>
        <row r="3962">
          <cell r="U3962" t="str">
            <v>L106721</v>
          </cell>
          <cell r="V3962" t="str">
            <v>PV PRTZ UND</v>
          </cell>
          <cell r="W3962" t="str">
            <v>Ajuste</v>
          </cell>
          <cell r="X3962">
            <v>24</v>
          </cell>
          <cell r="Y3962">
            <v>24</v>
          </cell>
        </row>
        <row r="3963">
          <cell r="U3963" t="str">
            <v>L106818</v>
          </cell>
          <cell r="V3963" t="str">
            <v>PV PRTZ UND</v>
          </cell>
          <cell r="W3963" t="str">
            <v>Ajuste</v>
          </cell>
          <cell r="X3963">
            <v>6</v>
          </cell>
          <cell r="Y3963">
            <v>6</v>
          </cell>
        </row>
        <row r="3964">
          <cell r="U3964" t="str">
            <v>L106941</v>
          </cell>
          <cell r="V3964" t="str">
            <v>PV PRTZ UND</v>
          </cell>
          <cell r="W3964" t="str">
            <v>Ajuste</v>
          </cell>
          <cell r="X3964">
            <v>4</v>
          </cell>
          <cell r="Y3964">
            <v>4</v>
          </cell>
        </row>
        <row r="3965">
          <cell r="U3965" t="str">
            <v>L107055</v>
          </cell>
          <cell r="V3965" t="str">
            <v>PV PRTZ UND</v>
          </cell>
          <cell r="W3965" t="str">
            <v>Ajuste</v>
          </cell>
          <cell r="X3965">
            <v>30</v>
          </cell>
          <cell r="Y3965">
            <v>30</v>
          </cell>
        </row>
        <row r="3966">
          <cell r="U3966" t="str">
            <v>L107060</v>
          </cell>
          <cell r="V3966" t="str">
            <v>PV PRTZ UND</v>
          </cell>
          <cell r="W3966" t="str">
            <v>Ajuste</v>
          </cell>
          <cell r="X3966">
            <v>18</v>
          </cell>
          <cell r="Y3966">
            <v>18</v>
          </cell>
        </row>
        <row r="3967">
          <cell r="U3967" t="str">
            <v>L107145</v>
          </cell>
          <cell r="V3967" t="str">
            <v>PV PRTZ UND</v>
          </cell>
          <cell r="W3967" t="str">
            <v>Ajuste</v>
          </cell>
          <cell r="X3967">
            <v>20</v>
          </cell>
          <cell r="Y3967">
            <v>20</v>
          </cell>
        </row>
        <row r="3968">
          <cell r="U3968" t="str">
            <v>L106122</v>
          </cell>
          <cell r="V3968" t="str">
            <v>PV PTM 5kg-CAJA</v>
          </cell>
          <cell r="W3968" t="str">
            <v>Ajuste</v>
          </cell>
          <cell r="X3968">
            <v>86</v>
          </cell>
          <cell r="Y3968">
            <v>430</v>
          </cell>
        </row>
        <row r="3969">
          <cell r="U3969" t="str">
            <v>L106828</v>
          </cell>
          <cell r="V3969" t="str">
            <v>PV PTM 5kg-CAJA</v>
          </cell>
          <cell r="W3969" t="str">
            <v>Ajuste</v>
          </cell>
          <cell r="X3969">
            <v>80</v>
          </cell>
          <cell r="Y3969">
            <v>400</v>
          </cell>
        </row>
        <row r="3970">
          <cell r="U3970" t="str">
            <v>L106839</v>
          </cell>
          <cell r="V3970" t="str">
            <v>PV PTM 5kg-CAJA</v>
          </cell>
          <cell r="W3970" t="str">
            <v>Ajuste</v>
          </cell>
          <cell r="X3970">
            <v>66</v>
          </cell>
          <cell r="Y3970">
            <v>330</v>
          </cell>
        </row>
        <row r="3971">
          <cell r="U3971" t="str">
            <v>L106975</v>
          </cell>
          <cell r="V3971" t="str">
            <v>PV PTM 5kg-CAJA</v>
          </cell>
          <cell r="W3971" t="str">
            <v>Ajuste</v>
          </cell>
          <cell r="X3971">
            <v>34</v>
          </cell>
          <cell r="Y3971">
            <v>170</v>
          </cell>
        </row>
        <row r="3972">
          <cell r="U3972" t="str">
            <v>L106603</v>
          </cell>
          <cell r="V3972" t="str">
            <v>PV SDA 12x355ml</v>
          </cell>
          <cell r="W3972" t="str">
            <v>Ajuste</v>
          </cell>
          <cell r="X3972">
            <v>268</v>
          </cell>
          <cell r="Y3972">
            <v>1141.6799999999996</v>
          </cell>
        </row>
        <row r="3973">
          <cell r="U3973" t="str">
            <v>L106725</v>
          </cell>
          <cell r="V3973" t="str">
            <v>PV SDA 12x355ml</v>
          </cell>
          <cell r="W3973" t="str">
            <v>Ajuste</v>
          </cell>
          <cell r="X3973">
            <v>2</v>
          </cell>
          <cell r="Y3973">
            <v>8.52</v>
          </cell>
        </row>
        <row r="3974">
          <cell r="U3974" t="str">
            <v>L106606</v>
          </cell>
          <cell r="V3974" t="str">
            <v>PV SNK 1Kg</v>
          </cell>
          <cell r="W3974" t="str">
            <v>Ajuste</v>
          </cell>
          <cell r="X3974">
            <v>72</v>
          </cell>
          <cell r="Y3974">
            <v>72</v>
          </cell>
        </row>
        <row r="3975">
          <cell r="U3975" t="str">
            <v>L106773</v>
          </cell>
          <cell r="V3975" t="str">
            <v>PV SNK 1Kg</v>
          </cell>
          <cell r="W3975" t="str">
            <v>Ajuste</v>
          </cell>
          <cell r="X3975">
            <v>300</v>
          </cell>
          <cell r="Y3975">
            <v>300</v>
          </cell>
        </row>
        <row r="3976">
          <cell r="U3976" t="str">
            <v>L107180</v>
          </cell>
          <cell r="V3976" t="str">
            <v>PV SNK 1Kg</v>
          </cell>
          <cell r="W3976" t="str">
            <v>Ajuste</v>
          </cell>
          <cell r="X3976">
            <v>4</v>
          </cell>
          <cell r="Y3976">
            <v>4</v>
          </cell>
        </row>
        <row r="3977">
          <cell r="U3977" t="str">
            <v>L107181</v>
          </cell>
          <cell r="V3977" t="str">
            <v>PV SNK 1Kg</v>
          </cell>
          <cell r="W3977" t="str">
            <v>Ajuste</v>
          </cell>
          <cell r="X3977">
            <v>2</v>
          </cell>
          <cell r="Y3977">
            <v>2</v>
          </cell>
        </row>
        <row r="3978">
          <cell r="U3978" t="str">
            <v>L107357</v>
          </cell>
          <cell r="V3978" t="str">
            <v>PV SNK 1Kg</v>
          </cell>
          <cell r="W3978" t="str">
            <v>Ajuste</v>
          </cell>
          <cell r="X3978">
            <v>3</v>
          </cell>
          <cell r="Y3978">
            <v>3</v>
          </cell>
        </row>
        <row r="3979">
          <cell r="U3979" t="str">
            <v>L107191</v>
          </cell>
          <cell r="V3979" t="str">
            <v>PV SNK 2kg</v>
          </cell>
          <cell r="W3979" t="str">
            <v>Ajuste</v>
          </cell>
          <cell r="X3979">
            <v>2</v>
          </cell>
          <cell r="Y3979">
            <v>4</v>
          </cell>
        </row>
        <row r="3980">
          <cell r="U3980" t="str">
            <v>L107192</v>
          </cell>
          <cell r="V3980" t="str">
            <v>PV SNK 2kg</v>
          </cell>
          <cell r="W3980" t="str">
            <v>Ajuste</v>
          </cell>
          <cell r="X3980">
            <v>4</v>
          </cell>
          <cell r="Y3980">
            <v>8</v>
          </cell>
        </row>
        <row r="3981">
          <cell r="U3981" t="str">
            <v>L107193</v>
          </cell>
          <cell r="V3981" t="str">
            <v>PV SNK 2kg</v>
          </cell>
          <cell r="W3981" t="str">
            <v>Ajuste</v>
          </cell>
          <cell r="X3981">
            <v>6</v>
          </cell>
          <cell r="Y3981">
            <v>12</v>
          </cell>
        </row>
        <row r="3982">
          <cell r="U3982" t="str">
            <v>L106604</v>
          </cell>
          <cell r="V3982" t="str">
            <v>PV SNK 2kg-CAJA</v>
          </cell>
          <cell r="W3982" t="str">
            <v>Ajuste</v>
          </cell>
          <cell r="X3982">
            <v>64</v>
          </cell>
          <cell r="Y3982">
            <v>128</v>
          </cell>
        </row>
        <row r="3983">
          <cell r="U3983" t="str">
            <v>L103660</v>
          </cell>
          <cell r="V3983" t="str">
            <v>PVO 6Kg</v>
          </cell>
          <cell r="W3983" t="str">
            <v>Ajuste</v>
          </cell>
          <cell r="X3983">
            <v>3</v>
          </cell>
          <cell r="Y3983">
            <v>0</v>
          </cell>
        </row>
        <row r="3984">
          <cell r="U3984" t="str">
            <v>L106456</v>
          </cell>
          <cell r="V3984" t="str">
            <v>PVPF 2kg - UNIDAD</v>
          </cell>
          <cell r="W3984" t="str">
            <v>Ajuste</v>
          </cell>
          <cell r="X3984">
            <v>72</v>
          </cell>
          <cell r="Y3984">
            <v>144</v>
          </cell>
        </row>
        <row r="3985">
          <cell r="U3985" t="str">
            <v>L106588</v>
          </cell>
          <cell r="V3985" t="str">
            <v>SAF 2kg</v>
          </cell>
          <cell r="W3985" t="str">
            <v>Ajuste</v>
          </cell>
          <cell r="X3985">
            <v>563</v>
          </cell>
          <cell r="Y3985">
            <v>1126</v>
          </cell>
        </row>
        <row r="3986">
          <cell r="U3986" t="str">
            <v>L106347</v>
          </cell>
          <cell r="V3986" t="str">
            <v>SAL 1kg-PAQUETE</v>
          </cell>
          <cell r="W3986" t="str">
            <v>Ajuste</v>
          </cell>
          <cell r="X3986">
            <v>70</v>
          </cell>
          <cell r="Y3986">
            <v>70</v>
          </cell>
        </row>
        <row r="3987">
          <cell r="U3987" t="str">
            <v>L106746</v>
          </cell>
          <cell r="V3987" t="str">
            <v>SAL 1kg-PAQUETE</v>
          </cell>
          <cell r="W3987" t="str">
            <v>Ajuste</v>
          </cell>
          <cell r="X3987">
            <v>2</v>
          </cell>
          <cell r="Y3987">
            <v>2</v>
          </cell>
        </row>
        <row r="3988">
          <cell r="U3988" t="str">
            <v>L106338</v>
          </cell>
          <cell r="V3988" t="str">
            <v>SAL 2kg-PAQUETE</v>
          </cell>
          <cell r="W3988" t="str">
            <v>Ajuste</v>
          </cell>
          <cell r="X3988">
            <v>40</v>
          </cell>
          <cell r="Y3988">
            <v>80</v>
          </cell>
        </row>
        <row r="3989">
          <cell r="U3989" t="str">
            <v>L106744</v>
          </cell>
          <cell r="V3989" t="str">
            <v>SAL 2kg-PAQUETE</v>
          </cell>
          <cell r="W3989" t="str">
            <v>Ajuste</v>
          </cell>
          <cell r="X3989">
            <v>8</v>
          </cell>
          <cell r="Y3989">
            <v>16</v>
          </cell>
        </row>
        <row r="3990">
          <cell r="U3990" t="str">
            <v>L107247</v>
          </cell>
          <cell r="V3990" t="str">
            <v>SAL 2kg-PAQUETE</v>
          </cell>
          <cell r="W3990" t="str">
            <v>Ajuste</v>
          </cell>
          <cell r="X3990">
            <v>10</v>
          </cell>
          <cell r="Y3990">
            <v>20</v>
          </cell>
        </row>
        <row r="3991">
          <cell r="U3991" t="str">
            <v>L106896</v>
          </cell>
          <cell r="V3991" t="str">
            <v>Salchicha en lata Kg</v>
          </cell>
          <cell r="W3991" t="str">
            <v>Ajuste</v>
          </cell>
          <cell r="X3991">
            <v>2.2999999999999998</v>
          </cell>
          <cell r="Y3991">
            <v>2.2999999999999998</v>
          </cell>
        </row>
        <row r="3992">
          <cell r="U3992" t="str">
            <v>L107329</v>
          </cell>
          <cell r="V3992" t="str">
            <v>SALRO 1kg - UNIDAD</v>
          </cell>
          <cell r="W3992" t="str">
            <v>Ajuste</v>
          </cell>
          <cell r="X3992">
            <v>12</v>
          </cell>
          <cell r="Y3992">
            <v>12</v>
          </cell>
        </row>
        <row r="3993">
          <cell r="U3993" t="str">
            <v>L106600</v>
          </cell>
          <cell r="V3993" t="str">
            <v>Salsa alfredo Kg</v>
          </cell>
          <cell r="W3993" t="str">
            <v>Ajuste</v>
          </cell>
          <cell r="X3993">
            <v>4</v>
          </cell>
          <cell r="Y3993">
            <v>4</v>
          </cell>
        </row>
        <row r="3994">
          <cell r="U3994" t="str">
            <v>L106804</v>
          </cell>
          <cell r="V3994" t="str">
            <v>Salsa variada kg</v>
          </cell>
          <cell r="W3994" t="str">
            <v>Ajuste</v>
          </cell>
          <cell r="X3994">
            <v>0.78</v>
          </cell>
          <cell r="Y3994">
            <v>0.78</v>
          </cell>
        </row>
        <row r="3995">
          <cell r="U3995" t="str">
            <v>L107097</v>
          </cell>
          <cell r="V3995" t="str">
            <v>Salsa variada kg</v>
          </cell>
          <cell r="W3995" t="str">
            <v>Ajuste</v>
          </cell>
          <cell r="X3995">
            <v>2</v>
          </cell>
          <cell r="Y3995">
            <v>2</v>
          </cell>
        </row>
        <row r="3996">
          <cell r="U3996" t="str">
            <v>L107096</v>
          </cell>
          <cell r="V3996" t="str">
            <v>Sardina kg</v>
          </cell>
          <cell r="W3996" t="str">
            <v>Ajuste</v>
          </cell>
          <cell r="X3996">
            <v>3.5</v>
          </cell>
          <cell r="Y3996">
            <v>3.5</v>
          </cell>
        </row>
        <row r="3997">
          <cell r="U3997" t="str">
            <v>L107401</v>
          </cell>
          <cell r="V3997" t="str">
            <v>Sardina kg</v>
          </cell>
          <cell r="W3997" t="str">
            <v>Ajuste</v>
          </cell>
          <cell r="X3997">
            <v>1.45</v>
          </cell>
          <cell r="Y3997">
            <v>1.45</v>
          </cell>
        </row>
        <row r="3998">
          <cell r="U3998" t="str">
            <v>L102805</v>
          </cell>
          <cell r="V3998" t="str">
            <v>SAV 2kg-CAJA</v>
          </cell>
          <cell r="W3998" t="str">
            <v>Ajuste</v>
          </cell>
          <cell r="X3998">
            <v>4</v>
          </cell>
          <cell r="Y3998">
            <v>8</v>
          </cell>
        </row>
        <row r="3999">
          <cell r="U3999" t="str">
            <v>L106636</v>
          </cell>
          <cell r="V3999" t="str">
            <v>SAV 2kg-CAJA</v>
          </cell>
          <cell r="W3999" t="str">
            <v>Ajuste</v>
          </cell>
          <cell r="X3999">
            <v>6</v>
          </cell>
          <cell r="Y3999">
            <v>12</v>
          </cell>
        </row>
        <row r="4000">
          <cell r="U4000" t="str">
            <v>L106637</v>
          </cell>
          <cell r="V4000" t="str">
            <v>SAV 2kg-CAJA</v>
          </cell>
          <cell r="W4000" t="str">
            <v>Ajuste</v>
          </cell>
          <cell r="X4000">
            <v>2</v>
          </cell>
          <cell r="Y4000">
            <v>4</v>
          </cell>
        </row>
        <row r="4001">
          <cell r="U4001" t="str">
            <v>L106638</v>
          </cell>
          <cell r="V4001" t="str">
            <v>SAV 2kg-CAJA</v>
          </cell>
          <cell r="W4001" t="str">
            <v>Ajuste</v>
          </cell>
          <cell r="X4001">
            <v>2</v>
          </cell>
          <cell r="Y4001">
            <v>4</v>
          </cell>
        </row>
        <row r="4002">
          <cell r="U4002" t="str">
            <v>L106801</v>
          </cell>
          <cell r="V4002" t="str">
            <v>SAV 2kg-CAJA</v>
          </cell>
          <cell r="W4002" t="str">
            <v>Ajuste</v>
          </cell>
          <cell r="X4002">
            <v>2</v>
          </cell>
          <cell r="Y4002">
            <v>4</v>
          </cell>
        </row>
        <row r="4003">
          <cell r="U4003" t="str">
            <v>L107067</v>
          </cell>
          <cell r="V4003" t="str">
            <v>SAV 2kg-CAJA</v>
          </cell>
          <cell r="W4003" t="str">
            <v>Ajuste</v>
          </cell>
          <cell r="X4003">
            <v>6</v>
          </cell>
          <cell r="Y4003">
            <v>12</v>
          </cell>
        </row>
        <row r="4004">
          <cell r="U4004" t="str">
            <v>L107068</v>
          </cell>
          <cell r="V4004" t="str">
            <v>SAV 2kg-CAJA</v>
          </cell>
          <cell r="W4004" t="str">
            <v>Ajuste</v>
          </cell>
          <cell r="X4004">
            <v>1</v>
          </cell>
          <cell r="Y4004">
            <v>2</v>
          </cell>
        </row>
        <row r="4005">
          <cell r="U4005" t="str">
            <v>L107369</v>
          </cell>
          <cell r="V4005" t="str">
            <v>SAV 2kg-CAJA</v>
          </cell>
          <cell r="W4005" t="str">
            <v>Ajuste</v>
          </cell>
          <cell r="X4005">
            <v>5</v>
          </cell>
          <cell r="Y4005">
            <v>10</v>
          </cell>
        </row>
        <row r="4006">
          <cell r="U4006" t="str">
            <v>L106803</v>
          </cell>
          <cell r="V4006" t="str">
            <v>Sazonador kg</v>
          </cell>
          <cell r="W4006" t="str">
            <v>Ajuste</v>
          </cell>
          <cell r="X4006">
            <v>1.47</v>
          </cell>
          <cell r="Y4006">
            <v>1.47</v>
          </cell>
        </row>
        <row r="4007">
          <cell r="U4007" t="str">
            <v>L106566</v>
          </cell>
          <cell r="V4007" t="str">
            <v>SBC 2kg</v>
          </cell>
          <cell r="W4007" t="str">
            <v>Ajuste</v>
          </cell>
          <cell r="X4007">
            <v>5</v>
          </cell>
          <cell r="Y4007">
            <v>10</v>
          </cell>
        </row>
        <row r="4008">
          <cell r="U4008" t="str">
            <v>L106799</v>
          </cell>
          <cell r="V4008" t="str">
            <v>SBC 2kg</v>
          </cell>
          <cell r="W4008" t="str">
            <v>Ajuste</v>
          </cell>
          <cell r="X4008">
            <v>4</v>
          </cell>
          <cell r="Y4008">
            <v>8</v>
          </cell>
        </row>
        <row r="4009">
          <cell r="U4009" t="str">
            <v>L106800</v>
          </cell>
          <cell r="V4009" t="str">
            <v>SBC 2kg</v>
          </cell>
          <cell r="W4009" t="str">
            <v>Ajuste</v>
          </cell>
          <cell r="X4009">
            <v>4</v>
          </cell>
          <cell r="Y4009">
            <v>8</v>
          </cell>
        </row>
        <row r="4010">
          <cell r="U4010" t="str">
            <v>L106952</v>
          </cell>
          <cell r="V4010" t="str">
            <v>SBC 2kg</v>
          </cell>
          <cell r="W4010" t="str">
            <v>Ajuste</v>
          </cell>
          <cell r="X4010">
            <v>10</v>
          </cell>
          <cell r="Y4010">
            <v>20</v>
          </cell>
        </row>
        <row r="4011">
          <cell r="U4011" t="str">
            <v>L107365</v>
          </cell>
          <cell r="V4011" t="str">
            <v>SBC 2kg</v>
          </cell>
          <cell r="W4011" t="str">
            <v>Ajuste</v>
          </cell>
          <cell r="X4011">
            <v>2</v>
          </cell>
          <cell r="Y4011">
            <v>4</v>
          </cell>
        </row>
        <row r="4012">
          <cell r="U4012" t="str">
            <v>L107366</v>
          </cell>
          <cell r="V4012" t="str">
            <v>SBC 2kg</v>
          </cell>
          <cell r="W4012" t="str">
            <v>Ajuste</v>
          </cell>
          <cell r="X4012">
            <v>1</v>
          </cell>
          <cell r="Y4012">
            <v>2</v>
          </cell>
        </row>
        <row r="4013">
          <cell r="U4013" t="str">
            <v>L107367</v>
          </cell>
          <cell r="V4013" t="str">
            <v>SBC 2kg</v>
          </cell>
          <cell r="W4013" t="str">
            <v>Ajuste</v>
          </cell>
          <cell r="X4013">
            <v>3</v>
          </cell>
          <cell r="Y4013">
            <v>6</v>
          </cell>
        </row>
        <row r="4014">
          <cell r="U4014" t="str">
            <v>L106729</v>
          </cell>
          <cell r="V4014" t="str">
            <v>SCL 2kg-CAJA</v>
          </cell>
          <cell r="W4014" t="str">
            <v>Ajuste</v>
          </cell>
          <cell r="X4014">
            <v>2</v>
          </cell>
          <cell r="Y4014">
            <v>4</v>
          </cell>
        </row>
        <row r="4015">
          <cell r="U4015" t="str">
            <v>L107084</v>
          </cell>
          <cell r="V4015" t="str">
            <v>SCL 2kg-CAJA</v>
          </cell>
          <cell r="W4015" t="str">
            <v>Ajuste</v>
          </cell>
          <cell r="X4015">
            <v>2</v>
          </cell>
          <cell r="Y4015">
            <v>4</v>
          </cell>
        </row>
        <row r="4016">
          <cell r="U4016" t="str">
            <v>L106509</v>
          </cell>
          <cell r="V4016" t="str">
            <v>SDO</v>
          </cell>
          <cell r="W4016" t="str">
            <v>Ajuste</v>
          </cell>
          <cell r="X4016">
            <v>38</v>
          </cell>
          <cell r="Y4016">
            <v>152</v>
          </cell>
        </row>
        <row r="4017">
          <cell r="U4017" t="str">
            <v>L107087</v>
          </cell>
          <cell r="V4017" t="str">
            <v>SDR 1kg-UNIDAD</v>
          </cell>
          <cell r="W4017" t="str">
            <v>Ajuste</v>
          </cell>
          <cell r="X4017">
            <v>124</v>
          </cell>
          <cell r="Y4017">
            <v>124</v>
          </cell>
        </row>
        <row r="4018">
          <cell r="U4018" t="str">
            <v>L107088</v>
          </cell>
          <cell r="V4018" t="str">
            <v>SDR 1kg-UNIDAD</v>
          </cell>
          <cell r="W4018" t="str">
            <v>Ajuste</v>
          </cell>
          <cell r="X4018">
            <v>61</v>
          </cell>
          <cell r="Y4018">
            <v>61</v>
          </cell>
        </row>
        <row r="4019">
          <cell r="U4019" t="str">
            <v>L107089</v>
          </cell>
          <cell r="V4019" t="str">
            <v>SDR 1kg-UNIDAD</v>
          </cell>
          <cell r="W4019" t="str">
            <v>Ajuste</v>
          </cell>
          <cell r="X4019">
            <v>40</v>
          </cell>
          <cell r="Y4019">
            <v>40</v>
          </cell>
        </row>
        <row r="4020">
          <cell r="U4020" t="str">
            <v>L107090</v>
          </cell>
          <cell r="V4020" t="str">
            <v>SDR 1kg-UNIDAD</v>
          </cell>
          <cell r="W4020" t="str">
            <v>Ajuste</v>
          </cell>
          <cell r="X4020">
            <v>51</v>
          </cell>
          <cell r="Y4020">
            <v>51</v>
          </cell>
        </row>
        <row r="4021">
          <cell r="U4021" t="str">
            <v>L107091</v>
          </cell>
          <cell r="V4021" t="str">
            <v>SDR 1kg-UNIDAD</v>
          </cell>
          <cell r="W4021" t="str">
            <v>Ajuste</v>
          </cell>
          <cell r="X4021">
            <v>18</v>
          </cell>
          <cell r="Y4021">
            <v>18</v>
          </cell>
        </row>
        <row r="4022">
          <cell r="U4022" t="str">
            <v>L107092</v>
          </cell>
          <cell r="V4022" t="str">
            <v>SDR 1kg-UNIDAD</v>
          </cell>
          <cell r="W4022" t="str">
            <v>Ajuste</v>
          </cell>
          <cell r="X4022">
            <v>9</v>
          </cell>
          <cell r="Y4022">
            <v>9</v>
          </cell>
        </row>
        <row r="4023">
          <cell r="U4023" t="str">
            <v>L107094</v>
          </cell>
          <cell r="V4023" t="str">
            <v>SDR 1kg-UNIDAD</v>
          </cell>
          <cell r="W4023" t="str">
            <v>Ajuste</v>
          </cell>
          <cell r="X4023">
            <v>1</v>
          </cell>
          <cell r="Y4023">
            <v>1</v>
          </cell>
        </row>
        <row r="4024">
          <cell r="U4024" t="str">
            <v>L107316</v>
          </cell>
          <cell r="V4024" t="str">
            <v>SDR 1kg-UNIDAD</v>
          </cell>
          <cell r="W4024" t="str">
            <v>Ajuste</v>
          </cell>
          <cell r="X4024">
            <v>5</v>
          </cell>
          <cell r="Y4024">
            <v>5</v>
          </cell>
        </row>
        <row r="4025">
          <cell r="U4025" t="str">
            <v>l106858</v>
          </cell>
          <cell r="V4025" t="str">
            <v>SDR 2Kg-UNIDAD</v>
          </cell>
          <cell r="W4025" t="str">
            <v>Ajuste</v>
          </cell>
          <cell r="X4025">
            <v>442</v>
          </cell>
          <cell r="Y4025">
            <v>884</v>
          </cell>
        </row>
        <row r="4026">
          <cell r="U4026" t="str">
            <v>l106858</v>
          </cell>
          <cell r="V4026" t="str">
            <v>SRD 2kg-CAJA</v>
          </cell>
          <cell r="W4026" t="str">
            <v>Ajuste</v>
          </cell>
          <cell r="X4026">
            <v>144</v>
          </cell>
          <cell r="Y4026">
            <v>0</v>
          </cell>
        </row>
        <row r="4027">
          <cell r="U4027" t="str">
            <v>L106842</v>
          </cell>
          <cell r="V4027" t="str">
            <v>SDR 2Kg-UNIDAD</v>
          </cell>
          <cell r="W4027" t="str">
            <v>Ajuste</v>
          </cell>
          <cell r="X4027">
            <v>14</v>
          </cell>
          <cell r="Y4027">
            <v>28</v>
          </cell>
        </row>
        <row r="4028">
          <cell r="U4028" t="str">
            <v>L107085</v>
          </cell>
          <cell r="V4028" t="str">
            <v>SDR 2Kg-UNIDAD</v>
          </cell>
          <cell r="W4028" t="str">
            <v>Ajuste</v>
          </cell>
          <cell r="X4028">
            <v>63</v>
          </cell>
          <cell r="Y4028">
            <v>126</v>
          </cell>
        </row>
        <row r="4029">
          <cell r="U4029" t="str">
            <v>L107086</v>
          </cell>
          <cell r="V4029" t="str">
            <v>SDR 2Kg-UNIDAD</v>
          </cell>
          <cell r="W4029" t="str">
            <v>Ajuste</v>
          </cell>
          <cell r="X4029">
            <v>18</v>
          </cell>
          <cell r="Y4029">
            <v>36</v>
          </cell>
        </row>
        <row r="4030">
          <cell r="U4030" t="str">
            <v>L107255</v>
          </cell>
          <cell r="V4030" t="str">
            <v>SDR 2Kg-UNIDAD</v>
          </cell>
          <cell r="W4030" t="str">
            <v>Ajuste</v>
          </cell>
          <cell r="X4030">
            <v>8</v>
          </cell>
          <cell r="Y4030">
            <v>16</v>
          </cell>
        </row>
        <row r="4031">
          <cell r="U4031" t="str">
            <v>L107260</v>
          </cell>
          <cell r="V4031" t="str">
            <v>SDR 2Kg-UNIDAD</v>
          </cell>
          <cell r="W4031" t="str">
            <v>Ajuste</v>
          </cell>
          <cell r="X4031">
            <v>11</v>
          </cell>
          <cell r="Y4031">
            <v>22</v>
          </cell>
        </row>
        <row r="4032">
          <cell r="U4032" t="str">
            <v>L106646</v>
          </cell>
          <cell r="V4032" t="str">
            <v>SDS 2kg</v>
          </cell>
          <cell r="W4032" t="str">
            <v>Ajuste</v>
          </cell>
          <cell r="X4032">
            <v>2</v>
          </cell>
          <cell r="Y4032">
            <v>4</v>
          </cell>
        </row>
        <row r="4033">
          <cell r="U4033" t="str">
            <v>L107270</v>
          </cell>
          <cell r="V4033" t="str">
            <v>Semola kg</v>
          </cell>
          <cell r="W4033" t="str">
            <v>Ajuste</v>
          </cell>
          <cell r="X4033">
            <v>63</v>
          </cell>
          <cell r="Y4033">
            <v>63</v>
          </cell>
        </row>
        <row r="4034">
          <cell r="U4034" t="str">
            <v>L107352</v>
          </cell>
          <cell r="V4034" t="str">
            <v>SHMP 1kg Caja</v>
          </cell>
          <cell r="W4034" t="str">
            <v>Ajuste</v>
          </cell>
          <cell r="X4034">
            <v>10</v>
          </cell>
          <cell r="Y4034">
            <v>10</v>
          </cell>
        </row>
        <row r="4035">
          <cell r="U4035" t="str">
            <v>L106985</v>
          </cell>
          <cell r="V4035" t="str">
            <v>SML 2kg</v>
          </cell>
          <cell r="W4035" t="str">
            <v>Ajuste</v>
          </cell>
          <cell r="X4035">
            <v>2077</v>
          </cell>
          <cell r="Y4035">
            <v>4154</v>
          </cell>
        </row>
        <row r="4036">
          <cell r="U4036" t="str">
            <v>L106391</v>
          </cell>
          <cell r="V4036" t="str">
            <v>Snack kg</v>
          </cell>
          <cell r="W4036" t="str">
            <v>Ajuste</v>
          </cell>
          <cell r="X4036">
            <v>99</v>
          </cell>
          <cell r="Y4036">
            <v>99</v>
          </cell>
        </row>
        <row r="4037">
          <cell r="U4037" t="str">
            <v>L106601</v>
          </cell>
          <cell r="V4037" t="str">
            <v>SNDA 8kg</v>
          </cell>
          <cell r="W4037" t="str">
            <v>Ajuste</v>
          </cell>
          <cell r="X4037">
            <v>2</v>
          </cell>
          <cell r="Y4037">
            <v>16</v>
          </cell>
        </row>
        <row r="4038">
          <cell r="U4038" t="str">
            <v>L106264</v>
          </cell>
          <cell r="V4038" t="str">
            <v>SNK 1.5kg-CAJA</v>
          </cell>
          <cell r="W4038" t="str">
            <v>Ajuste</v>
          </cell>
          <cell r="X4038">
            <v>60</v>
          </cell>
          <cell r="Y4038">
            <v>90</v>
          </cell>
        </row>
        <row r="4039">
          <cell r="U4039" t="str">
            <v>L106327</v>
          </cell>
          <cell r="V4039" t="str">
            <v>SNK 1.5kg-CAJA</v>
          </cell>
          <cell r="W4039" t="str">
            <v>Ajuste</v>
          </cell>
          <cell r="X4039">
            <v>6</v>
          </cell>
          <cell r="Y4039">
            <v>9</v>
          </cell>
        </row>
        <row r="4040">
          <cell r="U4040" t="str">
            <v>L106336</v>
          </cell>
          <cell r="V4040" t="str">
            <v>SNK 1.5kg-CAJA</v>
          </cell>
          <cell r="W4040" t="str">
            <v>Ajuste</v>
          </cell>
          <cell r="X4040">
            <v>100</v>
          </cell>
          <cell r="Y4040">
            <v>150</v>
          </cell>
        </row>
        <row r="4041">
          <cell r="U4041" t="str">
            <v>L107165</v>
          </cell>
          <cell r="V4041" t="str">
            <v>SNK 1.5kg-CAJA</v>
          </cell>
          <cell r="W4041" t="str">
            <v>Ajuste</v>
          </cell>
          <cell r="X4041">
            <v>2</v>
          </cell>
          <cell r="Y4041">
            <v>3</v>
          </cell>
        </row>
        <row r="4042">
          <cell r="U4042" t="str">
            <v>L107166</v>
          </cell>
          <cell r="V4042" t="str">
            <v>SNK 1.5kg-CAJA</v>
          </cell>
          <cell r="W4042" t="str">
            <v>Ajuste</v>
          </cell>
          <cell r="X4042">
            <v>2</v>
          </cell>
          <cell r="Y4042">
            <v>3</v>
          </cell>
        </row>
        <row r="4043">
          <cell r="U4043" t="str">
            <v>L107167</v>
          </cell>
          <cell r="V4043" t="str">
            <v>SNK 1.5kg-CAJA</v>
          </cell>
          <cell r="W4043" t="str">
            <v>Ajuste</v>
          </cell>
          <cell r="X4043">
            <v>2</v>
          </cell>
          <cell r="Y4043">
            <v>3</v>
          </cell>
        </row>
        <row r="4044">
          <cell r="U4044" t="str">
            <v>L107168</v>
          </cell>
          <cell r="V4044" t="str">
            <v>SNK 1.5kg-CAJA</v>
          </cell>
          <cell r="W4044" t="str">
            <v>Ajuste</v>
          </cell>
          <cell r="X4044">
            <v>2</v>
          </cell>
          <cell r="Y4044">
            <v>3</v>
          </cell>
        </row>
        <row r="4045">
          <cell r="U4045" t="str">
            <v>L107171</v>
          </cell>
          <cell r="V4045" t="str">
            <v>SNK 1Kg-CAJA</v>
          </cell>
          <cell r="W4045" t="str">
            <v>Ajuste</v>
          </cell>
          <cell r="X4045">
            <v>5</v>
          </cell>
          <cell r="Y4045">
            <v>5</v>
          </cell>
        </row>
        <row r="4046">
          <cell r="U4046" t="str">
            <v>L107172</v>
          </cell>
          <cell r="V4046" t="str">
            <v>SNK 1Kg-CAJA</v>
          </cell>
          <cell r="W4046" t="str">
            <v>Ajuste</v>
          </cell>
          <cell r="X4046">
            <v>2</v>
          </cell>
          <cell r="Y4046">
            <v>2</v>
          </cell>
        </row>
        <row r="4047">
          <cell r="U4047" t="str">
            <v>L107173</v>
          </cell>
          <cell r="V4047" t="str">
            <v>SNK 1Kg-CAJA</v>
          </cell>
          <cell r="W4047" t="str">
            <v>Ajuste</v>
          </cell>
          <cell r="X4047">
            <v>2</v>
          </cell>
          <cell r="Y4047">
            <v>2</v>
          </cell>
        </row>
        <row r="4048">
          <cell r="U4048" t="str">
            <v>L107174</v>
          </cell>
          <cell r="V4048" t="str">
            <v>SNK 1Kg-CAJA</v>
          </cell>
          <cell r="W4048" t="str">
            <v>Ajuste</v>
          </cell>
          <cell r="X4048">
            <v>4</v>
          </cell>
          <cell r="Y4048">
            <v>4</v>
          </cell>
        </row>
        <row r="4049">
          <cell r="U4049" t="str">
            <v>L107175</v>
          </cell>
          <cell r="V4049" t="str">
            <v>SNK 1Kg-CAJA</v>
          </cell>
          <cell r="W4049" t="str">
            <v>Ajuste</v>
          </cell>
          <cell r="X4049">
            <v>4</v>
          </cell>
          <cell r="Y4049">
            <v>4</v>
          </cell>
        </row>
        <row r="4050">
          <cell r="U4050" t="str">
            <v>L107176</v>
          </cell>
          <cell r="V4050" t="str">
            <v>SNK 1Kg-CAJA</v>
          </cell>
          <cell r="W4050" t="str">
            <v>Ajuste</v>
          </cell>
          <cell r="X4050">
            <v>1</v>
          </cell>
          <cell r="Y4050">
            <v>1</v>
          </cell>
        </row>
        <row r="4051">
          <cell r="U4051" t="str">
            <v>L107177</v>
          </cell>
          <cell r="V4051" t="str">
            <v>SNK 1Kg-CAJA</v>
          </cell>
          <cell r="W4051" t="str">
            <v>Ajuste</v>
          </cell>
          <cell r="X4051">
            <v>1</v>
          </cell>
          <cell r="Y4051">
            <v>1</v>
          </cell>
        </row>
        <row r="4052">
          <cell r="U4052" t="str">
            <v>L107178</v>
          </cell>
          <cell r="V4052" t="str">
            <v>SNK 1Kg-CAJA</v>
          </cell>
          <cell r="W4052" t="str">
            <v>Ajuste</v>
          </cell>
          <cell r="X4052">
            <v>1</v>
          </cell>
          <cell r="Y4052">
            <v>1</v>
          </cell>
        </row>
        <row r="4053">
          <cell r="U4053" t="str">
            <v>L107179</v>
          </cell>
          <cell r="V4053" t="str">
            <v>SNK 1Kg-CAJA</v>
          </cell>
          <cell r="W4053" t="str">
            <v>Ajuste</v>
          </cell>
          <cell r="X4053">
            <v>1</v>
          </cell>
          <cell r="Y4053">
            <v>1</v>
          </cell>
        </row>
        <row r="4054">
          <cell r="U4054" t="str">
            <v>L107358</v>
          </cell>
          <cell r="V4054" t="str">
            <v>SNK 1Kg-CAJA</v>
          </cell>
          <cell r="W4054" t="str">
            <v>Ajuste</v>
          </cell>
          <cell r="X4054">
            <v>2</v>
          </cell>
          <cell r="Y4054">
            <v>2</v>
          </cell>
        </row>
        <row r="4055">
          <cell r="U4055" t="str">
            <v>L107164</v>
          </cell>
          <cell r="V4055" t="str">
            <v>SNK 2.5kg</v>
          </cell>
          <cell r="W4055" t="str">
            <v>Ajuste</v>
          </cell>
          <cell r="X4055">
            <v>1</v>
          </cell>
          <cell r="Y4055">
            <v>2.5</v>
          </cell>
        </row>
        <row r="4056">
          <cell r="U4056" t="str">
            <v>L106329</v>
          </cell>
          <cell r="V4056" t="str">
            <v>SNK 2kg-CAJA</v>
          </cell>
          <cell r="W4056" t="str">
            <v>Ajuste</v>
          </cell>
          <cell r="X4056">
            <v>2</v>
          </cell>
          <cell r="Y4056">
            <v>4</v>
          </cell>
        </row>
        <row r="4057">
          <cell r="U4057" t="str">
            <v>L107182</v>
          </cell>
          <cell r="V4057" t="str">
            <v>SNK 2kg-CAJA</v>
          </cell>
          <cell r="W4057" t="str">
            <v>Ajuste</v>
          </cell>
          <cell r="X4057">
            <v>2</v>
          </cell>
          <cell r="Y4057">
            <v>4</v>
          </cell>
        </row>
        <row r="4058">
          <cell r="U4058" t="str">
            <v>L107183</v>
          </cell>
          <cell r="V4058" t="str">
            <v>SNK 2kg-CAJA</v>
          </cell>
          <cell r="W4058" t="str">
            <v>Ajuste</v>
          </cell>
          <cell r="X4058">
            <v>2</v>
          </cell>
          <cell r="Y4058">
            <v>4</v>
          </cell>
        </row>
        <row r="4059">
          <cell r="U4059" t="str">
            <v>L107184</v>
          </cell>
          <cell r="V4059" t="str">
            <v>SNK 2kg-CAJA</v>
          </cell>
          <cell r="W4059" t="str">
            <v>Ajuste</v>
          </cell>
          <cell r="X4059">
            <v>2</v>
          </cell>
          <cell r="Y4059">
            <v>4</v>
          </cell>
        </row>
        <row r="4060">
          <cell r="U4060" t="str">
            <v>L107185</v>
          </cell>
          <cell r="V4060" t="str">
            <v>SNK 2kg-CAJA</v>
          </cell>
          <cell r="W4060" t="str">
            <v>Ajuste</v>
          </cell>
          <cell r="X4060">
            <v>2</v>
          </cell>
          <cell r="Y4060">
            <v>4</v>
          </cell>
        </row>
        <row r="4061">
          <cell r="U4061" t="str">
            <v>L107186</v>
          </cell>
          <cell r="V4061" t="str">
            <v>SNK 2kg-CAJA</v>
          </cell>
          <cell r="W4061" t="str">
            <v>Ajuste</v>
          </cell>
          <cell r="X4061">
            <v>1</v>
          </cell>
          <cell r="Y4061">
            <v>2</v>
          </cell>
        </row>
        <row r="4062">
          <cell r="U4062" t="str">
            <v>L107187</v>
          </cell>
          <cell r="V4062" t="str">
            <v>SNK 2kg-CAJA</v>
          </cell>
          <cell r="W4062" t="str">
            <v>Ajuste</v>
          </cell>
          <cell r="X4062">
            <v>1</v>
          </cell>
          <cell r="Y4062">
            <v>2</v>
          </cell>
        </row>
        <row r="4063">
          <cell r="U4063" t="str">
            <v>L107188</v>
          </cell>
          <cell r="V4063" t="str">
            <v>SNK 2kg-CAJA</v>
          </cell>
          <cell r="W4063" t="str">
            <v>Ajuste</v>
          </cell>
          <cell r="X4063">
            <v>1</v>
          </cell>
          <cell r="Y4063">
            <v>2</v>
          </cell>
        </row>
        <row r="4064">
          <cell r="U4064" t="str">
            <v>L107189</v>
          </cell>
          <cell r="V4064" t="str">
            <v>SNK 2kg-CAJA</v>
          </cell>
          <cell r="W4064" t="str">
            <v>Ajuste</v>
          </cell>
          <cell r="X4064">
            <v>1</v>
          </cell>
          <cell r="Y4064">
            <v>2</v>
          </cell>
        </row>
        <row r="4065">
          <cell r="U4065" t="str">
            <v>L107190</v>
          </cell>
          <cell r="V4065" t="str">
            <v>SNK 2kg-CAJA</v>
          </cell>
          <cell r="W4065" t="str">
            <v>Ajuste</v>
          </cell>
          <cell r="X4065">
            <v>1</v>
          </cell>
          <cell r="Y4065">
            <v>2</v>
          </cell>
        </row>
        <row r="4066">
          <cell r="U4066" t="str">
            <v>L107170</v>
          </cell>
          <cell r="V4066" t="str">
            <v>SNK 3.5kg-CAJA</v>
          </cell>
          <cell r="W4066" t="str">
            <v>Ajuste</v>
          </cell>
          <cell r="X4066">
            <v>2</v>
          </cell>
          <cell r="Y4066">
            <v>7</v>
          </cell>
        </row>
        <row r="4067">
          <cell r="U4067" t="str">
            <v>L107169</v>
          </cell>
          <cell r="V4067" t="str">
            <v>SNK 3kg-CAJA</v>
          </cell>
          <cell r="W4067" t="str">
            <v>Ajuste</v>
          </cell>
          <cell r="X4067">
            <v>2</v>
          </cell>
          <cell r="Y4067">
            <v>6</v>
          </cell>
        </row>
        <row r="4068">
          <cell r="U4068" t="str">
            <v>L106783</v>
          </cell>
          <cell r="V4068" t="str">
            <v>SNKP 2.5Kg</v>
          </cell>
          <cell r="W4068" t="str">
            <v>Ajuste</v>
          </cell>
          <cell r="X4068">
            <v>19</v>
          </cell>
          <cell r="Y4068">
            <v>47.5</v>
          </cell>
        </row>
        <row r="4069">
          <cell r="U4069" t="str">
            <v>L106328</v>
          </cell>
          <cell r="V4069" t="str">
            <v>SNKP 2Kg</v>
          </cell>
          <cell r="W4069" t="str">
            <v>Ajuste</v>
          </cell>
          <cell r="X4069">
            <v>2</v>
          </cell>
          <cell r="Y4069">
            <v>4</v>
          </cell>
        </row>
        <row r="4070">
          <cell r="U4070" t="str">
            <v>L106393</v>
          </cell>
          <cell r="V4070" t="str">
            <v>sopa kg</v>
          </cell>
          <cell r="W4070" t="str">
            <v>Ajuste</v>
          </cell>
          <cell r="X4070">
            <v>0.35</v>
          </cell>
          <cell r="Y4070">
            <v>0.35</v>
          </cell>
        </row>
        <row r="4071">
          <cell r="U4071" t="str">
            <v>L106230</v>
          </cell>
          <cell r="V4071" t="str">
            <v>SPAV 1kg-CAJA</v>
          </cell>
          <cell r="W4071" t="str">
            <v>Ajuste</v>
          </cell>
          <cell r="X4071">
            <v>18</v>
          </cell>
          <cell r="Y4071">
            <v>18</v>
          </cell>
        </row>
        <row r="4072">
          <cell r="U4072" t="str">
            <v>L106757</v>
          </cell>
          <cell r="V4072" t="str">
            <v>SPAV 1kg-CAJA</v>
          </cell>
          <cell r="W4072" t="str">
            <v>Ajuste</v>
          </cell>
          <cell r="X4072">
            <v>16</v>
          </cell>
          <cell r="Y4072">
            <v>16</v>
          </cell>
        </row>
        <row r="4073">
          <cell r="U4073" t="str">
            <v>L106955</v>
          </cell>
          <cell r="V4073" t="str">
            <v>SPAV 2kg-CAJA</v>
          </cell>
          <cell r="W4073" t="str">
            <v>Ajuste</v>
          </cell>
          <cell r="X4073">
            <v>4</v>
          </cell>
          <cell r="Y4073">
            <v>8</v>
          </cell>
        </row>
        <row r="4074">
          <cell r="U4074" t="str">
            <v>L106041</v>
          </cell>
          <cell r="V4074" t="str">
            <v>SPT 24x148ml</v>
          </cell>
          <cell r="W4074" t="str">
            <v>Ajuste</v>
          </cell>
          <cell r="X4074">
            <v>71</v>
          </cell>
          <cell r="Y4074">
            <v>497</v>
          </cell>
        </row>
        <row r="4075">
          <cell r="U4075" t="str">
            <v>L106055</v>
          </cell>
          <cell r="V4075" t="str">
            <v>SPT 24x50ml</v>
          </cell>
          <cell r="W4075" t="str">
            <v>Ajuste</v>
          </cell>
          <cell r="X4075">
            <v>119</v>
          </cell>
          <cell r="Y4075">
            <v>178.5</v>
          </cell>
        </row>
        <row r="4076">
          <cell r="U4076" t="str">
            <v>L106056</v>
          </cell>
          <cell r="V4076" t="str">
            <v>SPT 24x50ml</v>
          </cell>
          <cell r="W4076" t="str">
            <v>Ajuste</v>
          </cell>
          <cell r="X4076">
            <v>100</v>
          </cell>
          <cell r="Y4076">
            <v>150</v>
          </cell>
        </row>
        <row r="4077">
          <cell r="U4077" t="str">
            <v>L106057</v>
          </cell>
          <cell r="V4077" t="str">
            <v>SPT 24x50ml</v>
          </cell>
          <cell r="W4077" t="str">
            <v>Ajuste</v>
          </cell>
          <cell r="X4077">
            <v>4</v>
          </cell>
          <cell r="Y4077">
            <v>6</v>
          </cell>
        </row>
        <row r="4078">
          <cell r="U4078" t="str">
            <v>L106042</v>
          </cell>
          <cell r="V4078" t="str">
            <v>SPT 2kg-CAJA</v>
          </cell>
          <cell r="W4078" t="str">
            <v>Ajuste</v>
          </cell>
          <cell r="X4078">
            <v>2</v>
          </cell>
          <cell r="Y4078">
            <v>4</v>
          </cell>
        </row>
        <row r="4079">
          <cell r="U4079" t="str">
            <v>L106043</v>
          </cell>
          <cell r="V4079" t="str">
            <v>SPT 2kg-CAJA</v>
          </cell>
          <cell r="W4079" t="str">
            <v>Ajuste</v>
          </cell>
          <cell r="X4079">
            <v>2</v>
          </cell>
          <cell r="Y4079">
            <v>4</v>
          </cell>
        </row>
        <row r="4080">
          <cell r="U4080" t="str">
            <v>L106340</v>
          </cell>
          <cell r="V4080" t="str">
            <v>SPVL 3kg</v>
          </cell>
          <cell r="W4080" t="str">
            <v>Ajuste</v>
          </cell>
          <cell r="X4080">
            <v>42</v>
          </cell>
          <cell r="Y4080">
            <v>126</v>
          </cell>
        </row>
        <row r="4081">
          <cell r="U4081" t="str">
            <v>L106341</v>
          </cell>
          <cell r="V4081" t="str">
            <v>SPVL 3kg</v>
          </cell>
          <cell r="W4081" t="str">
            <v>Ajuste</v>
          </cell>
          <cell r="X4081">
            <v>40</v>
          </cell>
          <cell r="Y4081">
            <v>120</v>
          </cell>
        </row>
        <row r="4082">
          <cell r="U4082" t="str">
            <v>L106342</v>
          </cell>
          <cell r="V4082" t="str">
            <v>SPVL 3kg</v>
          </cell>
          <cell r="W4082" t="str">
            <v>Ajuste</v>
          </cell>
          <cell r="X4082">
            <v>13</v>
          </cell>
          <cell r="Y4082">
            <v>39</v>
          </cell>
        </row>
        <row r="4083">
          <cell r="U4083" t="str">
            <v>L106343</v>
          </cell>
          <cell r="V4083" t="str">
            <v>SPVL 3kg</v>
          </cell>
          <cell r="W4083" t="str">
            <v>Ajuste</v>
          </cell>
          <cell r="X4083">
            <v>3</v>
          </cell>
          <cell r="Y4083">
            <v>9</v>
          </cell>
        </row>
        <row r="4084">
          <cell r="U4084" t="str">
            <v>L106371</v>
          </cell>
          <cell r="V4084" t="str">
            <v>SPVL 3kg</v>
          </cell>
          <cell r="W4084" t="str">
            <v>Ajuste</v>
          </cell>
          <cell r="X4084">
            <v>26</v>
          </cell>
          <cell r="Y4084">
            <v>78</v>
          </cell>
        </row>
        <row r="4085">
          <cell r="U4085" t="str">
            <v>L106372</v>
          </cell>
          <cell r="V4085" t="str">
            <v>SPVL 3kg</v>
          </cell>
          <cell r="W4085" t="str">
            <v>Ajuste</v>
          </cell>
          <cell r="X4085">
            <v>8</v>
          </cell>
          <cell r="Y4085">
            <v>24</v>
          </cell>
        </row>
        <row r="4086">
          <cell r="U4086" t="str">
            <v>L106373</v>
          </cell>
          <cell r="V4086" t="str">
            <v>SPVL 3kg</v>
          </cell>
          <cell r="W4086" t="str">
            <v>Ajuste</v>
          </cell>
          <cell r="X4086">
            <v>3</v>
          </cell>
          <cell r="Y4086">
            <v>9</v>
          </cell>
        </row>
        <row r="4087">
          <cell r="U4087" t="str">
            <v>L106384</v>
          </cell>
          <cell r="V4087" t="str">
            <v>SPVL 3kg</v>
          </cell>
          <cell r="W4087" t="str">
            <v>Ajuste</v>
          </cell>
          <cell r="X4087">
            <v>1</v>
          </cell>
          <cell r="Y4087">
            <v>3</v>
          </cell>
        </row>
        <row r="4088">
          <cell r="U4088" t="str">
            <v>L106385</v>
          </cell>
          <cell r="V4088" t="str">
            <v>SPVL 3kg</v>
          </cell>
          <cell r="W4088" t="str">
            <v>Ajuste</v>
          </cell>
          <cell r="X4088">
            <v>2</v>
          </cell>
          <cell r="Y4088">
            <v>6</v>
          </cell>
        </row>
        <row r="4089">
          <cell r="U4089" t="str">
            <v>L106276</v>
          </cell>
          <cell r="V4089" t="str">
            <v>SRD 1kg-CAJA</v>
          </cell>
          <cell r="W4089" t="str">
            <v>Ajuste</v>
          </cell>
          <cell r="X4089">
            <v>40</v>
          </cell>
          <cell r="Y4089">
            <v>40</v>
          </cell>
        </row>
        <row r="4090">
          <cell r="U4090" t="str">
            <v>L107073</v>
          </cell>
          <cell r="V4090" t="str">
            <v>SRD 1kg-CAJA</v>
          </cell>
          <cell r="W4090" t="str">
            <v>Ajuste</v>
          </cell>
          <cell r="X4090">
            <v>2</v>
          </cell>
          <cell r="Y4090">
            <v>2</v>
          </cell>
        </row>
        <row r="4091">
          <cell r="U4091" t="str">
            <v>L107074</v>
          </cell>
          <cell r="V4091" t="str">
            <v>SRD 1kg-CAJA</v>
          </cell>
          <cell r="W4091" t="str">
            <v>Ajuste</v>
          </cell>
          <cell r="X4091">
            <v>2</v>
          </cell>
          <cell r="Y4091">
            <v>2</v>
          </cell>
        </row>
        <row r="4092">
          <cell r="U4092" t="str">
            <v>L107075</v>
          </cell>
          <cell r="V4092" t="str">
            <v>SRD 1kg-CAJA</v>
          </cell>
          <cell r="W4092" t="str">
            <v>Ajuste</v>
          </cell>
          <cell r="X4092">
            <v>1</v>
          </cell>
          <cell r="Y4092">
            <v>1</v>
          </cell>
        </row>
        <row r="4093">
          <cell r="U4093" t="str">
            <v>L107235</v>
          </cell>
          <cell r="V4093" t="str">
            <v>SRD 1kg-CAJA</v>
          </cell>
          <cell r="W4093" t="str">
            <v>Ajuste</v>
          </cell>
          <cell r="X4093">
            <v>5</v>
          </cell>
          <cell r="Y4093">
            <v>5</v>
          </cell>
        </row>
        <row r="4094">
          <cell r="U4094" t="str">
            <v>L106234</v>
          </cell>
          <cell r="V4094" t="str">
            <v>srp 1.5kg - caja</v>
          </cell>
          <cell r="W4094" t="str">
            <v>Ajuste</v>
          </cell>
          <cell r="X4094">
            <v>2</v>
          </cell>
          <cell r="Y4094">
            <v>3</v>
          </cell>
        </row>
        <row r="4095">
          <cell r="U4095" t="str">
            <v>L106628</v>
          </cell>
          <cell r="V4095" t="str">
            <v>STM 1.5KG</v>
          </cell>
          <cell r="W4095" t="str">
            <v>Ajuste</v>
          </cell>
          <cell r="X4095">
            <v>4</v>
          </cell>
          <cell r="Y4095">
            <v>6</v>
          </cell>
        </row>
        <row r="4096">
          <cell r="U4096" t="str">
            <v>L106956</v>
          </cell>
          <cell r="V4096" t="str">
            <v>STM 1.5KG</v>
          </cell>
          <cell r="W4096" t="str">
            <v>Ajuste</v>
          </cell>
          <cell r="X4096">
            <v>5</v>
          </cell>
          <cell r="Y4096">
            <v>7.5</v>
          </cell>
        </row>
        <row r="4097">
          <cell r="U4097" t="str">
            <v>L106960</v>
          </cell>
          <cell r="V4097" t="str">
            <v>STM 1.5KG</v>
          </cell>
          <cell r="W4097" t="str">
            <v>Ajuste</v>
          </cell>
          <cell r="X4097">
            <v>2</v>
          </cell>
          <cell r="Y4097">
            <v>3</v>
          </cell>
        </row>
        <row r="4098">
          <cell r="U4098" t="str">
            <v>L106585</v>
          </cell>
          <cell r="V4098" t="str">
            <v>STM 2kg</v>
          </cell>
          <cell r="W4098" t="str">
            <v>Ajuste</v>
          </cell>
          <cell r="X4098">
            <v>2</v>
          </cell>
          <cell r="Y4098">
            <v>4</v>
          </cell>
        </row>
        <row r="4099">
          <cell r="U4099" t="str">
            <v>L106615</v>
          </cell>
          <cell r="V4099" t="str">
            <v>STM 2kg</v>
          </cell>
          <cell r="W4099" t="str">
            <v>Ajuste</v>
          </cell>
          <cell r="X4099">
            <v>2</v>
          </cell>
          <cell r="Y4099">
            <v>4</v>
          </cell>
        </row>
        <row r="4100">
          <cell r="U4100" t="str">
            <v>L106959</v>
          </cell>
          <cell r="V4100" t="str">
            <v>STM 2kg</v>
          </cell>
          <cell r="W4100" t="str">
            <v>Ajuste</v>
          </cell>
          <cell r="X4100">
            <v>4</v>
          </cell>
          <cell r="Y4100">
            <v>8</v>
          </cell>
        </row>
        <row r="4101">
          <cell r="U4101" t="str">
            <v>L106579</v>
          </cell>
          <cell r="V4101" t="str">
            <v>STM 3kg-CAJA</v>
          </cell>
          <cell r="W4101" t="str">
            <v>Ajuste</v>
          </cell>
          <cell r="X4101">
            <v>3</v>
          </cell>
          <cell r="Y4101">
            <v>9</v>
          </cell>
        </row>
        <row r="4102">
          <cell r="U4102" t="str">
            <v>L106581</v>
          </cell>
          <cell r="V4102" t="str">
            <v>STM 3kg-CAJA</v>
          </cell>
          <cell r="W4102" t="str">
            <v>Ajuste</v>
          </cell>
          <cell r="X4102">
            <v>5</v>
          </cell>
          <cell r="Y4102">
            <v>15</v>
          </cell>
        </row>
        <row r="4103">
          <cell r="U4103" t="str">
            <v>L106582</v>
          </cell>
          <cell r="V4103" t="str">
            <v>STM 3kg-CAJA</v>
          </cell>
          <cell r="W4103" t="str">
            <v>Ajuste</v>
          </cell>
          <cell r="X4103">
            <v>8</v>
          </cell>
          <cell r="Y4103">
            <v>24</v>
          </cell>
        </row>
        <row r="4104">
          <cell r="U4104" t="str">
            <v>L106583</v>
          </cell>
          <cell r="V4104" t="str">
            <v>STM 3kg-CAJA</v>
          </cell>
          <cell r="W4104" t="str">
            <v>Ajuste</v>
          </cell>
          <cell r="X4104">
            <v>2</v>
          </cell>
          <cell r="Y4104">
            <v>6</v>
          </cell>
        </row>
        <row r="4105">
          <cell r="U4105" t="str">
            <v>L106584</v>
          </cell>
          <cell r="V4105" t="str">
            <v>STM 3kg-CAJA</v>
          </cell>
          <cell r="W4105" t="str">
            <v>Ajuste</v>
          </cell>
          <cell r="X4105">
            <v>4</v>
          </cell>
          <cell r="Y4105">
            <v>12</v>
          </cell>
        </row>
        <row r="4106">
          <cell r="U4106" t="str">
            <v>L107242</v>
          </cell>
          <cell r="V4106" t="str">
            <v>STM 3kg-CAJA</v>
          </cell>
          <cell r="W4106" t="str">
            <v>Ajuste</v>
          </cell>
          <cell r="X4106">
            <v>1</v>
          </cell>
          <cell r="Y4106">
            <v>3</v>
          </cell>
        </row>
        <row r="4107">
          <cell r="U4107" t="str">
            <v>L107319</v>
          </cell>
          <cell r="V4107" t="str">
            <v>Suavizante kg</v>
          </cell>
          <cell r="W4107" t="str">
            <v>Ajuste</v>
          </cell>
          <cell r="X4107">
            <v>2.5</v>
          </cell>
          <cell r="Y4107">
            <v>2.5</v>
          </cell>
        </row>
        <row r="4108">
          <cell r="U4108" t="str">
            <v>L107375</v>
          </cell>
          <cell r="V4108" t="str">
            <v>SZD 1kg-Caja</v>
          </cell>
          <cell r="W4108" t="str">
            <v>Ajuste</v>
          </cell>
          <cell r="X4108">
            <v>1</v>
          </cell>
          <cell r="Y4108">
            <v>1</v>
          </cell>
        </row>
        <row r="4109">
          <cell r="U4109" t="str">
            <v>L106389</v>
          </cell>
          <cell r="V4109" t="str">
            <v>SZD 2kg-Caja</v>
          </cell>
          <cell r="W4109" t="str">
            <v>Ajuste</v>
          </cell>
          <cell r="X4109">
            <v>75</v>
          </cell>
          <cell r="Y4109">
            <v>150</v>
          </cell>
        </row>
        <row r="4110">
          <cell r="U4110" t="str">
            <v>L106390</v>
          </cell>
          <cell r="V4110" t="str">
            <v>SZD 2kg-Caja</v>
          </cell>
          <cell r="W4110" t="str">
            <v>Ajuste</v>
          </cell>
          <cell r="X4110">
            <v>18</v>
          </cell>
          <cell r="Y4110">
            <v>36</v>
          </cell>
        </row>
        <row r="4111">
          <cell r="U4111" t="str">
            <v>L106395</v>
          </cell>
          <cell r="V4111" t="str">
            <v>SZD 2kg-Caja</v>
          </cell>
          <cell r="W4111" t="str">
            <v>Ajuste</v>
          </cell>
          <cell r="X4111">
            <v>2</v>
          </cell>
          <cell r="Y4111">
            <v>4</v>
          </cell>
        </row>
        <row r="4112">
          <cell r="U4112" t="str">
            <v>L106629</v>
          </cell>
          <cell r="V4112" t="str">
            <v>SZD 2kg-Caja</v>
          </cell>
          <cell r="W4112" t="str">
            <v>Ajuste</v>
          </cell>
          <cell r="X4112">
            <v>6</v>
          </cell>
          <cell r="Y4112">
            <v>12</v>
          </cell>
        </row>
        <row r="4113">
          <cell r="U4113" t="str">
            <v>L106630</v>
          </cell>
          <cell r="V4113" t="str">
            <v>SZD 2kg-Caja</v>
          </cell>
          <cell r="W4113" t="str">
            <v>Ajuste</v>
          </cell>
          <cell r="X4113">
            <v>2</v>
          </cell>
          <cell r="Y4113">
            <v>4</v>
          </cell>
        </row>
        <row r="4114">
          <cell r="U4114" t="str">
            <v>L106631</v>
          </cell>
          <cell r="V4114" t="str">
            <v>SZD 2kg-Caja</v>
          </cell>
          <cell r="W4114" t="str">
            <v>Ajuste</v>
          </cell>
          <cell r="X4114">
            <v>3</v>
          </cell>
          <cell r="Y4114">
            <v>6</v>
          </cell>
        </row>
        <row r="4115">
          <cell r="U4115" t="str">
            <v>L106632</v>
          </cell>
          <cell r="V4115" t="str">
            <v>SZD 2kg-Caja</v>
          </cell>
          <cell r="W4115" t="str">
            <v>Ajuste</v>
          </cell>
          <cell r="X4115">
            <v>4</v>
          </cell>
          <cell r="Y4115">
            <v>8</v>
          </cell>
        </row>
        <row r="4116">
          <cell r="U4116" t="str">
            <v>L106633</v>
          </cell>
          <cell r="V4116" t="str">
            <v>SZD 2kg-Caja</v>
          </cell>
          <cell r="W4116" t="str">
            <v>Ajuste</v>
          </cell>
          <cell r="X4116">
            <v>4</v>
          </cell>
          <cell r="Y4116">
            <v>8</v>
          </cell>
        </row>
        <row r="4117">
          <cell r="U4117" t="str">
            <v>L106634</v>
          </cell>
          <cell r="V4117" t="str">
            <v>SZD 2kg-Caja</v>
          </cell>
          <cell r="W4117" t="str">
            <v>Ajuste</v>
          </cell>
          <cell r="X4117">
            <v>4</v>
          </cell>
          <cell r="Y4117">
            <v>8</v>
          </cell>
        </row>
        <row r="4118">
          <cell r="U4118" t="str">
            <v>L106635</v>
          </cell>
          <cell r="V4118" t="str">
            <v>SZD 2kg-Caja</v>
          </cell>
          <cell r="W4118" t="str">
            <v>Ajuste</v>
          </cell>
          <cell r="X4118">
            <v>1</v>
          </cell>
          <cell r="Y4118">
            <v>2</v>
          </cell>
        </row>
        <row r="4119">
          <cell r="U4119" t="str">
            <v>L106647</v>
          </cell>
          <cell r="V4119" t="str">
            <v>SZD 2kg-Caja</v>
          </cell>
          <cell r="W4119" t="str">
            <v>Ajuste</v>
          </cell>
          <cell r="X4119">
            <v>21</v>
          </cell>
          <cell r="Y4119">
            <v>42</v>
          </cell>
        </row>
        <row r="4120">
          <cell r="U4120" t="str">
            <v>L106958</v>
          </cell>
          <cell r="V4120" t="str">
            <v>SZD 2kg-Caja</v>
          </cell>
          <cell r="W4120" t="str">
            <v>Ajuste</v>
          </cell>
          <cell r="X4120">
            <v>2</v>
          </cell>
          <cell r="Y4120">
            <v>4</v>
          </cell>
        </row>
        <row r="4121">
          <cell r="U4121" t="str">
            <v>L107373</v>
          </cell>
          <cell r="V4121" t="str">
            <v>SZD 2kg-Caja</v>
          </cell>
          <cell r="W4121" t="str">
            <v>Ajuste</v>
          </cell>
          <cell r="X4121">
            <v>2</v>
          </cell>
          <cell r="Y4121">
            <v>4</v>
          </cell>
        </row>
        <row r="4122">
          <cell r="U4122" t="str">
            <v>L107374</v>
          </cell>
          <cell r="V4122" t="str">
            <v>SZD 2kg-Caja</v>
          </cell>
          <cell r="W4122" t="str">
            <v>Ajuste</v>
          </cell>
          <cell r="X4122">
            <v>2</v>
          </cell>
          <cell r="Y4122">
            <v>4</v>
          </cell>
        </row>
        <row r="4123">
          <cell r="U4123" t="str">
            <v>L106242</v>
          </cell>
          <cell r="V4123" t="str">
            <v>SZD 3kg-Caja</v>
          </cell>
          <cell r="W4123" t="str">
            <v>Ajuste</v>
          </cell>
          <cell r="X4123">
            <v>3</v>
          </cell>
          <cell r="Y4123">
            <v>9</v>
          </cell>
        </row>
        <row r="4124">
          <cell r="U4124" t="str">
            <v>L106394</v>
          </cell>
          <cell r="V4124" t="str">
            <v>SZD 3kg-Caja</v>
          </cell>
          <cell r="W4124" t="str">
            <v>Ajuste</v>
          </cell>
          <cell r="X4124">
            <v>6</v>
          </cell>
          <cell r="Y4124">
            <v>18</v>
          </cell>
        </row>
        <row r="4125">
          <cell r="U4125" t="str">
            <v>L106339</v>
          </cell>
          <cell r="V4125" t="str">
            <v>TE 1.5kg-CAJA</v>
          </cell>
          <cell r="W4125" t="str">
            <v>Ajuste</v>
          </cell>
          <cell r="X4125">
            <v>160</v>
          </cell>
          <cell r="Y4125">
            <v>240</v>
          </cell>
        </row>
        <row r="4126">
          <cell r="U4126" t="str">
            <v>L107008</v>
          </cell>
          <cell r="V4126" t="str">
            <v>TE 1kg-CAJA</v>
          </cell>
          <cell r="W4126" t="str">
            <v>Ajuste</v>
          </cell>
          <cell r="X4126">
            <v>4</v>
          </cell>
          <cell r="Y4126">
            <v>4</v>
          </cell>
        </row>
        <row r="4127">
          <cell r="U4127" t="str">
            <v>L107296</v>
          </cell>
          <cell r="V4127" t="str">
            <v>TE 1kg-CAJA</v>
          </cell>
          <cell r="W4127" t="str">
            <v>Ajuste</v>
          </cell>
          <cell r="X4127">
            <v>5</v>
          </cell>
          <cell r="Y4127">
            <v>5</v>
          </cell>
        </row>
        <row r="4128">
          <cell r="U4128" t="str">
            <v>L107297</v>
          </cell>
          <cell r="V4128" t="str">
            <v>TE 1kg-CAJA</v>
          </cell>
          <cell r="W4128" t="str">
            <v>Ajuste</v>
          </cell>
          <cell r="X4128">
            <v>4</v>
          </cell>
          <cell r="Y4128">
            <v>4</v>
          </cell>
        </row>
        <row r="4129">
          <cell r="U4129" t="str">
            <v>L107298</v>
          </cell>
          <cell r="V4129" t="str">
            <v>TE 1kg-CAJA</v>
          </cell>
          <cell r="W4129" t="str">
            <v>Ajuste</v>
          </cell>
          <cell r="X4129">
            <v>1</v>
          </cell>
          <cell r="Y4129">
            <v>1</v>
          </cell>
        </row>
        <row r="4130">
          <cell r="U4130" t="str">
            <v>L107299</v>
          </cell>
          <cell r="V4130" t="str">
            <v>TE 1kg-CAJA</v>
          </cell>
          <cell r="W4130" t="str">
            <v>Ajuste</v>
          </cell>
          <cell r="X4130">
            <v>1</v>
          </cell>
          <cell r="Y4130">
            <v>1</v>
          </cell>
        </row>
        <row r="4131">
          <cell r="U4131" t="str">
            <v>L107332</v>
          </cell>
          <cell r="V4131" t="str">
            <v>TE 1kg-CAJA</v>
          </cell>
          <cell r="W4131" t="str">
            <v>Ajuste</v>
          </cell>
          <cell r="X4131">
            <v>1</v>
          </cell>
          <cell r="Y4131">
            <v>1</v>
          </cell>
        </row>
        <row r="4132">
          <cell r="U4132" t="str">
            <v>L107159</v>
          </cell>
          <cell r="V4132" t="str">
            <v>TEV 5kg-CAJA</v>
          </cell>
          <cell r="W4132" t="str">
            <v>Ajuste</v>
          </cell>
          <cell r="X4132">
            <v>84</v>
          </cell>
          <cell r="Y4132">
            <v>420</v>
          </cell>
        </row>
        <row r="4133">
          <cell r="U4133" t="str">
            <v>L107161</v>
          </cell>
          <cell r="V4133" t="str">
            <v>TEV 5kg-CAJA</v>
          </cell>
          <cell r="W4133" t="str">
            <v>Ajuste</v>
          </cell>
          <cell r="X4133">
            <v>62</v>
          </cell>
          <cell r="Y4133">
            <v>310</v>
          </cell>
        </row>
        <row r="4134">
          <cell r="U4134" t="str">
            <v>L106504</v>
          </cell>
          <cell r="V4134" t="str">
            <v>TFV 3kg-CAJA</v>
          </cell>
          <cell r="W4134" t="str">
            <v>Ajuste</v>
          </cell>
          <cell r="X4134">
            <v>298</v>
          </cell>
          <cell r="Y4134">
            <v>894</v>
          </cell>
        </row>
        <row r="4135">
          <cell r="U4135" t="str">
            <v>L106077</v>
          </cell>
          <cell r="V4135" t="str">
            <v>TMCH 5kg</v>
          </cell>
          <cell r="W4135" t="str">
            <v>Ajuste</v>
          </cell>
          <cell r="X4135">
            <v>186</v>
          </cell>
          <cell r="Y4135">
            <v>930</v>
          </cell>
        </row>
        <row r="4136">
          <cell r="U4136" t="str">
            <v>L106078</v>
          </cell>
          <cell r="V4136" t="str">
            <v>TMF 5kg</v>
          </cell>
          <cell r="W4136" t="str">
            <v>Ajuste</v>
          </cell>
          <cell r="X4136">
            <v>168</v>
          </cell>
          <cell r="Y4136">
            <v>840</v>
          </cell>
        </row>
        <row r="4137">
          <cell r="U4137" t="str">
            <v>L107160</v>
          </cell>
          <cell r="V4137" t="str">
            <v>TNQPL</v>
          </cell>
          <cell r="W4137" t="str">
            <v>Ajuste</v>
          </cell>
          <cell r="X4137">
            <v>2</v>
          </cell>
          <cell r="Y4137">
            <v>27</v>
          </cell>
        </row>
        <row r="4138">
          <cell r="U4138" t="str">
            <v>L107095</v>
          </cell>
          <cell r="V4138" t="str">
            <v>Tomate variado kg</v>
          </cell>
          <cell r="W4138" t="str">
            <v>Ajuste</v>
          </cell>
          <cell r="X4138">
            <v>9</v>
          </cell>
          <cell r="Y4138">
            <v>9</v>
          </cell>
        </row>
        <row r="4139">
          <cell r="U4139" t="str">
            <v>L106402</v>
          </cell>
          <cell r="V4139" t="str">
            <v>TRZPCDP 18kg</v>
          </cell>
          <cell r="W4139" t="str">
            <v>Ajuste</v>
          </cell>
          <cell r="X4139">
            <v>89</v>
          </cell>
          <cell r="Y4139">
            <v>1602</v>
          </cell>
        </row>
        <row r="4140">
          <cell r="U4140" t="str">
            <v>L106349</v>
          </cell>
          <cell r="V4140" t="str">
            <v>TSI 1kg</v>
          </cell>
          <cell r="W4140" t="str">
            <v>Ajuste</v>
          </cell>
          <cell r="X4140">
            <v>14</v>
          </cell>
          <cell r="Y4140">
            <v>14</v>
          </cell>
        </row>
        <row r="4141">
          <cell r="U4141" t="str">
            <v>L106318</v>
          </cell>
          <cell r="V4141" t="str">
            <v>Vegetales mixtos kg</v>
          </cell>
          <cell r="W4141" t="str">
            <v>Ajuste</v>
          </cell>
          <cell r="X4141">
            <v>3.7</v>
          </cell>
          <cell r="Y4141">
            <v>3.7</v>
          </cell>
        </row>
        <row r="4142">
          <cell r="U4142" t="str">
            <v>L106892</v>
          </cell>
          <cell r="V4142" t="str">
            <v>Vegetales mixtos kg</v>
          </cell>
          <cell r="W4142" t="str">
            <v>Ajuste</v>
          </cell>
          <cell r="X4142">
            <v>5.4</v>
          </cell>
          <cell r="Y4142">
            <v>5.4</v>
          </cell>
        </row>
        <row r="4143">
          <cell r="U4143" t="str">
            <v>L107100</v>
          </cell>
          <cell r="V4143" t="str">
            <v>Vegetales mixtos kg</v>
          </cell>
          <cell r="W4143" t="str">
            <v>Ajuste</v>
          </cell>
          <cell r="X4143">
            <v>7.8</v>
          </cell>
          <cell r="Y4143">
            <v>7.8</v>
          </cell>
        </row>
        <row r="4144">
          <cell r="U4144" t="str">
            <v>L107394</v>
          </cell>
          <cell r="V4144" t="str">
            <v>Vegetales mixtos kg</v>
          </cell>
          <cell r="W4144" t="str">
            <v>Ajuste</v>
          </cell>
          <cell r="X4144">
            <v>1.4</v>
          </cell>
          <cell r="Y4144">
            <v>1.4</v>
          </cell>
        </row>
        <row r="4145">
          <cell r="U4145" t="str">
            <v>L107241</v>
          </cell>
          <cell r="V4145" t="str">
            <v>VeVa 3kg</v>
          </cell>
          <cell r="W4145" t="str">
            <v>Ajuste</v>
          </cell>
          <cell r="X4145">
            <v>2</v>
          </cell>
          <cell r="Y4145">
            <v>6</v>
          </cell>
        </row>
        <row r="4146">
          <cell r="U4146" t="str">
            <v>L106365</v>
          </cell>
          <cell r="V4146" t="str">
            <v>VLV 2KG</v>
          </cell>
          <cell r="W4146" t="str">
            <v>Ajuste</v>
          </cell>
          <cell r="X4146">
            <v>48</v>
          </cell>
          <cell r="Y4146">
            <v>96</v>
          </cell>
        </row>
        <row r="4147">
          <cell r="U4147" t="str">
            <v>L106311</v>
          </cell>
          <cell r="V4147" t="str">
            <v>VM 3kg-CAJA</v>
          </cell>
          <cell r="W4147" t="str">
            <v>Ajuste</v>
          </cell>
          <cell r="X4147">
            <v>6</v>
          </cell>
          <cell r="Y4147">
            <v>18</v>
          </cell>
        </row>
        <row r="4148">
          <cell r="U4148" t="str">
            <v>L106726</v>
          </cell>
          <cell r="V4148" t="str">
            <v>VM 3kg-CAJA</v>
          </cell>
          <cell r="W4148" t="str">
            <v>Ajuste</v>
          </cell>
          <cell r="X4148">
            <v>4</v>
          </cell>
          <cell r="Y4148">
            <v>12</v>
          </cell>
        </row>
        <row r="4149">
          <cell r="U4149" t="str">
            <v>L107071</v>
          </cell>
          <cell r="V4149" t="str">
            <v>VM 3kg-CAJA</v>
          </cell>
          <cell r="W4149" t="str">
            <v>Ajuste</v>
          </cell>
          <cell r="X4149">
            <v>1</v>
          </cell>
          <cell r="Y4149">
            <v>3</v>
          </cell>
        </row>
        <row r="4150">
          <cell r="U4150" t="str">
            <v>L107239</v>
          </cell>
          <cell r="V4150" t="str">
            <v>VM 3kg-CAJA</v>
          </cell>
          <cell r="W4150" t="str">
            <v>Ajuste</v>
          </cell>
          <cell r="X4150">
            <v>2</v>
          </cell>
          <cell r="Y4150">
            <v>6</v>
          </cell>
        </row>
        <row r="4151">
          <cell r="U4151" t="str">
            <v>L106639</v>
          </cell>
          <cell r="V4151" t="str">
            <v>VNG 2KG</v>
          </cell>
          <cell r="W4151" t="str">
            <v>Ajuste</v>
          </cell>
          <cell r="X4151">
            <v>6</v>
          </cell>
          <cell r="Y4151">
            <v>12</v>
          </cell>
        </row>
        <row r="4152">
          <cell r="U4152" t="str">
            <v>L106640</v>
          </cell>
          <cell r="V4152" t="str">
            <v>VNG 2KG</v>
          </cell>
          <cell r="W4152" t="str">
            <v>Ajuste</v>
          </cell>
          <cell r="X4152">
            <v>4</v>
          </cell>
          <cell r="Y4152">
            <v>8</v>
          </cell>
        </row>
        <row r="4153">
          <cell r="U4153" t="str">
            <v>L106641</v>
          </cell>
          <cell r="V4153" t="str">
            <v>VNG 2KG</v>
          </cell>
          <cell r="W4153" t="str">
            <v>Ajuste</v>
          </cell>
          <cell r="X4153">
            <v>2</v>
          </cell>
          <cell r="Y4153">
            <v>4</v>
          </cell>
        </row>
        <row r="4154">
          <cell r="U4154" t="str">
            <v>L106642</v>
          </cell>
          <cell r="V4154" t="str">
            <v>VNG 2KG</v>
          </cell>
          <cell r="W4154" t="str">
            <v>Ajuste</v>
          </cell>
          <cell r="X4154">
            <v>1</v>
          </cell>
          <cell r="Y4154">
            <v>2</v>
          </cell>
        </row>
        <row r="4155">
          <cell r="U4155" t="str">
            <v>L106643</v>
          </cell>
          <cell r="V4155" t="str">
            <v>VNG 2KG</v>
          </cell>
          <cell r="W4155" t="str">
            <v>Ajuste</v>
          </cell>
          <cell r="X4155">
            <v>2</v>
          </cell>
          <cell r="Y4155">
            <v>4</v>
          </cell>
        </row>
        <row r="4156">
          <cell r="U4156" t="str">
            <v>L106644</v>
          </cell>
          <cell r="V4156" t="str">
            <v>VNG 2KG</v>
          </cell>
          <cell r="W4156" t="str">
            <v>Ajuste</v>
          </cell>
          <cell r="X4156">
            <v>2</v>
          </cell>
          <cell r="Y4156">
            <v>4</v>
          </cell>
        </row>
        <row r="4157">
          <cell r="U4157" t="str">
            <v>L106645</v>
          </cell>
          <cell r="V4157" t="str">
            <v>VNG 2KG</v>
          </cell>
          <cell r="W4157" t="str">
            <v>Ajuste</v>
          </cell>
          <cell r="X4157">
            <v>14</v>
          </cell>
          <cell r="Y4157">
            <v>28</v>
          </cell>
        </row>
        <row r="4158">
          <cell r="U4158" t="str">
            <v>L107378</v>
          </cell>
          <cell r="V4158" t="str">
            <v>VNG 2KG</v>
          </cell>
          <cell r="W4158" t="str">
            <v>Ajuste</v>
          </cell>
          <cell r="X4158">
            <v>2</v>
          </cell>
          <cell r="Y4158">
            <v>4</v>
          </cell>
        </row>
        <row r="4159">
          <cell r="U4159" t="str">
            <v>L106241</v>
          </cell>
          <cell r="V4159" t="str">
            <v>VNG 3KG</v>
          </cell>
          <cell r="W4159" t="str">
            <v>Ajuste</v>
          </cell>
          <cell r="X4159">
            <v>2</v>
          </cell>
          <cell r="Y4159">
            <v>6</v>
          </cell>
        </row>
        <row r="4160">
          <cell r="U4160" t="str">
            <v>L106651</v>
          </cell>
          <cell r="V4160" t="str">
            <v>VNG 4KG</v>
          </cell>
          <cell r="W4160" t="str">
            <v>Ajuste</v>
          </cell>
          <cell r="X4160">
            <v>420</v>
          </cell>
          <cell r="Y4160">
            <v>1680</v>
          </cell>
        </row>
        <row r="4161">
          <cell r="U4161" t="str">
            <v>L106652</v>
          </cell>
          <cell r="V4161" t="str">
            <v>VNG 4KG</v>
          </cell>
          <cell r="W4161" t="str">
            <v>Ajuste</v>
          </cell>
          <cell r="X4161">
            <v>749</v>
          </cell>
          <cell r="Y4161">
            <v>2996</v>
          </cell>
        </row>
        <row r="4162">
          <cell r="U4162" t="str">
            <v>L107350</v>
          </cell>
          <cell r="V4162" t="str">
            <v>VSO 1kg</v>
          </cell>
          <cell r="W4162" t="str">
            <v>Ajuste</v>
          </cell>
          <cell r="X4162">
            <v>3</v>
          </cell>
          <cell r="Y4162">
            <v>3</v>
          </cell>
        </row>
        <row r="4163">
          <cell r="U4163" t="str">
            <v>Total general</v>
          </cell>
          <cell r="X4163">
            <v>341373.4200000001</v>
          </cell>
          <cell r="Y4163">
            <v>1329259.3800000018</v>
          </cell>
        </row>
      </sheetData>
      <sheetData sheetId="4"/>
      <sheetData sheetId="5">
        <row r="1">
          <cell r="C1" t="str">
            <v>TRAZA DONACIONES CON RECIBO SF</v>
          </cell>
        </row>
        <row r="2">
          <cell r="C2"/>
        </row>
        <row r="5">
          <cell r="C5"/>
          <cell r="D5"/>
        </row>
        <row r="6">
          <cell r="C6" t="str">
            <v>Año Donacion</v>
          </cell>
          <cell r="D6">
            <v>2026</v>
          </cell>
        </row>
        <row r="7">
          <cell r="C7" t="str">
            <v>Mes de Donacion</v>
          </cell>
          <cell r="D7">
            <v>3</v>
          </cell>
        </row>
        <row r="8">
          <cell r="C8" t="str">
            <v>Código de Transacción</v>
          </cell>
          <cell r="D8" t="str">
            <v>(Varios elementos)</v>
          </cell>
        </row>
        <row r="10">
          <cell r="C10" t="str">
            <v>Suma de Peso Donado</v>
          </cell>
          <cell r="D10" t="str">
            <v>Etiquetas de columna</v>
          </cell>
        </row>
        <row r="11">
          <cell r="C11" t="str">
            <v>Etiquetas de fila</v>
          </cell>
          <cell r="D11" t="str">
            <v>KILOS APROVECHADOS</v>
          </cell>
          <cell r="E11" t="str">
            <v>MERMA</v>
          </cell>
          <cell r="F11" t="str">
            <v>Total general</v>
          </cell>
        </row>
        <row r="12">
          <cell r="C12" t="str">
            <v>AGENCIAS FEDURO</v>
          </cell>
          <cell r="D12">
            <v>2508.5</v>
          </cell>
          <cell r="E12"/>
          <cell r="F12">
            <v>2508.5</v>
          </cell>
        </row>
        <row r="13">
          <cell r="C13" t="str">
            <v>ALIMENTOS CÁRNICOS DE PANAMA ,S.A</v>
          </cell>
          <cell r="D13">
            <v>108</v>
          </cell>
          <cell r="E13"/>
          <cell r="F13">
            <v>108</v>
          </cell>
        </row>
        <row r="14">
          <cell r="C14" t="str">
            <v>Bienes y Raices Metalicas S.A.</v>
          </cell>
          <cell r="D14">
            <v>45</v>
          </cell>
          <cell r="E14"/>
          <cell r="F14">
            <v>45</v>
          </cell>
        </row>
        <row r="15">
          <cell r="C15" t="str">
            <v>CERRO PUNTA, S.A</v>
          </cell>
          <cell r="D15">
            <v>730</v>
          </cell>
          <cell r="E15">
            <v>8.6</v>
          </cell>
          <cell r="F15">
            <v>738.6</v>
          </cell>
        </row>
        <row r="16">
          <cell r="C16" t="str">
            <v>CONGREGACION DE HERMANDAD KOL SHEARITH ISRAEL</v>
          </cell>
          <cell r="D16">
            <v>663</v>
          </cell>
          <cell r="E16"/>
          <cell r="F16">
            <v>663</v>
          </cell>
        </row>
        <row r="17">
          <cell r="C17" t="str">
            <v>CORPORACION INTERNACIONAL DE ALIMENTOS, S.A.</v>
          </cell>
          <cell r="D17">
            <v>53380</v>
          </cell>
          <cell r="E17">
            <v>7615</v>
          </cell>
          <cell r="F17">
            <v>60995</v>
          </cell>
        </row>
        <row r="18">
          <cell r="C18" t="str">
            <v>Delivery Hero Dmart Panamá S.A. (Pedidos Ya)</v>
          </cell>
          <cell r="D18">
            <v>295</v>
          </cell>
          <cell r="E18">
            <v>39.67</v>
          </cell>
          <cell r="F18">
            <v>334.67</v>
          </cell>
        </row>
        <row r="19">
          <cell r="C19" t="str">
            <v>DICSA PANAMA</v>
          </cell>
          <cell r="D19">
            <v>442</v>
          </cell>
          <cell r="E19"/>
          <cell r="F19">
            <v>442</v>
          </cell>
        </row>
        <row r="20">
          <cell r="C20" t="str">
            <v>Empresa Panameña de Alimentos, S. A.</v>
          </cell>
          <cell r="D20">
            <v>6352.5</v>
          </cell>
          <cell r="E20">
            <v>61</v>
          </cell>
          <cell r="F20">
            <v>6413.5</v>
          </cell>
        </row>
        <row r="21">
          <cell r="C21" t="str">
            <v>FELIPE MOTTA, S.A</v>
          </cell>
          <cell r="D21">
            <v>388</v>
          </cell>
          <cell r="E21"/>
          <cell r="F21">
            <v>388</v>
          </cell>
        </row>
        <row r="22">
          <cell r="C22" t="str">
            <v>FRANQUICIAS PANAMEÑAS</v>
          </cell>
          <cell r="D22">
            <v>446</v>
          </cell>
          <cell r="E22"/>
          <cell r="F22">
            <v>446</v>
          </cell>
        </row>
        <row r="23">
          <cell r="C23" t="str">
            <v>GENTILE - G &amp; H. S.A.</v>
          </cell>
          <cell r="D23">
            <v>15</v>
          </cell>
          <cell r="E23"/>
          <cell r="F23">
            <v>15</v>
          </cell>
        </row>
        <row r="24">
          <cell r="C24" t="str">
            <v>GLOBAL PRODUCTS AND LOGISTIC SERVICES, INC. (Dicarina)</v>
          </cell>
          <cell r="D24">
            <v>1793</v>
          </cell>
          <cell r="E24">
            <v>4</v>
          </cell>
          <cell r="F24">
            <v>1797</v>
          </cell>
        </row>
        <row r="25">
          <cell r="C25" t="str">
            <v>GOLD MILLS</v>
          </cell>
          <cell r="D25">
            <v>458</v>
          </cell>
          <cell r="E25"/>
          <cell r="F25">
            <v>458</v>
          </cell>
        </row>
        <row r="26">
          <cell r="C26" t="str">
            <v>Grupo Calesa</v>
          </cell>
          <cell r="D26">
            <v>125</v>
          </cell>
          <cell r="E26"/>
          <cell r="F26">
            <v>125</v>
          </cell>
        </row>
        <row r="27">
          <cell r="C27" t="str">
            <v>GRUPO REY</v>
          </cell>
          <cell r="D27">
            <v>6172.6200000000008</v>
          </cell>
          <cell r="E27">
            <v>227.83</v>
          </cell>
          <cell r="F27">
            <v>6400.4500000000007</v>
          </cell>
        </row>
        <row r="28">
          <cell r="C28" t="str">
            <v>IMPORTADORA RICAMAR - SUPER 99</v>
          </cell>
          <cell r="D28">
            <v>46.5</v>
          </cell>
          <cell r="E28"/>
          <cell r="F28">
            <v>46.5</v>
          </cell>
        </row>
        <row r="29">
          <cell r="C29" t="str">
            <v>IMPORTADORA Y EXPORTADORA NIMAR</v>
          </cell>
          <cell r="D29">
            <v>185</v>
          </cell>
          <cell r="E29">
            <v>4.3</v>
          </cell>
          <cell r="F29">
            <v>189.3</v>
          </cell>
        </row>
        <row r="30">
          <cell r="C30" t="str">
            <v>INDUSTRIAS LACTEAS, S.A / Estrella Azul</v>
          </cell>
          <cell r="D30">
            <v>908</v>
          </cell>
          <cell r="E30"/>
          <cell r="F30">
            <v>908</v>
          </cell>
        </row>
        <row r="31">
          <cell r="C31" t="str">
            <v>MERCA PANAMA</v>
          </cell>
          <cell r="D31">
            <v>11845</v>
          </cell>
          <cell r="E31">
            <v>1419</v>
          </cell>
          <cell r="F31">
            <v>13264</v>
          </cell>
        </row>
        <row r="32">
          <cell r="C32" t="str">
            <v>MERCALIMENTOS PANAMA, S.A</v>
          </cell>
          <cell r="D32">
            <v>3483</v>
          </cell>
          <cell r="E32"/>
          <cell r="F32">
            <v>3483</v>
          </cell>
        </row>
        <row r="33">
          <cell r="C33" t="str">
            <v>NEGOCIOS CENTROAMERICANOS, S.A</v>
          </cell>
          <cell r="D33">
            <v>195</v>
          </cell>
          <cell r="E33"/>
          <cell r="F33">
            <v>195</v>
          </cell>
        </row>
        <row r="34">
          <cell r="C34" t="str">
            <v>NESTLE PANAMA</v>
          </cell>
          <cell r="D34">
            <v>12986.5</v>
          </cell>
          <cell r="E34"/>
          <cell r="F34">
            <v>12986.5</v>
          </cell>
        </row>
        <row r="35">
          <cell r="C35" t="str">
            <v>NUEVO HUNG SHENG</v>
          </cell>
          <cell r="D35">
            <v>52.07</v>
          </cell>
          <cell r="E35">
            <v>38</v>
          </cell>
          <cell r="F35">
            <v>90.07</v>
          </cell>
        </row>
        <row r="36">
          <cell r="C36" t="str">
            <v>ORDEN DE MALTA PANAMA ASOCIACION PANAMEÑA</v>
          </cell>
          <cell r="D36">
            <v>8126</v>
          </cell>
          <cell r="E36"/>
          <cell r="F36">
            <v>8126</v>
          </cell>
        </row>
        <row r="37">
          <cell r="C37" t="str">
            <v>PANASAL</v>
          </cell>
          <cell r="D37">
            <v>60</v>
          </cell>
          <cell r="E37"/>
          <cell r="F37">
            <v>60</v>
          </cell>
        </row>
        <row r="38">
          <cell r="C38" t="str">
            <v>Price-Smart-Panama S.A</v>
          </cell>
          <cell r="D38">
            <v>6034.25</v>
          </cell>
          <cell r="E38">
            <v>597.30999999999995</v>
          </cell>
          <cell r="F38">
            <v>6631.5599999999995</v>
          </cell>
        </row>
        <row r="39">
          <cell r="C39" t="str">
            <v>PRODISA TRADING S.A.</v>
          </cell>
          <cell r="D39">
            <v>144</v>
          </cell>
          <cell r="E39"/>
          <cell r="F39">
            <v>144</v>
          </cell>
        </row>
        <row r="40">
          <cell r="C40" t="str">
            <v>PRODUCTOS KIENER</v>
          </cell>
          <cell r="D40">
            <v>627</v>
          </cell>
          <cell r="E40"/>
          <cell r="F40">
            <v>627</v>
          </cell>
        </row>
        <row r="41">
          <cell r="C41" t="str">
            <v>PRODUCTOS LA DOÑA, S.A</v>
          </cell>
          <cell r="D41">
            <v>4681.5200000000004</v>
          </cell>
          <cell r="E41">
            <v>14.84</v>
          </cell>
          <cell r="F41">
            <v>4696.3600000000006</v>
          </cell>
        </row>
        <row r="42">
          <cell r="C42" t="str">
            <v>PRODUCTOS LUX, S.A ( Proluxa)</v>
          </cell>
          <cell r="D42">
            <v>818.5</v>
          </cell>
          <cell r="E42"/>
          <cell r="F42">
            <v>818.5</v>
          </cell>
        </row>
        <row r="43">
          <cell r="C43" t="str">
            <v>PRODUCTOS TOLEDANO</v>
          </cell>
          <cell r="D43">
            <v>5226.01</v>
          </cell>
          <cell r="E43">
            <v>5</v>
          </cell>
          <cell r="F43">
            <v>5231.01</v>
          </cell>
        </row>
        <row r="44">
          <cell r="C44" t="str">
            <v>PROGRAMA KILOS DE ESPERANZA</v>
          </cell>
          <cell r="D44">
            <v>673.72</v>
          </cell>
          <cell r="E44"/>
          <cell r="F44">
            <v>673.72</v>
          </cell>
        </row>
        <row r="45">
          <cell r="C45" t="str">
            <v>PROSERV</v>
          </cell>
          <cell r="D45">
            <v>2100</v>
          </cell>
          <cell r="E45"/>
          <cell r="F45">
            <v>2100</v>
          </cell>
        </row>
        <row r="46">
          <cell r="C46" t="str">
            <v>PURISSIMA, S.A</v>
          </cell>
          <cell r="D46">
            <v>3465.18</v>
          </cell>
          <cell r="E46"/>
          <cell r="F46">
            <v>3465.18</v>
          </cell>
        </row>
        <row r="47">
          <cell r="C47" t="str">
            <v>RIBA SMITH, S.A.</v>
          </cell>
          <cell r="D47">
            <v>500</v>
          </cell>
          <cell r="E47">
            <v>102.71</v>
          </cell>
          <cell r="F47">
            <v>602.71</v>
          </cell>
        </row>
        <row r="48">
          <cell r="C48" t="str">
            <v>SALVA - MAR,</v>
          </cell>
          <cell r="D48">
            <v>1021</v>
          </cell>
          <cell r="E48"/>
          <cell r="F48">
            <v>1021</v>
          </cell>
        </row>
        <row r="49">
          <cell r="C49" t="str">
            <v>SUPER CARNES</v>
          </cell>
          <cell r="D49">
            <v>2865</v>
          </cell>
          <cell r="E49">
            <v>934.5</v>
          </cell>
          <cell r="F49">
            <v>3799.5</v>
          </cell>
        </row>
        <row r="50">
          <cell r="C50" t="str">
            <v>Colgate Palmolive (CENTRAL AMERICA) INC</v>
          </cell>
          <cell r="D50">
            <v>2451.5</v>
          </cell>
          <cell r="E50">
            <v>13.149999999999999</v>
          </cell>
          <cell r="F50">
            <v>2464.65</v>
          </cell>
        </row>
        <row r="51">
          <cell r="C51" t="str">
            <v>MELO FARMA, S.A.</v>
          </cell>
          <cell r="D51">
            <v>64</v>
          </cell>
          <cell r="E51"/>
          <cell r="F51">
            <v>64</v>
          </cell>
        </row>
        <row r="52">
          <cell r="C52" t="str">
            <v>IMPORTADORA FRUTA INTERNACIONAL PANAMÁ, S.A.</v>
          </cell>
          <cell r="D52">
            <v>3934.01</v>
          </cell>
          <cell r="E52">
            <v>6.5</v>
          </cell>
          <cell r="F52">
            <v>3940.51</v>
          </cell>
        </row>
        <row r="53">
          <cell r="C53" t="str">
            <v>KERRY PANAMA, S.A.</v>
          </cell>
          <cell r="D53">
            <v>833</v>
          </cell>
          <cell r="E53"/>
          <cell r="F53">
            <v>833</v>
          </cell>
        </row>
        <row r="54">
          <cell r="C54" t="str">
            <v>Vima Foods Panamá S.A.</v>
          </cell>
          <cell r="D54">
            <v>39</v>
          </cell>
          <cell r="E54"/>
          <cell r="F54">
            <v>39</v>
          </cell>
        </row>
        <row r="55">
          <cell r="C55" t="str">
            <v>MARTIN BROWER</v>
          </cell>
          <cell r="D55">
            <v>826</v>
          </cell>
          <cell r="E55"/>
          <cell r="F55">
            <v>826</v>
          </cell>
        </row>
        <row r="56">
          <cell r="C56" t="str">
            <v>Panama Ship Warehouse</v>
          </cell>
          <cell r="D56">
            <v>30</v>
          </cell>
          <cell r="E56"/>
          <cell r="F56">
            <v>30</v>
          </cell>
        </row>
        <row r="57">
          <cell r="C57" t="str">
            <v>AGENCIAS ESCOFFERY, S.A</v>
          </cell>
          <cell r="D57">
            <v>3870</v>
          </cell>
          <cell r="E57">
            <v>63</v>
          </cell>
          <cell r="F57">
            <v>3933</v>
          </cell>
        </row>
        <row r="58">
          <cell r="C58" t="str">
            <v>H. TZANETATO INC</v>
          </cell>
          <cell r="D58">
            <v>1274.8</v>
          </cell>
          <cell r="E58"/>
          <cell r="F58">
            <v>1274.8</v>
          </cell>
        </row>
        <row r="59">
          <cell r="C59" t="str">
            <v>CORONADO ACL S.A. (LEUDO PANADERÍA)</v>
          </cell>
          <cell r="D59">
            <v>30</v>
          </cell>
          <cell r="E59"/>
          <cell r="F59">
            <v>30</v>
          </cell>
        </row>
        <row r="60">
          <cell r="C60" t="str">
            <v>LA CHOLITA S.A.</v>
          </cell>
          <cell r="D60">
            <v>366</v>
          </cell>
          <cell r="E60"/>
          <cell r="F60">
            <v>366</v>
          </cell>
        </row>
        <row r="61">
          <cell r="C61" t="str">
            <v>Federación Nacional de Cooperativas Salineras de Panamá (FENCOSPA, R.L.)</v>
          </cell>
          <cell r="D61">
            <v>70</v>
          </cell>
          <cell r="E61"/>
          <cell r="F61">
            <v>70</v>
          </cell>
        </row>
        <row r="62">
          <cell r="C62" t="str">
            <v>FRESCAFHISH, S.A</v>
          </cell>
          <cell r="D62">
            <v>1040</v>
          </cell>
          <cell r="E62"/>
          <cell r="F62">
            <v>1040</v>
          </cell>
        </row>
        <row r="63">
          <cell r="C63" t="str">
            <v>PROCESADORA MONICA, S.A</v>
          </cell>
          <cell r="D63">
            <v>144</v>
          </cell>
          <cell r="E63"/>
          <cell r="F63">
            <v>144</v>
          </cell>
        </row>
        <row r="64">
          <cell r="C64" t="str">
            <v>Agro Export Pacific, S.A</v>
          </cell>
          <cell r="D64">
            <v>9649</v>
          </cell>
          <cell r="E64">
            <v>105.5</v>
          </cell>
          <cell r="F64">
            <v>9754.5</v>
          </cell>
        </row>
        <row r="65">
          <cell r="C65" t="str">
            <v>CENTRAL AZUCARERO LA VICTORIA</v>
          </cell>
          <cell r="D65">
            <v>66</v>
          </cell>
          <cell r="E65"/>
          <cell r="F65">
            <v>66</v>
          </cell>
        </row>
        <row r="66">
          <cell r="C66" t="str">
            <v>IMPORTACIONES SAGO PANAMA</v>
          </cell>
          <cell r="D66">
            <v>0.02</v>
          </cell>
          <cell r="E66"/>
          <cell r="F66">
            <v>0.02</v>
          </cell>
        </row>
        <row r="67">
          <cell r="C67" t="str">
            <v>Total general</v>
          </cell>
          <cell r="D67">
            <v>164652.19999999998</v>
          </cell>
          <cell r="E67">
            <v>11259.91</v>
          </cell>
          <cell r="F67">
            <v>175912.11</v>
          </cell>
        </row>
        <row r="68">
          <cell r="C68"/>
          <cell r="D68"/>
          <cell r="E68"/>
          <cell r="F68"/>
        </row>
        <row r="69">
          <cell r="C69"/>
          <cell r="D69"/>
          <cell r="E69"/>
          <cell r="F69"/>
        </row>
        <row r="70">
          <cell r="C70"/>
          <cell r="D70"/>
          <cell r="E70"/>
          <cell r="F70"/>
        </row>
        <row r="71">
          <cell r="C71"/>
          <cell r="D71"/>
          <cell r="E71"/>
          <cell r="F71"/>
        </row>
        <row r="72">
          <cell r="C72"/>
          <cell r="D72"/>
          <cell r="E72"/>
          <cell r="F72"/>
        </row>
        <row r="73">
          <cell r="C73"/>
          <cell r="D73"/>
          <cell r="E73"/>
          <cell r="F73"/>
        </row>
        <row r="74">
          <cell r="C74"/>
          <cell r="D74"/>
          <cell r="E74"/>
          <cell r="F74"/>
        </row>
        <row r="75">
          <cell r="C75"/>
          <cell r="D75"/>
          <cell r="E75"/>
          <cell r="F75"/>
        </row>
        <row r="76">
          <cell r="C76"/>
          <cell r="D76"/>
          <cell r="E76"/>
          <cell r="F76"/>
        </row>
        <row r="77">
          <cell r="C77"/>
          <cell r="D77"/>
          <cell r="E77"/>
          <cell r="F77"/>
        </row>
        <row r="78">
          <cell r="C78"/>
          <cell r="D78"/>
          <cell r="E78"/>
          <cell r="F78"/>
        </row>
        <row r="79">
          <cell r="C79"/>
          <cell r="D79"/>
          <cell r="E79"/>
          <cell r="F79"/>
        </row>
        <row r="80">
          <cell r="C80"/>
          <cell r="D80"/>
          <cell r="E80"/>
          <cell r="F80"/>
        </row>
      </sheetData>
      <sheetData sheetId="6"/>
      <sheetData sheetId="7">
        <row r="1">
          <cell r="A1" t="str">
            <v>Sin Area</v>
          </cell>
          <cell r="B1" t="str">
            <v>NORTE</v>
          </cell>
          <cell r="C1" t="str">
            <v>CENTRO</v>
          </cell>
          <cell r="D1" t="str">
            <v>ESTE</v>
          </cell>
          <cell r="E1" t="str">
            <v>CHIRIQUI</v>
          </cell>
          <cell r="F1" t="str">
            <v>COCLE</v>
          </cell>
          <cell r="G1" t="str">
            <v>COLON</v>
          </cell>
          <cell r="H1" t="str">
            <v>DARIEN</v>
          </cell>
          <cell r="I1" t="str">
            <v>HERRERA</v>
          </cell>
          <cell r="J1" t="str">
            <v>OESTE</v>
          </cell>
          <cell r="K1" t="str">
            <v>VERAGUAS</v>
          </cell>
          <cell r="L1" t="str">
            <v>San Miguelito</v>
          </cell>
          <cell r="M1" t="str">
            <v>Bocas</v>
          </cell>
          <cell r="N1" t="str">
            <v>Los Santos</v>
          </cell>
        </row>
        <row r="2">
          <cell r="A2" t="str">
            <v>Año</v>
          </cell>
          <cell r="B2" t="str" vm="1">
            <v>All</v>
          </cell>
        </row>
        <row r="3">
          <cell r="A3" t="str">
            <v>Mes 2</v>
          </cell>
          <cell r="B3" t="str" vm="2">
            <v>3</v>
          </cell>
        </row>
        <row r="4">
          <cell r="A4" t="str">
            <v>Recuento distinto de ORGANIZACIÓN BENEFICIARIA</v>
          </cell>
        </row>
        <row r="5">
          <cell r="A5" t="str">
            <v>Recuento distinto de # de Benefeciarios en Total</v>
          </cell>
          <cell r="B5" t="str">
            <v>Column Labels</v>
          </cell>
        </row>
        <row r="6">
          <cell r="A6" t="str">
            <v>Row Labels</v>
          </cell>
          <cell r="B6" t="str">
            <v>Panama Norte</v>
          </cell>
          <cell r="C6" t="str">
            <v>Panama Centro</v>
          </cell>
          <cell r="D6" t="str">
            <v>Panama Este</v>
          </cell>
          <cell r="E6" t="str">
            <v>Provincia de Chiriquí</v>
          </cell>
          <cell r="F6" t="str">
            <v>Provincia de Coclé</v>
          </cell>
          <cell r="G6" t="str">
            <v>Provincia de Colon</v>
          </cell>
          <cell r="H6" t="str">
            <v>Provincia de Darién</v>
          </cell>
          <cell r="I6" t="str">
            <v>Provincia de Herrera</v>
          </cell>
          <cell r="J6" t="str">
            <v>Provincia de Panama Oeste</v>
          </cell>
          <cell r="K6" t="str">
            <v>Provincia de Veraguas</v>
          </cell>
          <cell r="L6" t="str">
            <v>San Miguelito</v>
          </cell>
          <cell r="M6" t="str">
            <v>Provincia de Bocas del Toro</v>
          </cell>
          <cell r="N6" t="str">
            <v>Provincia de Los Santos</v>
          </cell>
        </row>
        <row r="7">
          <cell r="A7" t="str">
            <v>0</v>
          </cell>
          <cell r="B7">
            <v>17</v>
          </cell>
          <cell r="C7">
            <v>33</v>
          </cell>
          <cell r="D7">
            <v>45</v>
          </cell>
          <cell r="E7">
            <v>12</v>
          </cell>
          <cell r="F7">
            <v>7</v>
          </cell>
          <cell r="G7">
            <v>7</v>
          </cell>
          <cell r="H7">
            <v>4</v>
          </cell>
          <cell r="I7">
            <v>5</v>
          </cell>
          <cell r="J7">
            <v>25</v>
          </cell>
          <cell r="K7">
            <v>5</v>
          </cell>
          <cell r="L7">
            <v>8</v>
          </cell>
          <cell r="M7">
            <v>1</v>
          </cell>
          <cell r="N7">
            <v>2</v>
          </cell>
        </row>
        <row r="8">
          <cell r="A8" t="str">
            <v>AGENCIAS ESCOFFERY, S.A</v>
          </cell>
          <cell r="C8">
            <v>8</v>
          </cell>
          <cell r="D8">
            <v>13</v>
          </cell>
          <cell r="G8">
            <v>2</v>
          </cell>
          <cell r="J8">
            <v>5</v>
          </cell>
        </row>
        <row r="9">
          <cell r="A9" t="str">
            <v>AGENCIAS FEDURO</v>
          </cell>
          <cell r="B9">
            <v>4</v>
          </cell>
          <cell r="C9">
            <v>16</v>
          </cell>
          <cell r="D9">
            <v>28</v>
          </cell>
          <cell r="E9">
            <v>7</v>
          </cell>
          <cell r="F9">
            <v>4</v>
          </cell>
          <cell r="G9">
            <v>4</v>
          </cell>
          <cell r="H9">
            <v>2</v>
          </cell>
          <cell r="I9">
            <v>4</v>
          </cell>
          <cell r="J9">
            <v>12</v>
          </cell>
          <cell r="K9">
            <v>2</v>
          </cell>
          <cell r="L9">
            <v>5</v>
          </cell>
          <cell r="N9">
            <v>2</v>
          </cell>
        </row>
        <row r="10">
          <cell r="A10" t="str">
            <v>Agro Export Pacific, S.A</v>
          </cell>
          <cell r="B10">
            <v>3</v>
          </cell>
          <cell r="C10">
            <v>11</v>
          </cell>
          <cell r="D10">
            <v>22</v>
          </cell>
          <cell r="E10">
            <v>10</v>
          </cell>
          <cell r="F10">
            <v>4</v>
          </cell>
          <cell r="G10">
            <v>3</v>
          </cell>
          <cell r="H10">
            <v>1</v>
          </cell>
          <cell r="I10">
            <v>2</v>
          </cell>
          <cell r="J10">
            <v>6</v>
          </cell>
          <cell r="K10">
            <v>3</v>
          </cell>
          <cell r="L10">
            <v>3</v>
          </cell>
        </row>
        <row r="11">
          <cell r="A11" t="str">
            <v>ALIMENTOS CÁRNICOS DE PANAMA ,S.A</v>
          </cell>
          <cell r="B11">
            <v>1</v>
          </cell>
          <cell r="C11">
            <v>3</v>
          </cell>
          <cell r="D11">
            <v>5</v>
          </cell>
          <cell r="G11">
            <v>1</v>
          </cell>
          <cell r="J11">
            <v>2</v>
          </cell>
          <cell r="L11">
            <v>1</v>
          </cell>
        </row>
        <row r="12">
          <cell r="A12" t="str">
            <v>Bienes y Raices Metalicas S.A.</v>
          </cell>
          <cell r="F12">
            <v>1</v>
          </cell>
          <cell r="I12">
            <v>1</v>
          </cell>
          <cell r="N12">
            <v>1</v>
          </cell>
        </row>
        <row r="13">
          <cell r="A13" t="str">
            <v>CAMPAÑA NUTRIENDO VIDAS</v>
          </cell>
          <cell r="B13">
            <v>4</v>
          </cell>
          <cell r="C13">
            <v>7</v>
          </cell>
          <cell r="D13">
            <v>6</v>
          </cell>
          <cell r="E13">
            <v>2</v>
          </cell>
          <cell r="F13">
            <v>1</v>
          </cell>
          <cell r="G13">
            <v>3</v>
          </cell>
          <cell r="H13">
            <v>1</v>
          </cell>
          <cell r="J13">
            <v>6</v>
          </cell>
          <cell r="K13">
            <v>3</v>
          </cell>
          <cell r="L13">
            <v>2</v>
          </cell>
          <cell r="M13">
            <v>1</v>
          </cell>
        </row>
        <row r="14">
          <cell r="A14" t="str">
            <v>CENTRAL AZUCARERO LA VICTORIA</v>
          </cell>
          <cell r="E14">
            <v>4</v>
          </cell>
        </row>
        <row r="15">
          <cell r="A15" t="str">
            <v>CERRO PUNTA, S.A</v>
          </cell>
          <cell r="B15">
            <v>2</v>
          </cell>
          <cell r="C15">
            <v>5</v>
          </cell>
          <cell r="D15">
            <v>10</v>
          </cell>
          <cell r="E15">
            <v>1</v>
          </cell>
          <cell r="G15">
            <v>1</v>
          </cell>
          <cell r="J15">
            <v>5</v>
          </cell>
          <cell r="L15">
            <v>1</v>
          </cell>
        </row>
        <row r="16">
          <cell r="A16" t="str">
            <v>Colgate Palmolive (CENTRAL AMERICA) INC</v>
          </cell>
          <cell r="B16">
            <v>7</v>
          </cell>
          <cell r="C16">
            <v>12</v>
          </cell>
          <cell r="D16">
            <v>21</v>
          </cell>
          <cell r="E16">
            <v>5</v>
          </cell>
          <cell r="F16">
            <v>1</v>
          </cell>
          <cell r="G16">
            <v>1</v>
          </cell>
          <cell r="H16">
            <v>2</v>
          </cell>
          <cell r="I16">
            <v>2</v>
          </cell>
          <cell r="J16">
            <v>10</v>
          </cell>
          <cell r="K16">
            <v>1</v>
          </cell>
          <cell r="L16">
            <v>4</v>
          </cell>
          <cell r="N16">
            <v>2</v>
          </cell>
        </row>
        <row r="17">
          <cell r="A17" t="str">
            <v>CONGREGACION DE HERMANDAD KOL SHEARITH ISRAEL</v>
          </cell>
          <cell r="B17">
            <v>2</v>
          </cell>
          <cell r="C17">
            <v>5</v>
          </cell>
          <cell r="D17">
            <v>5</v>
          </cell>
          <cell r="G17">
            <v>1</v>
          </cell>
          <cell r="H17">
            <v>1</v>
          </cell>
          <cell r="J17">
            <v>7</v>
          </cell>
          <cell r="L17">
            <v>2</v>
          </cell>
        </row>
        <row r="18">
          <cell r="A18" t="str">
            <v>COOLBOX FRESIA CORP.</v>
          </cell>
          <cell r="D18">
            <v>2</v>
          </cell>
          <cell r="J18">
            <v>2</v>
          </cell>
        </row>
        <row r="19">
          <cell r="A19" t="str">
            <v>CORONADO ACL S.A. (LEUDO PANADERÍA)</v>
          </cell>
          <cell r="G19">
            <v>1</v>
          </cell>
        </row>
        <row r="20">
          <cell r="A20" t="str">
            <v>CORPORACION INTERNACIONAL DE ALIMENTOS, S.A.</v>
          </cell>
          <cell r="B20">
            <v>15</v>
          </cell>
          <cell r="C20">
            <v>31</v>
          </cell>
          <cell r="D20">
            <v>41</v>
          </cell>
          <cell r="E20">
            <v>11</v>
          </cell>
          <cell r="F20">
            <v>6</v>
          </cell>
          <cell r="G20">
            <v>6</v>
          </cell>
          <cell r="H20">
            <v>3</v>
          </cell>
          <cell r="I20">
            <v>5</v>
          </cell>
          <cell r="J20">
            <v>21</v>
          </cell>
          <cell r="K20">
            <v>3</v>
          </cell>
          <cell r="L20">
            <v>6</v>
          </cell>
          <cell r="N20">
            <v>2</v>
          </cell>
        </row>
        <row r="21">
          <cell r="A21" t="str">
            <v>Delivery Hero Dmart Panamá S.A. (Pedidos Ya)</v>
          </cell>
          <cell r="B21">
            <v>2</v>
          </cell>
          <cell r="C21">
            <v>5</v>
          </cell>
          <cell r="D21">
            <v>9</v>
          </cell>
          <cell r="E21">
            <v>1</v>
          </cell>
          <cell r="G21">
            <v>2</v>
          </cell>
          <cell r="J21">
            <v>6</v>
          </cell>
          <cell r="L21">
            <v>1</v>
          </cell>
        </row>
        <row r="22">
          <cell r="A22" t="str">
            <v>DICSA PANAMA</v>
          </cell>
          <cell r="B22">
            <v>2</v>
          </cell>
          <cell r="C22">
            <v>4</v>
          </cell>
          <cell r="D22">
            <v>7</v>
          </cell>
          <cell r="G22">
            <v>3</v>
          </cell>
          <cell r="H22">
            <v>2</v>
          </cell>
          <cell r="J22">
            <v>5</v>
          </cell>
          <cell r="L22">
            <v>4</v>
          </cell>
        </row>
        <row r="23">
          <cell r="A23" t="str">
            <v>Empresa Panameña de Alimentos, S. A.</v>
          </cell>
          <cell r="B23">
            <v>10</v>
          </cell>
          <cell r="C23">
            <v>24</v>
          </cell>
          <cell r="D23">
            <v>37</v>
          </cell>
          <cell r="E23">
            <v>5</v>
          </cell>
          <cell r="F23">
            <v>2</v>
          </cell>
          <cell r="G23">
            <v>6</v>
          </cell>
          <cell r="H23">
            <v>3</v>
          </cell>
          <cell r="I23">
            <v>1</v>
          </cell>
          <cell r="J23">
            <v>17</v>
          </cell>
          <cell r="K23">
            <v>1</v>
          </cell>
          <cell r="L23">
            <v>5</v>
          </cell>
        </row>
        <row r="24">
          <cell r="A24" t="str">
            <v>Federación Nacional de Cooperativas Salineras de Panamá (FENCOSPA, R.L.)</v>
          </cell>
          <cell r="N24">
            <v>1</v>
          </cell>
        </row>
        <row r="25">
          <cell r="A25" t="str">
            <v>FELIPE MOTTA, S.A</v>
          </cell>
          <cell r="B25">
            <v>2</v>
          </cell>
          <cell r="C25">
            <v>8</v>
          </cell>
          <cell r="D25">
            <v>11</v>
          </cell>
          <cell r="E25">
            <v>1</v>
          </cell>
          <cell r="G25">
            <v>2</v>
          </cell>
          <cell r="H25">
            <v>1</v>
          </cell>
          <cell r="J25">
            <v>6</v>
          </cell>
          <cell r="L25">
            <v>2</v>
          </cell>
        </row>
        <row r="26">
          <cell r="A26" t="str">
            <v>FRANQUICIAS PANAMEÑAS</v>
          </cell>
          <cell r="B26">
            <v>9</v>
          </cell>
          <cell r="C26">
            <v>12</v>
          </cell>
          <cell r="D26">
            <v>25</v>
          </cell>
          <cell r="G26">
            <v>3</v>
          </cell>
          <cell r="H26">
            <v>1</v>
          </cell>
          <cell r="J26">
            <v>9</v>
          </cell>
          <cell r="L26">
            <v>5</v>
          </cell>
        </row>
        <row r="27">
          <cell r="A27" t="str">
            <v>FRESCAFHISH, S.A</v>
          </cell>
          <cell r="B27">
            <v>2</v>
          </cell>
          <cell r="C27">
            <v>1</v>
          </cell>
          <cell r="D27">
            <v>3</v>
          </cell>
          <cell r="E27">
            <v>4</v>
          </cell>
          <cell r="F27">
            <v>1</v>
          </cell>
          <cell r="I27">
            <v>1</v>
          </cell>
          <cell r="J27">
            <v>2</v>
          </cell>
          <cell r="K27">
            <v>2</v>
          </cell>
          <cell r="N27">
            <v>2</v>
          </cell>
        </row>
        <row r="28">
          <cell r="A28" t="str">
            <v>GENTILE - G &amp; H. S.A.</v>
          </cell>
          <cell r="D28">
            <v>3</v>
          </cell>
        </row>
        <row r="29">
          <cell r="A29" t="str">
            <v>GLOBAL PRODUCTS AND LOGISTIC SERVICES, INC. (Dicarina)</v>
          </cell>
          <cell r="B29">
            <v>4</v>
          </cell>
          <cell r="C29">
            <v>13</v>
          </cell>
          <cell r="D29">
            <v>18</v>
          </cell>
          <cell r="G29">
            <v>2</v>
          </cell>
          <cell r="H29">
            <v>1</v>
          </cell>
          <cell r="J29">
            <v>10</v>
          </cell>
        </row>
        <row r="30">
          <cell r="A30" t="str">
            <v>GOLD MILLS</v>
          </cell>
          <cell r="B30">
            <v>1</v>
          </cell>
          <cell r="C30">
            <v>7</v>
          </cell>
          <cell r="D30">
            <v>13</v>
          </cell>
          <cell r="G30">
            <v>2</v>
          </cell>
          <cell r="J30">
            <v>4</v>
          </cell>
          <cell r="L30">
            <v>2</v>
          </cell>
        </row>
        <row r="31">
          <cell r="A31" t="str">
            <v>Grupo Calesa</v>
          </cell>
          <cell r="B31">
            <v>1</v>
          </cell>
          <cell r="C31">
            <v>9</v>
          </cell>
          <cell r="D31">
            <v>12</v>
          </cell>
          <cell r="G31">
            <v>1</v>
          </cell>
          <cell r="J31">
            <v>3</v>
          </cell>
          <cell r="L31">
            <v>2</v>
          </cell>
        </row>
        <row r="32">
          <cell r="A32" t="str">
            <v>GRUPO REY</v>
          </cell>
          <cell r="B32">
            <v>13</v>
          </cell>
          <cell r="C32">
            <v>26</v>
          </cell>
          <cell r="D32">
            <v>40</v>
          </cell>
          <cell r="F32">
            <v>2</v>
          </cell>
          <cell r="G32">
            <v>6</v>
          </cell>
          <cell r="H32">
            <v>3</v>
          </cell>
          <cell r="I32">
            <v>3</v>
          </cell>
          <cell r="J32">
            <v>18</v>
          </cell>
          <cell r="K32">
            <v>2</v>
          </cell>
          <cell r="L32">
            <v>6</v>
          </cell>
          <cell r="N32">
            <v>2</v>
          </cell>
        </row>
        <row r="33">
          <cell r="A33" t="str">
            <v>H. TZANETATO INC</v>
          </cell>
          <cell r="B33">
            <v>4</v>
          </cell>
          <cell r="C33">
            <v>11</v>
          </cell>
          <cell r="D33">
            <v>27</v>
          </cell>
          <cell r="E33">
            <v>5</v>
          </cell>
          <cell r="F33">
            <v>1</v>
          </cell>
          <cell r="G33">
            <v>2</v>
          </cell>
          <cell r="H33">
            <v>1</v>
          </cell>
          <cell r="I33">
            <v>1</v>
          </cell>
          <cell r="J33">
            <v>9</v>
          </cell>
          <cell r="K33">
            <v>1</v>
          </cell>
          <cell r="L33">
            <v>3</v>
          </cell>
          <cell r="N33">
            <v>1</v>
          </cell>
        </row>
        <row r="34">
          <cell r="A34" t="str">
            <v>IMPORTADORA FRUTA INTERNACIONAL PANAMÁ, S.A.</v>
          </cell>
          <cell r="B34">
            <v>4</v>
          </cell>
          <cell r="C34">
            <v>9</v>
          </cell>
          <cell r="D34">
            <v>18</v>
          </cell>
          <cell r="E34">
            <v>1</v>
          </cell>
          <cell r="G34">
            <v>3</v>
          </cell>
          <cell r="J34">
            <v>6</v>
          </cell>
        </row>
        <row r="35">
          <cell r="A35" t="str">
            <v>IMPORTADORA RICAMAR - SUPER 99</v>
          </cell>
          <cell r="B35">
            <v>2</v>
          </cell>
          <cell r="C35">
            <v>6</v>
          </cell>
          <cell r="D35">
            <v>7</v>
          </cell>
          <cell r="H35">
            <v>1</v>
          </cell>
          <cell r="J35">
            <v>6</v>
          </cell>
          <cell r="L35">
            <v>2</v>
          </cell>
        </row>
        <row r="36">
          <cell r="A36" t="str">
            <v>IMPORTADORA Y EXPORTADORA NIMAR</v>
          </cell>
          <cell r="B36">
            <v>1</v>
          </cell>
          <cell r="C36">
            <v>10</v>
          </cell>
          <cell r="D36">
            <v>13</v>
          </cell>
          <cell r="G36">
            <v>2</v>
          </cell>
          <cell r="J36">
            <v>7</v>
          </cell>
          <cell r="L36">
            <v>1</v>
          </cell>
        </row>
        <row r="37">
          <cell r="A37" t="str">
            <v>INDUSTRIAS LACTEAS, S.A / Estrella Azul</v>
          </cell>
          <cell r="B37">
            <v>1</v>
          </cell>
          <cell r="C37">
            <v>5</v>
          </cell>
          <cell r="D37">
            <v>8</v>
          </cell>
          <cell r="G37">
            <v>2</v>
          </cell>
          <cell r="J37">
            <v>4</v>
          </cell>
          <cell r="L37">
            <v>2</v>
          </cell>
        </row>
        <row r="38">
          <cell r="A38" t="str">
            <v>KERRY PANAMA, S.A.</v>
          </cell>
          <cell r="C38">
            <v>1</v>
          </cell>
        </row>
        <row r="39">
          <cell r="A39" t="str">
            <v>LA CHOLITA S.A.</v>
          </cell>
          <cell r="D39">
            <v>1</v>
          </cell>
          <cell r="E39">
            <v>9</v>
          </cell>
          <cell r="F39">
            <v>2</v>
          </cell>
          <cell r="I39">
            <v>1</v>
          </cell>
          <cell r="K39">
            <v>2</v>
          </cell>
          <cell r="N39">
            <v>2</v>
          </cell>
        </row>
        <row r="40">
          <cell r="A40" t="str">
            <v>MARTIN BROWER</v>
          </cell>
          <cell r="B40">
            <v>3</v>
          </cell>
          <cell r="C40">
            <v>13</v>
          </cell>
          <cell r="D40">
            <v>27</v>
          </cell>
          <cell r="G40">
            <v>3</v>
          </cell>
          <cell r="H40">
            <v>1</v>
          </cell>
          <cell r="I40">
            <v>1</v>
          </cell>
          <cell r="J40">
            <v>7</v>
          </cell>
          <cell r="L40">
            <v>5</v>
          </cell>
        </row>
        <row r="41">
          <cell r="A41" t="str">
            <v>MELO FARMA, S.A.</v>
          </cell>
          <cell r="B41">
            <v>3</v>
          </cell>
          <cell r="C41">
            <v>7</v>
          </cell>
          <cell r="D41">
            <v>5</v>
          </cell>
          <cell r="G41">
            <v>1</v>
          </cell>
          <cell r="J41">
            <v>3</v>
          </cell>
        </row>
        <row r="42">
          <cell r="A42" t="str">
            <v>MERCA PANAMA</v>
          </cell>
          <cell r="B42">
            <v>2</v>
          </cell>
          <cell r="C42">
            <v>13</v>
          </cell>
          <cell r="D42">
            <v>25</v>
          </cell>
          <cell r="E42">
            <v>2</v>
          </cell>
          <cell r="F42">
            <v>1</v>
          </cell>
          <cell r="G42">
            <v>2</v>
          </cell>
          <cell r="H42">
            <v>1</v>
          </cell>
          <cell r="J42">
            <v>11</v>
          </cell>
          <cell r="L42">
            <v>1</v>
          </cell>
        </row>
        <row r="43">
          <cell r="A43" t="str">
            <v>MERCALIMENTOS PANAMA, S.A</v>
          </cell>
          <cell r="B43">
            <v>5</v>
          </cell>
          <cell r="C43">
            <v>20</v>
          </cell>
          <cell r="D43">
            <v>32</v>
          </cell>
          <cell r="E43">
            <v>4</v>
          </cell>
          <cell r="G43">
            <v>5</v>
          </cell>
          <cell r="H43">
            <v>2</v>
          </cell>
          <cell r="I43">
            <v>1</v>
          </cell>
          <cell r="J43">
            <v>14</v>
          </cell>
          <cell r="L43">
            <v>4</v>
          </cell>
          <cell r="N43">
            <v>2</v>
          </cell>
        </row>
        <row r="44">
          <cell r="A44" t="str">
            <v>NEGOCIOS CENTROAMERICANOS, S.A</v>
          </cell>
          <cell r="B44">
            <v>3</v>
          </cell>
          <cell r="C44">
            <v>6</v>
          </cell>
          <cell r="D44">
            <v>14</v>
          </cell>
          <cell r="G44">
            <v>2</v>
          </cell>
          <cell r="J44">
            <v>4</v>
          </cell>
          <cell r="L44">
            <v>3</v>
          </cell>
        </row>
        <row r="45">
          <cell r="A45" t="str">
            <v>NESTLE PANAMA</v>
          </cell>
          <cell r="B45">
            <v>9</v>
          </cell>
          <cell r="C45">
            <v>25</v>
          </cell>
          <cell r="D45">
            <v>34</v>
          </cell>
          <cell r="E45">
            <v>8</v>
          </cell>
          <cell r="F45">
            <v>5</v>
          </cell>
          <cell r="G45">
            <v>6</v>
          </cell>
          <cell r="H45">
            <v>3</v>
          </cell>
          <cell r="I45">
            <v>2</v>
          </cell>
          <cell r="J45">
            <v>18</v>
          </cell>
          <cell r="K45">
            <v>3</v>
          </cell>
          <cell r="L45">
            <v>5</v>
          </cell>
          <cell r="N45">
            <v>2</v>
          </cell>
        </row>
        <row r="46">
          <cell r="A46" t="str">
            <v>NUEVO HUNG SHENG</v>
          </cell>
          <cell r="B46">
            <v>6</v>
          </cell>
          <cell r="C46">
            <v>11</v>
          </cell>
          <cell r="D46">
            <v>17</v>
          </cell>
          <cell r="G46">
            <v>1</v>
          </cell>
          <cell r="H46">
            <v>1</v>
          </cell>
          <cell r="J46">
            <v>8</v>
          </cell>
          <cell r="L46">
            <v>3</v>
          </cell>
        </row>
        <row r="47">
          <cell r="A47" t="str">
            <v>ORDEN DE MALTA PANAMA ASOCIACION PANAMEÑA</v>
          </cell>
          <cell r="B47">
            <v>1</v>
          </cell>
          <cell r="C47">
            <v>4</v>
          </cell>
          <cell r="D47">
            <v>7</v>
          </cell>
          <cell r="E47">
            <v>4</v>
          </cell>
          <cell r="F47">
            <v>5</v>
          </cell>
          <cell r="H47">
            <v>1</v>
          </cell>
          <cell r="I47">
            <v>2</v>
          </cell>
          <cell r="J47">
            <v>3</v>
          </cell>
          <cell r="K47">
            <v>2</v>
          </cell>
          <cell r="L47">
            <v>3</v>
          </cell>
          <cell r="N47">
            <v>1</v>
          </cell>
        </row>
        <row r="48">
          <cell r="A48" t="str">
            <v>PANASAL</v>
          </cell>
          <cell r="B48">
            <v>4</v>
          </cell>
          <cell r="C48">
            <v>6</v>
          </cell>
          <cell r="D48">
            <v>8</v>
          </cell>
          <cell r="G48">
            <v>2</v>
          </cell>
          <cell r="J48">
            <v>2</v>
          </cell>
          <cell r="L48">
            <v>1</v>
          </cell>
        </row>
        <row r="49">
          <cell r="A49" t="str">
            <v>PEDERSEN FINE FOODS, S.A</v>
          </cell>
          <cell r="B49">
            <v>5</v>
          </cell>
          <cell r="C49">
            <v>4</v>
          </cell>
          <cell r="D49">
            <v>4</v>
          </cell>
          <cell r="J49">
            <v>4</v>
          </cell>
          <cell r="L49">
            <v>2</v>
          </cell>
        </row>
        <row r="50">
          <cell r="A50" t="str">
            <v>Price-Smart-Panama S.A</v>
          </cell>
          <cell r="B50">
            <v>8</v>
          </cell>
          <cell r="C50">
            <v>18</v>
          </cell>
          <cell r="D50">
            <v>35</v>
          </cell>
          <cell r="E50">
            <v>9</v>
          </cell>
          <cell r="F50">
            <v>3</v>
          </cell>
          <cell r="G50">
            <v>4</v>
          </cell>
          <cell r="H50">
            <v>2</v>
          </cell>
          <cell r="I50">
            <v>3</v>
          </cell>
          <cell r="J50">
            <v>16</v>
          </cell>
          <cell r="K50">
            <v>3</v>
          </cell>
          <cell r="L50">
            <v>4</v>
          </cell>
          <cell r="N50">
            <v>1</v>
          </cell>
        </row>
        <row r="51">
          <cell r="A51" t="str">
            <v>PROCESADORA MONICA, S.A</v>
          </cell>
          <cell r="E51">
            <v>2</v>
          </cell>
          <cell r="F51">
            <v>1</v>
          </cell>
          <cell r="I51">
            <v>1</v>
          </cell>
          <cell r="K51">
            <v>1</v>
          </cell>
          <cell r="N51">
            <v>1</v>
          </cell>
        </row>
        <row r="52">
          <cell r="A52" t="str">
            <v>PRODUCTOS KIENER</v>
          </cell>
          <cell r="B52">
            <v>9</v>
          </cell>
          <cell r="C52">
            <v>21</v>
          </cell>
          <cell r="D52">
            <v>31</v>
          </cell>
          <cell r="E52">
            <v>1</v>
          </cell>
          <cell r="G52">
            <v>2</v>
          </cell>
          <cell r="H52">
            <v>2</v>
          </cell>
          <cell r="J52">
            <v>16</v>
          </cell>
          <cell r="L52">
            <v>5</v>
          </cell>
        </row>
        <row r="53">
          <cell r="A53" t="str">
            <v>PRODUCTOS LA DOÑA, S.A</v>
          </cell>
          <cell r="B53">
            <v>8</v>
          </cell>
          <cell r="C53">
            <v>24</v>
          </cell>
          <cell r="D53">
            <v>34</v>
          </cell>
          <cell r="E53">
            <v>7</v>
          </cell>
          <cell r="F53">
            <v>6</v>
          </cell>
          <cell r="G53">
            <v>4</v>
          </cell>
          <cell r="H53">
            <v>3</v>
          </cell>
          <cell r="I53">
            <v>1</v>
          </cell>
          <cell r="J53">
            <v>18</v>
          </cell>
          <cell r="K53">
            <v>2</v>
          </cell>
          <cell r="L53">
            <v>6</v>
          </cell>
          <cell r="N53">
            <v>2</v>
          </cell>
        </row>
        <row r="54">
          <cell r="A54" t="str">
            <v>PRODUCTOS LUX, S.A ( Proluxa)</v>
          </cell>
          <cell r="B54">
            <v>6</v>
          </cell>
          <cell r="C54">
            <v>16</v>
          </cell>
          <cell r="D54">
            <v>17</v>
          </cell>
          <cell r="E54">
            <v>2</v>
          </cell>
          <cell r="F54">
            <v>3</v>
          </cell>
          <cell r="G54">
            <v>1</v>
          </cell>
          <cell r="H54">
            <v>2</v>
          </cell>
          <cell r="J54">
            <v>9</v>
          </cell>
          <cell r="K54">
            <v>1</v>
          </cell>
          <cell r="L54">
            <v>3</v>
          </cell>
          <cell r="N54">
            <v>1</v>
          </cell>
        </row>
        <row r="55">
          <cell r="A55" t="str">
            <v>PRODUCTOS NEVADA S.A</v>
          </cell>
          <cell r="B55">
            <v>3</v>
          </cell>
          <cell r="C55">
            <v>5</v>
          </cell>
          <cell r="D55">
            <v>9</v>
          </cell>
          <cell r="G55">
            <v>1</v>
          </cell>
          <cell r="H55">
            <v>1</v>
          </cell>
          <cell r="J55">
            <v>4</v>
          </cell>
          <cell r="L55">
            <v>3</v>
          </cell>
        </row>
        <row r="56">
          <cell r="A56" t="str">
            <v>PRODUCTOS TOLEDANO</v>
          </cell>
          <cell r="B56">
            <v>7</v>
          </cell>
          <cell r="C56">
            <v>12</v>
          </cell>
          <cell r="D56">
            <v>26</v>
          </cell>
          <cell r="E56">
            <v>11</v>
          </cell>
          <cell r="F56">
            <v>4</v>
          </cell>
          <cell r="G56">
            <v>2</v>
          </cell>
          <cell r="H56">
            <v>3</v>
          </cell>
          <cell r="I56">
            <v>4</v>
          </cell>
          <cell r="J56">
            <v>14</v>
          </cell>
          <cell r="K56">
            <v>3</v>
          </cell>
          <cell r="L56">
            <v>5</v>
          </cell>
          <cell r="N56">
            <v>2</v>
          </cell>
        </row>
        <row r="57">
          <cell r="A57" t="str">
            <v>PROGRAMA KILOS DE ESPERANZA</v>
          </cell>
          <cell r="B57">
            <v>5</v>
          </cell>
          <cell r="C57">
            <v>13</v>
          </cell>
          <cell r="D57">
            <v>16</v>
          </cell>
          <cell r="G57">
            <v>3</v>
          </cell>
          <cell r="H57">
            <v>1</v>
          </cell>
          <cell r="J57">
            <v>10</v>
          </cell>
          <cell r="L57">
            <v>4</v>
          </cell>
        </row>
        <row r="58">
          <cell r="A58" t="str">
            <v>PROSERV</v>
          </cell>
          <cell r="B58">
            <v>3</v>
          </cell>
          <cell r="C58">
            <v>13</v>
          </cell>
          <cell r="D58">
            <v>23</v>
          </cell>
          <cell r="E58">
            <v>2</v>
          </cell>
          <cell r="F58">
            <v>2</v>
          </cell>
          <cell r="G58">
            <v>3</v>
          </cell>
          <cell r="H58">
            <v>1</v>
          </cell>
          <cell r="I58">
            <v>1</v>
          </cell>
          <cell r="J58">
            <v>7</v>
          </cell>
          <cell r="K58">
            <v>1</v>
          </cell>
          <cell r="L58">
            <v>2</v>
          </cell>
          <cell r="N58">
            <v>1</v>
          </cell>
        </row>
        <row r="59">
          <cell r="A59" t="str">
            <v>PURISSIMA, S.A</v>
          </cell>
          <cell r="B59">
            <v>5</v>
          </cell>
          <cell r="C59">
            <v>5</v>
          </cell>
          <cell r="D59">
            <v>9</v>
          </cell>
          <cell r="G59">
            <v>1</v>
          </cell>
          <cell r="I59">
            <v>1</v>
          </cell>
          <cell r="J59">
            <v>2</v>
          </cell>
          <cell r="K59">
            <v>1</v>
          </cell>
          <cell r="L59">
            <v>2</v>
          </cell>
          <cell r="N59">
            <v>2</v>
          </cell>
        </row>
        <row r="60">
          <cell r="A60" t="str">
            <v>RIBA SMITH, S.A.</v>
          </cell>
          <cell r="B60">
            <v>5</v>
          </cell>
          <cell r="C60">
            <v>11</v>
          </cell>
          <cell r="D60">
            <v>20</v>
          </cell>
          <cell r="G60">
            <v>2</v>
          </cell>
          <cell r="H60">
            <v>2</v>
          </cell>
          <cell r="J60">
            <v>8</v>
          </cell>
          <cell r="L60">
            <v>3</v>
          </cell>
        </row>
        <row r="61">
          <cell r="A61" t="str">
            <v>SALVA - MAR,</v>
          </cell>
          <cell r="B61">
            <v>2</v>
          </cell>
          <cell r="C61">
            <v>6</v>
          </cell>
          <cell r="D61">
            <v>15</v>
          </cell>
          <cell r="E61">
            <v>3</v>
          </cell>
          <cell r="F61">
            <v>4</v>
          </cell>
          <cell r="G61">
            <v>2</v>
          </cell>
          <cell r="I61">
            <v>1</v>
          </cell>
          <cell r="J61">
            <v>7</v>
          </cell>
          <cell r="K61">
            <v>2</v>
          </cell>
          <cell r="L61">
            <v>1</v>
          </cell>
          <cell r="N61">
            <v>1</v>
          </cell>
        </row>
        <row r="62">
          <cell r="A62" t="str">
            <v>SAMBU ARTISAN FOOD, S.A.</v>
          </cell>
          <cell r="B62">
            <v>3</v>
          </cell>
          <cell r="C62">
            <v>9</v>
          </cell>
          <cell r="D62">
            <v>8</v>
          </cell>
          <cell r="G62">
            <v>1</v>
          </cell>
          <cell r="H62">
            <v>3</v>
          </cell>
          <cell r="J62">
            <v>6</v>
          </cell>
          <cell r="L62">
            <v>2</v>
          </cell>
        </row>
        <row r="63">
          <cell r="A63" t="str">
            <v>SUPER CARNES</v>
          </cell>
          <cell r="D63">
            <v>1</v>
          </cell>
          <cell r="E63">
            <v>8</v>
          </cell>
          <cell r="F63">
            <v>4</v>
          </cell>
          <cell r="I63">
            <v>3</v>
          </cell>
          <cell r="K63">
            <v>2</v>
          </cell>
          <cell r="N63">
            <v>1</v>
          </cell>
        </row>
        <row r="64">
          <cell r="A64" t="str">
            <v>Vima Foods Panamá S.A.</v>
          </cell>
          <cell r="B64">
            <v>1</v>
          </cell>
          <cell r="C64">
            <v>3</v>
          </cell>
          <cell r="D64">
            <v>9</v>
          </cell>
          <cell r="H64">
            <v>1</v>
          </cell>
          <cell r="J64">
            <v>4</v>
          </cell>
          <cell r="L64">
            <v>1</v>
          </cell>
        </row>
        <row r="65">
          <cell r="A65" t="str">
            <v>Grand Total</v>
          </cell>
          <cell r="B65">
            <v>18</v>
          </cell>
          <cell r="C65">
            <v>35</v>
          </cell>
          <cell r="D65">
            <v>48</v>
          </cell>
          <cell r="E65">
            <v>13</v>
          </cell>
          <cell r="F65">
            <v>7</v>
          </cell>
          <cell r="G65">
            <v>8</v>
          </cell>
          <cell r="H65">
            <v>4</v>
          </cell>
          <cell r="I65">
            <v>5</v>
          </cell>
          <cell r="J65">
            <v>28</v>
          </cell>
          <cell r="K65">
            <v>5</v>
          </cell>
          <cell r="L65">
            <v>8</v>
          </cell>
          <cell r="M65">
            <v>1</v>
          </cell>
          <cell r="N65">
            <v>2</v>
          </cell>
        </row>
      </sheetData>
      <sheetData sheetId="8">
        <row r="1">
          <cell r="A1" t="str">
            <v>Sin Area</v>
          </cell>
          <cell r="B1">
            <v>0</v>
          </cell>
          <cell r="C1" t="str">
            <v>CENTRO</v>
          </cell>
          <cell r="D1" t="str">
            <v>ESTE</v>
          </cell>
          <cell r="E1" t="str">
            <v>OESTE</v>
          </cell>
          <cell r="F1" t="str">
            <v>DARIEN</v>
          </cell>
          <cell r="G1" t="str">
            <v>San Miguelito</v>
          </cell>
          <cell r="H1" t="str">
            <v>COLON</v>
          </cell>
          <cell r="I1" t="str">
            <v>NORTE</v>
          </cell>
          <cell r="J1" t="str">
            <v>CHIRIQUI</v>
          </cell>
          <cell r="K1" t="str">
            <v>COCLE</v>
          </cell>
          <cell r="L1" t="str">
            <v>HERRERA</v>
          </cell>
          <cell r="M1" t="str">
            <v>VERAGUAS</v>
          </cell>
          <cell r="N1" t="str">
            <v>BOCAS</v>
          </cell>
          <cell r="O1" t="str">
            <v>Los Santos</v>
          </cell>
        </row>
        <row r="2">
          <cell r="A2" t="str">
            <v>Action Name</v>
          </cell>
          <cell r="B2" t="str">
            <v>Lot Shipped</v>
          </cell>
        </row>
        <row r="3">
          <cell r="A3" t="str">
            <v>Mes</v>
          </cell>
          <cell r="B3">
            <v>3</v>
          </cell>
        </row>
        <row r="5">
          <cell r="A5" t="str">
            <v>Suma de Kilos Despachados</v>
          </cell>
          <cell r="B5" t="str">
            <v>Etiquetas de columna</v>
          </cell>
        </row>
        <row r="6">
          <cell r="A6" t="str">
            <v>Etiquetas de fila</v>
          </cell>
          <cell r="B6">
            <v>0</v>
          </cell>
          <cell r="C6" t="str">
            <v>Panama Centro</v>
          </cell>
          <cell r="D6" t="str">
            <v>Panama Este</v>
          </cell>
          <cell r="E6" t="str">
            <v>Provincia de Panama Oeste</v>
          </cell>
          <cell r="F6" t="str">
            <v>Provincia de Darién</v>
          </cell>
          <cell r="G6" t="str">
            <v>San Miguelito</v>
          </cell>
          <cell r="H6" t="str">
            <v>Provincia de Colon</v>
          </cell>
          <cell r="I6" t="str">
            <v>Panama Norte</v>
          </cell>
          <cell r="J6" t="str">
            <v>Provincia de Chiriquí</v>
          </cell>
          <cell r="K6" t="str">
            <v>Provincia de Coclé</v>
          </cell>
          <cell r="L6" t="str">
            <v>Provincia de Herrera</v>
          </cell>
          <cell r="M6" t="str">
            <v>Provincia de Veraguas</v>
          </cell>
          <cell r="N6" t="str">
            <v>Provincia de Bocas del Toro</v>
          </cell>
          <cell r="O6" t="str">
            <v>Provincia de Los Santos</v>
          </cell>
        </row>
        <row r="7">
          <cell r="A7">
            <v>0</v>
          </cell>
          <cell r="B7">
            <v>1331.85</v>
          </cell>
          <cell r="C7">
            <v>2319.5300000000007</v>
          </cell>
          <cell r="D7">
            <v>8737.73</v>
          </cell>
          <cell r="E7">
            <v>2095.0699999999997</v>
          </cell>
          <cell r="F7">
            <v>244.21</v>
          </cell>
          <cell r="G7">
            <v>585.66</v>
          </cell>
          <cell r="H7">
            <v>2007.9300000000003</v>
          </cell>
          <cell r="I7">
            <v>719.29</v>
          </cell>
          <cell r="J7">
            <v>2388.5699999999997</v>
          </cell>
          <cell r="K7">
            <v>1936.21</v>
          </cell>
          <cell r="L7">
            <v>1703.2599999999998</v>
          </cell>
          <cell r="M7">
            <v>949.39</v>
          </cell>
          <cell r="N7">
            <v>0.01</v>
          </cell>
          <cell r="O7">
            <v>281.06</v>
          </cell>
        </row>
        <row r="8">
          <cell r="A8" t="str">
            <v>GRUPO REY</v>
          </cell>
          <cell r="B8">
            <v>18.5</v>
          </cell>
          <cell r="C8">
            <v>1551.72</v>
          </cell>
          <cell r="D8">
            <v>1708.5199999999998</v>
          </cell>
          <cell r="E8">
            <v>919.09999999999991</v>
          </cell>
          <cell r="F8">
            <v>74</v>
          </cell>
          <cell r="G8">
            <v>320.62</v>
          </cell>
          <cell r="H8">
            <v>594.79999999999995</v>
          </cell>
          <cell r="I8">
            <v>350.8</v>
          </cell>
          <cell r="K8">
            <v>40</v>
          </cell>
          <cell r="L8">
            <v>118</v>
          </cell>
          <cell r="M8">
            <v>72</v>
          </cell>
          <cell r="O8">
            <v>42</v>
          </cell>
        </row>
        <row r="9">
          <cell r="A9" t="str">
            <v>662-IG MINISTERIO EVANGELICO EL APOSENTO ALTO (CENTRO 1)</v>
          </cell>
          <cell r="C9">
            <v>13</v>
          </cell>
        </row>
        <row r="10">
          <cell r="A10" t="str">
            <v>209 IG - TEMPLO MISIONERO CRISTO TE LLAMA</v>
          </cell>
          <cell r="D10">
            <v>12</v>
          </cell>
        </row>
        <row r="11">
          <cell r="A11" t="str">
            <v>702 - FU MINISTERIO BERAKHAH INTERNACIONAL ARRAIJAN</v>
          </cell>
          <cell r="E11">
            <v>16</v>
          </cell>
        </row>
        <row r="12">
          <cell r="A12" t="str">
            <v>298-FU - MINISTERIO FUENTE DE VIDA PARA EL PERDIDO</v>
          </cell>
          <cell r="F12">
            <v>47</v>
          </cell>
        </row>
        <row r="13">
          <cell r="A13" t="str">
            <v>479-IG IGLESIA NUEVA ESPERANZA</v>
          </cell>
          <cell r="D13">
            <v>26.5</v>
          </cell>
        </row>
        <row r="14">
          <cell r="A14" t="str">
            <v>104 AS - ASOCIACIÓN HOGAR FELICIDAD</v>
          </cell>
          <cell r="E14">
            <v>39.56</v>
          </cell>
        </row>
        <row r="15">
          <cell r="A15" t="str">
            <v>175 AS - ASOCIACIÓN RESTAURANDO VIDAS</v>
          </cell>
          <cell r="D15">
            <v>24</v>
          </cell>
        </row>
        <row r="16">
          <cell r="A16" t="str">
            <v>178 IG - TEMPLO ZURIEL EL REFUGIO</v>
          </cell>
          <cell r="G16">
            <v>193.34</v>
          </cell>
        </row>
        <row r="17">
          <cell r="A17" t="str">
            <v>207 IG - IGLESIA CENTRO DE VIDA CRISTIANA</v>
          </cell>
          <cell r="D17">
            <v>47</v>
          </cell>
        </row>
        <row r="18">
          <cell r="A18" t="str">
            <v>493-FU Comedor Jesús es mi Pastor</v>
          </cell>
          <cell r="D18">
            <v>12</v>
          </cell>
        </row>
        <row r="19">
          <cell r="A19" t="str">
            <v>636- FU JAH - LIVE (JAHL) - COLON</v>
          </cell>
          <cell r="H19">
            <v>433.8</v>
          </cell>
        </row>
        <row r="20">
          <cell r="A20" t="str">
            <v>224 OR MISIONERAS DE LA CARIDAD DE COLON</v>
          </cell>
          <cell r="H20">
            <v>15</v>
          </cell>
        </row>
        <row r="21">
          <cell r="A21" t="str">
            <v>365-IG COMEDOR HEFZIBA</v>
          </cell>
          <cell r="I21">
            <v>76.52</v>
          </cell>
        </row>
        <row r="22">
          <cell r="A22" t="str">
            <v>635 TEMPLO ADULAM</v>
          </cell>
          <cell r="E22">
            <v>81</v>
          </cell>
        </row>
        <row r="23">
          <cell r="A23" t="str">
            <v>470-FU IGLESIA MONTE SANTO</v>
          </cell>
          <cell r="D23">
            <v>15</v>
          </cell>
        </row>
        <row r="24">
          <cell r="A24" t="str">
            <v>687 - FU FUNDACION ARCA DE JESUS</v>
          </cell>
          <cell r="E24">
            <v>123</v>
          </cell>
        </row>
        <row r="25">
          <cell r="A25" t="str">
            <v>218 ED - LOS PREFERIDOS DEL SEÑOR (CENTRO2)</v>
          </cell>
          <cell r="C25">
            <v>530.6</v>
          </cell>
        </row>
        <row r="26">
          <cell r="A26" t="str">
            <v>187 IG - IGLESIA DE DIOS DE LA PROFECÍA</v>
          </cell>
          <cell r="D26">
            <v>254.51999999999998</v>
          </cell>
        </row>
        <row r="27">
          <cell r="A27" t="str">
            <v>321-IG IGLESIA DIOS ES MI PROVEEDOR Y SUSTENTO</v>
          </cell>
          <cell r="D27">
            <v>87.259999999999991</v>
          </cell>
        </row>
        <row r="28">
          <cell r="A28" t="str">
            <v>694 - FU MINISTERIO BERAKHAH INTERNACIONAL TOCUMEN #2</v>
          </cell>
          <cell r="D28">
            <v>35</v>
          </cell>
        </row>
        <row r="29">
          <cell r="A29" t="str">
            <v>695 - FU MINISTERIO BERAKHAH INTERNACIONAL 24 DIC</v>
          </cell>
          <cell r="D29">
            <v>78</v>
          </cell>
        </row>
        <row r="30">
          <cell r="A30" t="str">
            <v>703 - FU MINISTERIO BERAKHAH INTERNACIONAL FELIPILLO #3</v>
          </cell>
          <cell r="D30">
            <v>3</v>
          </cell>
        </row>
        <row r="31">
          <cell r="A31" t="str">
            <v>444-FU MINISTERIO BERAKHAH INTERNACIONAL COMEDOR LAS GARZAS #1</v>
          </cell>
          <cell r="D31">
            <v>15</v>
          </cell>
        </row>
        <row r="32">
          <cell r="A32" t="str">
            <v>366-FU CENTRO MISIONERO EL SHADAI (ESTE)</v>
          </cell>
          <cell r="D32">
            <v>107.25999999999999</v>
          </cell>
        </row>
        <row r="33">
          <cell r="A33" t="str">
            <v>498-FU COMEDOR NIÑOS DE BENDICION</v>
          </cell>
          <cell r="E33">
            <v>57</v>
          </cell>
        </row>
        <row r="34">
          <cell r="A34" t="str">
            <v>288 IG MINISTERIO EVANGELISTICO DE SANACION Y RESTAURACION, SENALES, MILAGROS Y MARAVILLAS (ESTE)</v>
          </cell>
          <cell r="D34">
            <v>37.28</v>
          </cell>
        </row>
        <row r="35">
          <cell r="A35" t="str">
            <v>373-FU MINISTERIO INTERNACIONAL BOANERGES</v>
          </cell>
          <cell r="I35">
            <v>45.28</v>
          </cell>
        </row>
        <row r="36">
          <cell r="A36" t="str">
            <v>197 FU FUNDACION SOCIAL CULTURAL Y AMBIENTAL DE VERACRUZ (OESTE)</v>
          </cell>
          <cell r="E36">
            <v>43.519999999999996</v>
          </cell>
        </row>
        <row r="37">
          <cell r="A37" t="str">
            <v>183 ED - BELÉN CASA DE PAN (ESTE)</v>
          </cell>
          <cell r="D37">
            <v>23</v>
          </cell>
        </row>
        <row r="38">
          <cell r="A38" t="str">
            <v>701 - FU MINISTERIO BERAKHAH INTERNACIONAL LOS ANDES</v>
          </cell>
          <cell r="I38">
            <v>10</v>
          </cell>
        </row>
        <row r="39">
          <cell r="A39" t="str">
            <v>431-IG IGLESIA ADVENTISTA DISTRITO 8</v>
          </cell>
          <cell r="D39">
            <v>13</v>
          </cell>
        </row>
        <row r="40">
          <cell r="A40" t="str">
            <v>261 - AS ASOCIACIÓN MINISTERIO SIRVIENDO A LA COMUNIDAD PARA JESUCRISTO</v>
          </cell>
          <cell r="C40">
            <v>6</v>
          </cell>
        </row>
        <row r="41">
          <cell r="A41" t="str">
            <v>211 IG - IGLESIA CRISTIANA KADOSH</v>
          </cell>
          <cell r="C41">
            <v>12</v>
          </cell>
        </row>
        <row r="42">
          <cell r="A42" t="str">
            <v>51 PA - PARROQUIA SAN PIO DE PIETRELCINA (ESTE)</v>
          </cell>
          <cell r="D42">
            <v>11</v>
          </cell>
        </row>
        <row r="43">
          <cell r="A43" t="str">
            <v>368-FU MINISTERIO PACTO DE SANTIDAD</v>
          </cell>
          <cell r="C43">
            <v>36</v>
          </cell>
        </row>
        <row r="44">
          <cell r="A44" t="str">
            <v>654 - IG M.I.A.F NUEVA JERUSALEN PANAMA (ESTE)</v>
          </cell>
          <cell r="D44">
            <v>29</v>
          </cell>
        </row>
        <row r="45">
          <cell r="A45" t="str">
            <v>103 IG - IGLESIA DE LA GRACIA DE DIOS</v>
          </cell>
          <cell r="I45">
            <v>9</v>
          </cell>
        </row>
        <row r="46">
          <cell r="A46" t="str">
            <v>363-FU FUNDACION MINISTERIO DEL EVANGELIO ETERNO DEL REINO (NORTE)</v>
          </cell>
          <cell r="G46">
            <v>14</v>
          </cell>
        </row>
        <row r="47">
          <cell r="A47" t="str">
            <v>487-FU FUNDACION CASA AVE MARIA</v>
          </cell>
          <cell r="E47">
            <v>277.45999999999998</v>
          </cell>
        </row>
        <row r="48">
          <cell r="A48" t="str">
            <v>2 PA - PARROQUIA SAN JUAN MARIA VIANNEY (NORTE)</v>
          </cell>
          <cell r="I48">
            <v>56</v>
          </cell>
        </row>
        <row r="49">
          <cell r="A49" t="str">
            <v>696 - FU MINISTERIO BERAKHAH INTERNACIONAL CHEPO #1</v>
          </cell>
          <cell r="D49">
            <v>11</v>
          </cell>
        </row>
        <row r="50">
          <cell r="A50" t="str">
            <v>472-FU FUNDACION TALITA CUMI</v>
          </cell>
          <cell r="D50">
            <v>11</v>
          </cell>
        </row>
        <row r="51">
          <cell r="A51" t="str">
            <v>222 ED - MISERICORDIAR</v>
          </cell>
          <cell r="D51">
            <v>71</v>
          </cell>
        </row>
        <row r="52">
          <cell r="A52" t="str">
            <v>259 IG - ALCANCE VICTORIA PANAMÁ</v>
          </cell>
          <cell r="C52">
            <v>28</v>
          </cell>
        </row>
        <row r="53">
          <cell r="A53" t="str">
            <v>379-FU Fundacion Ministerio Apostolico Manantial de Vida</v>
          </cell>
          <cell r="H53">
            <v>110</v>
          </cell>
        </row>
        <row r="54">
          <cell r="A54" t="str">
            <v>387-AS Asociacion ODSSAR-OBC</v>
          </cell>
          <cell r="D54">
            <v>24</v>
          </cell>
        </row>
        <row r="55">
          <cell r="A55" t="str">
            <v>300 ED - BENEFICIARIOS</v>
          </cell>
          <cell r="D55">
            <v>31</v>
          </cell>
        </row>
        <row r="56">
          <cell r="A56" t="str">
            <v>657 - FU CENTRO COMUNITARIO MONTAÑAS DE ESPERANZA (RETIRO EN EL BAP)</v>
          </cell>
          <cell r="D56">
            <v>4</v>
          </cell>
        </row>
        <row r="57">
          <cell r="A57" t="str">
            <v>630-IG MIN.INTL.DE CRISTO PAZ DE DIOS</v>
          </cell>
          <cell r="C57">
            <v>136.51999999999998</v>
          </cell>
        </row>
        <row r="58">
          <cell r="A58" t="str">
            <v>260 IG - IGLESIA MISIONERA DE RESTAURACIÓN</v>
          </cell>
          <cell r="D58">
            <v>20</v>
          </cell>
        </row>
        <row r="59">
          <cell r="A59" t="str">
            <v>397-FU FUNDACION SHALOM PANAMA</v>
          </cell>
          <cell r="E59">
            <v>50.28</v>
          </cell>
        </row>
        <row r="60">
          <cell r="A60" t="str">
            <v>697 - FU MINISTERIO BERAKHAH INTERNACIONAL CHEPO #2</v>
          </cell>
          <cell r="D60">
            <v>18</v>
          </cell>
        </row>
        <row r="61">
          <cell r="A61" t="str">
            <v>700 - FU MINISTERIO BERAKHAH INTERNACIONAL TORRIJOS CARTER #2</v>
          </cell>
          <cell r="I61">
            <v>15</v>
          </cell>
        </row>
        <row r="62">
          <cell r="A62" t="str">
            <v>195 ED - JUNTOS PODEMOS</v>
          </cell>
          <cell r="C62">
            <v>18</v>
          </cell>
        </row>
        <row r="63">
          <cell r="A63" t="str">
            <v>423-FU FUNDACION CONSTRUYENDO VIDAS EN PANAMA</v>
          </cell>
          <cell r="E63">
            <v>9</v>
          </cell>
        </row>
        <row r="64">
          <cell r="A64" t="str">
            <v>709 - FU FUNRECRISTO</v>
          </cell>
          <cell r="D64">
            <v>25</v>
          </cell>
        </row>
        <row r="65">
          <cell r="A65" t="str">
            <v>670 - FU FUNDACION MINISTERIIO CRISTIANO EL REINO DE DIOS (ESTE)</v>
          </cell>
          <cell r="D65">
            <v>6</v>
          </cell>
        </row>
        <row r="66">
          <cell r="A66" t="str">
            <v>450-FU MINISTERIO DE RESTAURACION EFESIOS 4 (ESTE)</v>
          </cell>
          <cell r="D66">
            <v>38.519999999999996</v>
          </cell>
        </row>
        <row r="67">
          <cell r="A67" t="str">
            <v>235 FU - FUNDACION GRUPO ENVIADOS</v>
          </cell>
          <cell r="D67">
            <v>40</v>
          </cell>
        </row>
        <row r="68">
          <cell r="A68" t="str">
            <v>640 - FU FUNDACIÓN CRISTIANA LA FE EN MARCHA (ESTE)</v>
          </cell>
          <cell r="D68">
            <v>12</v>
          </cell>
        </row>
        <row r="69">
          <cell r="A69" t="str">
            <v>380-ED COMEDOR COMUNITARIO CASA DEL ALFARERO</v>
          </cell>
          <cell r="D69">
            <v>3.2800000000000002</v>
          </cell>
        </row>
        <row r="70">
          <cell r="A70" t="str">
            <v>202 FU - FUNDACIÓN HOGAR SAN JOSÉ (ESTE)</v>
          </cell>
          <cell r="D70">
            <v>28.259999999999998</v>
          </cell>
        </row>
        <row r="71">
          <cell r="A71" t="str">
            <v>116 AS - ASOCIACIÓN IGLESIA DE CRISTO ESTRELLA CRECIENTE</v>
          </cell>
          <cell r="D71">
            <v>14</v>
          </cell>
        </row>
        <row r="72">
          <cell r="A72" t="str">
            <v>469-FU MINISTERIO CRISTIANO EL SHADAI</v>
          </cell>
          <cell r="D72">
            <v>13</v>
          </cell>
        </row>
        <row r="73">
          <cell r="A73" t="str">
            <v>597- IG MINISTERIO APOSTOLICO NEMUEL INTERNACIONAL</v>
          </cell>
          <cell r="D73">
            <v>54.28</v>
          </cell>
        </row>
        <row r="74">
          <cell r="A74" t="str">
            <v>647 - IG CRISTO REY CAMBIANDO VIDAS (ESTE)</v>
          </cell>
          <cell r="D74">
            <v>13</v>
          </cell>
        </row>
        <row r="75">
          <cell r="A75" t="str">
            <v>417-AS CLUB DE LEONES DE PEDREGAL (ESTE)</v>
          </cell>
          <cell r="D75">
            <v>39</v>
          </cell>
        </row>
        <row r="76">
          <cell r="A76" t="str">
            <v>252 IG - MINISTERIO INTERNACIONAL DE AMISTADES CRISTIANAS</v>
          </cell>
          <cell r="D76">
            <v>17</v>
          </cell>
        </row>
        <row r="77">
          <cell r="A77" t="str">
            <v>339-AS ASOCIACION RESIDENCIA LISBETH</v>
          </cell>
          <cell r="D77">
            <v>32</v>
          </cell>
        </row>
        <row r="78">
          <cell r="A78" t="str">
            <v>144 OR - HERMANAS DE SAN JOSÉ DE LA APARICIÓN (RETIRA EN EL BANCO)</v>
          </cell>
          <cell r="D78">
            <v>37</v>
          </cell>
        </row>
        <row r="79">
          <cell r="A79" t="str">
            <v>270 FU - FUNDACIÓN MISERICORDIA DE DON BOSCO (OESTE)</v>
          </cell>
          <cell r="E79">
            <v>5</v>
          </cell>
        </row>
        <row r="80">
          <cell r="A80" t="str">
            <v>274 IG - AMIGOS DE JESÚS (CENTRO1)</v>
          </cell>
          <cell r="D80">
            <v>4</v>
          </cell>
        </row>
        <row r="81">
          <cell r="A81" t="str">
            <v>698 - FU MINISTERIO BERAKHAH INTERNACIONAL PASO BLANCO</v>
          </cell>
          <cell r="D81">
            <v>5</v>
          </cell>
        </row>
        <row r="82">
          <cell r="A82" t="str">
            <v>381-FU FUNDAMIDOM</v>
          </cell>
          <cell r="E82">
            <v>80</v>
          </cell>
        </row>
        <row r="83">
          <cell r="A83" t="str">
            <v>491-FU Fundación Aleluya</v>
          </cell>
          <cell r="G83">
            <v>11</v>
          </cell>
        </row>
        <row r="84">
          <cell r="A84" t="str">
            <v>327-PA - Parroquia la Santa Cruz</v>
          </cell>
          <cell r="I84">
            <v>19</v>
          </cell>
        </row>
        <row r="85">
          <cell r="A85" t="str">
            <v>681 - FU FUNDACION NUEVA SOCIEDAD (NORTE)</v>
          </cell>
          <cell r="I85">
            <v>15</v>
          </cell>
        </row>
        <row r="86">
          <cell r="A86" t="str">
            <v>671 - PA DIOCESIS DE PENONOME (COCLE)</v>
          </cell>
          <cell r="K86">
            <v>20</v>
          </cell>
        </row>
        <row r="87">
          <cell r="A87" t="str">
            <v>377-FU CENTRO CRISTIANO CASA DE DIOS PANAMA</v>
          </cell>
          <cell r="G87">
            <v>27</v>
          </cell>
        </row>
        <row r="88">
          <cell r="A88" t="str">
            <v>Retiro de Merma</v>
          </cell>
          <cell r="B88">
            <v>18.5</v>
          </cell>
        </row>
        <row r="89">
          <cell r="A89" t="str">
            <v>415-AS CLUB DE LEONES DE CHITRE</v>
          </cell>
          <cell r="L89">
            <v>14</v>
          </cell>
        </row>
        <row r="90">
          <cell r="A90" t="str">
            <v>656 - FU FUNDACION COCINA DEL REINO Y AMIGOS (CENTRO 1)</v>
          </cell>
          <cell r="C90">
            <v>28.52</v>
          </cell>
        </row>
        <row r="91">
          <cell r="A91" t="str">
            <v>672 - FU FUNDACION NUEVO PACTO POR LA NIÑEZ</v>
          </cell>
          <cell r="C91">
            <v>4</v>
          </cell>
        </row>
        <row r="92">
          <cell r="A92" t="str">
            <v>118 FU - FUNDACIÓN UN NUEVO AMANECER</v>
          </cell>
          <cell r="E92">
            <v>18</v>
          </cell>
        </row>
        <row r="93">
          <cell r="A93" t="str">
            <v>669 - IG IGLESIA CAMINO DE SANTIDAD (COLON)</v>
          </cell>
          <cell r="H93">
            <v>12</v>
          </cell>
        </row>
        <row r="94">
          <cell r="A94" t="str">
            <v>360-IG IGLESIA CRISTIANA CASA DE REUNION</v>
          </cell>
          <cell r="G94">
            <v>47.28</v>
          </cell>
        </row>
        <row r="95">
          <cell r="A95" t="str">
            <v>719 FU FUNDACION VIDA NUEVA EL SHADDAI</v>
          </cell>
          <cell r="G95">
            <v>28</v>
          </cell>
        </row>
        <row r="96">
          <cell r="A96" t="str">
            <v>710 - AS CLUB DE LEONES DE SONA</v>
          </cell>
          <cell r="M96">
            <v>34</v>
          </cell>
        </row>
        <row r="97">
          <cell r="A97" t="str">
            <v>684 - FU FUNDACION CASA DEL REY JESUS (CENTRO 2)</v>
          </cell>
          <cell r="C97">
            <v>249.8</v>
          </cell>
        </row>
        <row r="98">
          <cell r="A98" t="str">
            <v>723 ASOCIACION AQUI ESTOY</v>
          </cell>
          <cell r="E98">
            <v>16</v>
          </cell>
        </row>
        <row r="99">
          <cell r="A99" t="str">
            <v>596 IG- IGLESIA EVANGELICA TRINITARIA DIOS FUENTE DE PODER</v>
          </cell>
          <cell r="C99">
            <v>14</v>
          </cell>
        </row>
        <row r="100">
          <cell r="A100" t="str">
            <v>707 - FU MINISTERIO BERAKHAH INTERNACIONAL CAIMITILLO</v>
          </cell>
          <cell r="I100">
            <v>35</v>
          </cell>
        </row>
        <row r="101">
          <cell r="A101" t="str">
            <v>229 PA - PARROQUIA SAN CRISTOBAL DE CHEPO</v>
          </cell>
          <cell r="D101">
            <v>81.28</v>
          </cell>
        </row>
        <row r="102">
          <cell r="A102" t="str">
            <v>157-FU FUNDACION COMEDOR INFANTIL SENDEROS (CENTRO1)</v>
          </cell>
          <cell r="C102">
            <v>9</v>
          </cell>
        </row>
        <row r="103">
          <cell r="A103" t="str">
            <v>166 FU - FUNDACION CURAME</v>
          </cell>
          <cell r="C103">
            <v>14</v>
          </cell>
        </row>
        <row r="104">
          <cell r="A104" t="str">
            <v>390-FU FUNDACION CRISTIANA FAMILIAR EL TALLER DEL MAESTRO (CENTRO1)</v>
          </cell>
          <cell r="C104">
            <v>9</v>
          </cell>
        </row>
        <row r="105">
          <cell r="A105" t="str">
            <v>730-FU SOLIDARIDAD Y DESARROLLO DE PANAMA (VERAGUAS)</v>
          </cell>
          <cell r="M105">
            <v>20</v>
          </cell>
        </row>
        <row r="106">
          <cell r="A106" t="str">
            <v>737- ASOCIACION CRISTIANA EBEN-EZER (ESTE)</v>
          </cell>
          <cell r="D106">
            <v>46.519999999999996</v>
          </cell>
        </row>
        <row r="107">
          <cell r="A107" t="str">
            <v>738- IG MINISTERIO DIOS CON NOSOTROS EMANUEL</v>
          </cell>
          <cell r="D107">
            <v>63</v>
          </cell>
        </row>
        <row r="108">
          <cell r="A108" t="str">
            <v>743- ED CLUB FAMILIA DEPORTIVA</v>
          </cell>
          <cell r="C108">
            <v>17</v>
          </cell>
        </row>
        <row r="109">
          <cell r="A109" t="str">
            <v>733-IG LA ORACION FUERTE AL ESPIRITU SANTO</v>
          </cell>
          <cell r="C109">
            <v>6</v>
          </cell>
        </row>
        <row r="110">
          <cell r="A110" t="str">
            <v>745-FU CASA DE MISERICORDIA</v>
          </cell>
          <cell r="C110">
            <v>24.28</v>
          </cell>
        </row>
        <row r="111">
          <cell r="A111" t="str">
            <v>741-IG BUNKER DE ESPERANZA</v>
          </cell>
          <cell r="D111">
            <v>23</v>
          </cell>
        </row>
        <row r="112">
          <cell r="A112" t="str">
            <v>749-IG Ministerio Tabernáculo de Santidad Internación (Guararé)</v>
          </cell>
          <cell r="M112">
            <v>4</v>
          </cell>
        </row>
        <row r="113">
          <cell r="A113" t="str">
            <v>750-IG MTSI Santiago</v>
          </cell>
          <cell r="M113">
            <v>14</v>
          </cell>
        </row>
        <row r="114">
          <cell r="A114" t="str">
            <v>613-FU FUNDACION INMARE</v>
          </cell>
          <cell r="K114">
            <v>20</v>
          </cell>
        </row>
        <row r="115">
          <cell r="A115" t="str">
            <v>760-FU AYUDAME A VIVIR</v>
          </cell>
          <cell r="I115">
            <v>35</v>
          </cell>
        </row>
        <row r="116">
          <cell r="A116" t="str">
            <v>281-FU FUNDACIÓN CAMBIO CREATIVO</v>
          </cell>
          <cell r="H116">
            <v>3</v>
          </cell>
        </row>
        <row r="117">
          <cell r="A117" t="str">
            <v>275 IG CONCILIO GENERAL DE LAS ASAMBLEAS DE DIOS DE PANAMÁ</v>
          </cell>
          <cell r="C117">
            <v>45</v>
          </cell>
        </row>
        <row r="118">
          <cell r="A118" t="str">
            <v>752-IG Ministerio Tabernáculo De Santidad Internacional (Chitre)</v>
          </cell>
          <cell r="L118">
            <v>14</v>
          </cell>
        </row>
        <row r="119">
          <cell r="A119" t="str">
            <v>201 OR - MISIONERAS MADRE LAURA</v>
          </cell>
          <cell r="C119">
            <v>8</v>
          </cell>
        </row>
        <row r="120">
          <cell r="A120" t="str">
            <v>765-IG EXPANSION MISIONERA RIOS DE AGUA VIVA</v>
          </cell>
          <cell r="L120">
            <v>48</v>
          </cell>
        </row>
        <row r="121">
          <cell r="A121" t="str">
            <v>766-IG MINISTERIO BET-EL</v>
          </cell>
          <cell r="O121">
            <v>40</v>
          </cell>
        </row>
        <row r="122">
          <cell r="A122" t="str">
            <v>785-FU FUNDACION GOTAS DE ESPERANZA</v>
          </cell>
          <cell r="E122">
            <v>54.28</v>
          </cell>
        </row>
        <row r="123">
          <cell r="A123" t="str">
            <v>394-IG IGLESIA ESCUADRONES DEL EJERCITO DE DIOS (CENTRO2)</v>
          </cell>
          <cell r="C123">
            <v>65</v>
          </cell>
        </row>
        <row r="124">
          <cell r="A124" t="str">
            <v>789-FU Fundación Rescate de Alimentos</v>
          </cell>
          <cell r="C124">
            <v>6</v>
          </cell>
        </row>
        <row r="125">
          <cell r="A125" t="str">
            <v>424-AS MINISTERIO EL PODER DE LA SANGRE QUE LIBERTA (ESTE)</v>
          </cell>
          <cell r="D125">
            <v>6</v>
          </cell>
        </row>
        <row r="126">
          <cell r="A126" t="str">
            <v>793-FU Fundación Príncipes de Jehová</v>
          </cell>
          <cell r="I126">
            <v>11</v>
          </cell>
        </row>
        <row r="127">
          <cell r="A127" t="str">
            <v>791-FU FUNDACION DIVINO NINO JESUS DE MI CORAZON</v>
          </cell>
          <cell r="D127">
            <v>22</v>
          </cell>
        </row>
        <row r="128">
          <cell r="A128" t="str">
            <v>138 OR - HERMANAS FRANCISCANAS DE MARIA INMACULADALA</v>
          </cell>
          <cell r="H128">
            <v>21</v>
          </cell>
        </row>
        <row r="129">
          <cell r="A129" t="str">
            <v>3 IG - IGLESIA DEL NAZARENO</v>
          </cell>
          <cell r="E129">
            <v>5</v>
          </cell>
        </row>
        <row r="130">
          <cell r="A130" t="str">
            <v>232 IG MINISTERIO TIEMPO DE COSECHA</v>
          </cell>
          <cell r="I130">
            <v>8</v>
          </cell>
        </row>
        <row r="131">
          <cell r="A131" t="str">
            <v>797-IG Templo Bendicion de Jehova</v>
          </cell>
          <cell r="I131">
            <v>6</v>
          </cell>
        </row>
        <row r="132">
          <cell r="A132" t="str">
            <v>661 - FU FUNDACION MAS INTEGRADOS (DARIEN)</v>
          </cell>
          <cell r="F132">
            <v>18</v>
          </cell>
        </row>
        <row r="133">
          <cell r="A133" t="str">
            <v>240 PA - PARROQUIA SAN JOSÉ - PESE</v>
          </cell>
          <cell r="L133">
            <v>28</v>
          </cell>
        </row>
        <row r="134">
          <cell r="A134" t="str">
            <v>253 FU - FUNDACIÓN PARA EL BIENESTAR SOCIAL (CENTRO2)</v>
          </cell>
          <cell r="C134">
            <v>39</v>
          </cell>
        </row>
        <row r="135">
          <cell r="A135" t="str">
            <v>650 - IG ASOCIACION CRISTIANA EBEN - EZER #27 (ESTE)</v>
          </cell>
          <cell r="D135">
            <v>27.04</v>
          </cell>
        </row>
        <row r="136">
          <cell r="A136" t="str">
            <v>375-FU Ministerio a Dios sea la Gloria</v>
          </cell>
          <cell r="C136">
            <v>32</v>
          </cell>
        </row>
        <row r="137">
          <cell r="A137" t="str">
            <v>802-IG IGLESIA INTERNACIONAL DEL EVANGELIO CUADRANGULAR DE PANAMÁ</v>
          </cell>
          <cell r="C137">
            <v>18</v>
          </cell>
        </row>
        <row r="138">
          <cell r="A138" t="str">
            <v>814-IG Templo Morada Santa</v>
          </cell>
          <cell r="F138">
            <v>9</v>
          </cell>
        </row>
        <row r="139">
          <cell r="A139" t="str">
            <v>185 FU - FUNDACIÓN ABIA YALA</v>
          </cell>
          <cell r="C139">
            <v>4</v>
          </cell>
        </row>
        <row r="140">
          <cell r="A140" t="str">
            <v>786-FU ACADEMIA DE FUTBOL ROMAN TORRES</v>
          </cell>
          <cell r="C140">
            <v>11</v>
          </cell>
        </row>
        <row r="141">
          <cell r="A141" t="str">
            <v>496-AS CUERPO DE VOLUNTARIAS DEL HOSPITAL DEL NIÑO</v>
          </cell>
          <cell r="C141">
            <v>168</v>
          </cell>
        </row>
        <row r="142">
          <cell r="A142" t="str">
            <v>734-FU MINISTERIO DE SALVACION EL CAMINO DE DIOS</v>
          </cell>
          <cell r="I142">
            <v>10</v>
          </cell>
        </row>
        <row r="143">
          <cell r="A143" t="str">
            <v>392-FU Fundacion Jerusalen Trono de Jehova III</v>
          </cell>
          <cell r="E143">
            <v>23</v>
          </cell>
        </row>
        <row r="144">
          <cell r="A144" t="str">
            <v>641 - IG IGLESIA EVANGELICA QUIRIAT SALEM (ESTE)</v>
          </cell>
          <cell r="D144">
            <v>28.52</v>
          </cell>
        </row>
        <row r="145">
          <cell r="A145" t="str">
            <v>471-FU FUNDACION BUSCANDO UNA OPORTUNIDAD</v>
          </cell>
          <cell r="E145">
            <v>15</v>
          </cell>
        </row>
        <row r="146">
          <cell r="A146" t="str">
            <v>708 - FU MINISTERIO BERAKHAH INTERNACIONAL GUARARE</v>
          </cell>
          <cell r="O146">
            <v>2</v>
          </cell>
        </row>
        <row r="147">
          <cell r="A147" t="str">
            <v>731-FU CENTRO DE NIÑOS DOWN</v>
          </cell>
          <cell r="L147">
            <v>14</v>
          </cell>
        </row>
        <row r="148">
          <cell r="A148" t="str">
            <v>245-FU MINISTERIO BERAKHAH INTERNACIONAL CUENTA PRINCIPAL</v>
          </cell>
          <cell r="D148">
            <v>10</v>
          </cell>
        </row>
        <row r="149">
          <cell r="A149" t="str">
            <v>827-FU Fundación Transformemos mi comunidad</v>
          </cell>
          <cell r="E149">
            <v>6</v>
          </cell>
        </row>
        <row r="150">
          <cell r="A150" t="str">
            <v>Empresa Panameña de Alimentos, S. A.</v>
          </cell>
          <cell r="B150">
            <v>2380</v>
          </cell>
          <cell r="C150">
            <v>1724.5</v>
          </cell>
          <cell r="D150">
            <v>1730.5</v>
          </cell>
          <cell r="E150">
            <v>538</v>
          </cell>
          <cell r="F150">
            <v>385.5</v>
          </cell>
          <cell r="G150">
            <v>203.5</v>
          </cell>
          <cell r="H150">
            <v>413.5</v>
          </cell>
          <cell r="I150">
            <v>242.5</v>
          </cell>
          <cell r="J150">
            <v>152</v>
          </cell>
          <cell r="K150">
            <v>76</v>
          </cell>
          <cell r="L150">
            <v>19</v>
          </cell>
          <cell r="M150">
            <v>19</v>
          </cell>
        </row>
        <row r="151">
          <cell r="A151" t="str">
            <v>662-IG MINISTERIO EVANGELICO EL APOSENTO ALTO (CENTRO 1)</v>
          </cell>
          <cell r="C151">
            <v>1.5</v>
          </cell>
        </row>
        <row r="152">
          <cell r="A152" t="str">
            <v>702 - FU MINISTERIO BERAKHAH INTERNACIONAL ARRAIJAN</v>
          </cell>
          <cell r="E152">
            <v>8.5</v>
          </cell>
        </row>
        <row r="153">
          <cell r="A153" t="str">
            <v>298-FU - MINISTERIO FUENTE DE VIDA PARA EL PERDIDO</v>
          </cell>
          <cell r="F153">
            <v>73.5</v>
          </cell>
        </row>
        <row r="154">
          <cell r="A154" t="str">
            <v>479-IG IGLESIA NUEVA ESPERANZA</v>
          </cell>
          <cell r="D154">
            <v>1.5</v>
          </cell>
        </row>
        <row r="155">
          <cell r="A155" t="str">
            <v>104 AS - ASOCIACIÓN HOGAR FELICIDAD</v>
          </cell>
          <cell r="E155">
            <v>11</v>
          </cell>
        </row>
        <row r="156">
          <cell r="A156" t="str">
            <v>175 AS - ASOCIACIÓN RESTAURANDO VIDAS</v>
          </cell>
          <cell r="D156">
            <v>15</v>
          </cell>
        </row>
        <row r="157">
          <cell r="A157" t="str">
            <v>178 IG - TEMPLO ZURIEL EL REFUGIO</v>
          </cell>
          <cell r="G157">
            <v>87</v>
          </cell>
        </row>
        <row r="158">
          <cell r="A158" t="str">
            <v>207 IG - IGLESIA CENTRO DE VIDA CRISTIANA</v>
          </cell>
          <cell r="D158">
            <v>27.5</v>
          </cell>
        </row>
        <row r="159">
          <cell r="A159" t="str">
            <v>493-FU Comedor Jesús es mi Pastor</v>
          </cell>
          <cell r="D159">
            <v>21.5</v>
          </cell>
        </row>
        <row r="160">
          <cell r="A160" t="str">
            <v>636- FU JAH - LIVE (JAHL) - COLON</v>
          </cell>
          <cell r="H160">
            <v>203.5</v>
          </cell>
        </row>
        <row r="161">
          <cell r="A161" t="str">
            <v>224 OR MISIONERAS DE LA CARIDAD DE COLON</v>
          </cell>
          <cell r="H161">
            <v>15</v>
          </cell>
        </row>
        <row r="162">
          <cell r="A162" t="str">
            <v>365-IG COMEDOR HEFZIBA</v>
          </cell>
          <cell r="I162">
            <v>69</v>
          </cell>
        </row>
        <row r="163">
          <cell r="A163" t="str">
            <v>407-IG ASOCIACION CRISTIANA INTERNACIONAL EBEN-EZER (OESTE)</v>
          </cell>
          <cell r="E163">
            <v>1.5</v>
          </cell>
        </row>
        <row r="164">
          <cell r="A164" t="str">
            <v>635 TEMPLO ADULAM</v>
          </cell>
          <cell r="E164">
            <v>51</v>
          </cell>
        </row>
        <row r="165">
          <cell r="A165" t="str">
            <v>470-FU IGLESIA MONTE SANTO</v>
          </cell>
          <cell r="D165">
            <v>5.5</v>
          </cell>
        </row>
        <row r="166">
          <cell r="A166" t="str">
            <v>687 - FU FUNDACION ARCA DE JESUS</v>
          </cell>
          <cell r="E166">
            <v>71.5</v>
          </cell>
        </row>
        <row r="167">
          <cell r="A167" t="str">
            <v>218 ED - LOS PREFERIDOS DEL SEÑOR (CENTRO2)</v>
          </cell>
          <cell r="C167">
            <v>410</v>
          </cell>
        </row>
        <row r="168">
          <cell r="A168" t="str">
            <v>187 IG - IGLESIA DE DIOS DE LA PROFECÍA</v>
          </cell>
          <cell r="D168">
            <v>257</v>
          </cell>
        </row>
        <row r="169">
          <cell r="A169" t="str">
            <v>321-IG IGLESIA DIOS ES MI PROVEEDOR Y SUSTENTO</v>
          </cell>
          <cell r="D169">
            <v>57</v>
          </cell>
        </row>
        <row r="170">
          <cell r="A170" t="str">
            <v>111 FU - FUNDACIÓN NUESTRA SEÑORA DEL CAMINO</v>
          </cell>
          <cell r="J170">
            <v>19</v>
          </cell>
        </row>
        <row r="171">
          <cell r="A171" t="str">
            <v>443-FU MINISTERIO BERAKHAH INTERNACIONAL COMEDOR LAS GARZAS #2</v>
          </cell>
          <cell r="D171">
            <v>15</v>
          </cell>
        </row>
        <row r="172">
          <cell r="A172" t="str">
            <v>694 - FU MINISTERIO BERAKHAH INTERNACIONAL TOCUMEN #2</v>
          </cell>
          <cell r="D172">
            <v>24</v>
          </cell>
        </row>
        <row r="173">
          <cell r="A173" t="str">
            <v>695 - FU MINISTERIO BERAKHAH INTERNACIONAL 24 DIC</v>
          </cell>
          <cell r="D173">
            <v>67</v>
          </cell>
        </row>
        <row r="174">
          <cell r="A174" t="str">
            <v>444-FU MINISTERIO BERAKHAH INTERNACIONAL COMEDOR LAS GARZAS #1</v>
          </cell>
          <cell r="D174">
            <v>10.5</v>
          </cell>
        </row>
        <row r="175">
          <cell r="A175" t="str">
            <v>366-FU CENTRO MISIONERO EL SHADAI (ESTE)</v>
          </cell>
          <cell r="D175">
            <v>147</v>
          </cell>
        </row>
        <row r="176">
          <cell r="A176" t="str">
            <v>498-FU COMEDOR NIÑOS DE BENDICION</v>
          </cell>
          <cell r="E176">
            <v>90</v>
          </cell>
        </row>
        <row r="177">
          <cell r="A177" t="str">
            <v>288 IG MINISTERIO EVANGELISTICO DE SANACION Y RESTAURACION, SENALES, MILAGROS Y MARAVILLAS (ESTE)</v>
          </cell>
          <cell r="D177">
            <v>64</v>
          </cell>
        </row>
        <row r="178">
          <cell r="A178" t="str">
            <v>373-FU MINISTERIO INTERNACIONAL BOANERGES</v>
          </cell>
          <cell r="I178">
            <v>20.5</v>
          </cell>
        </row>
        <row r="179">
          <cell r="A179" t="str">
            <v>197 FU FUNDACION SOCIAL CULTURAL Y AMBIENTAL DE VERACRUZ (OESTE)</v>
          </cell>
          <cell r="E179">
            <v>55</v>
          </cell>
        </row>
        <row r="180">
          <cell r="A180" t="str">
            <v>183 ED - BELÉN CASA DE PAN (ESTE)</v>
          </cell>
          <cell r="D180">
            <v>51</v>
          </cell>
        </row>
        <row r="181">
          <cell r="A181" t="str">
            <v>701 - FU MINISTERIO BERAKHAH INTERNACIONAL LOS ANDES</v>
          </cell>
          <cell r="I181">
            <v>14.5</v>
          </cell>
        </row>
        <row r="182">
          <cell r="A182" t="str">
            <v>691 - AR CARITAS ARQUIDIOCESANA</v>
          </cell>
          <cell r="C182">
            <v>19</v>
          </cell>
        </row>
        <row r="183">
          <cell r="A183" t="str">
            <v>431-IG IGLESIA ADVENTISTA DISTRITO 8</v>
          </cell>
          <cell r="D183">
            <v>62</v>
          </cell>
        </row>
        <row r="184">
          <cell r="A184" t="str">
            <v>261 - AS ASOCIACIÓN MINISTERIO SIRVIENDO A LA COMUNIDAD PARA JESUCRISTO</v>
          </cell>
          <cell r="C184">
            <v>4</v>
          </cell>
        </row>
        <row r="185">
          <cell r="A185" t="str">
            <v>211 IG - IGLESIA CRISTIANA KADOSH</v>
          </cell>
          <cell r="C185">
            <v>9</v>
          </cell>
        </row>
        <row r="186">
          <cell r="A186" t="str">
            <v>368-FU MINISTERIO PACTO DE SANTIDAD</v>
          </cell>
          <cell r="C186">
            <v>16.5</v>
          </cell>
        </row>
        <row r="187">
          <cell r="A187" t="str">
            <v>654 - IG M.I.A.F NUEVA JERUSALEN PANAMA (ESTE)</v>
          </cell>
          <cell r="D187">
            <v>4.5</v>
          </cell>
        </row>
        <row r="188">
          <cell r="A188" t="str">
            <v>487-FU FUNDACION CASA AVE MARIA</v>
          </cell>
          <cell r="E188">
            <v>19</v>
          </cell>
        </row>
        <row r="189">
          <cell r="A189" t="str">
            <v>284 - IG MINISTERIO PAN DE VIDA</v>
          </cell>
          <cell r="J189">
            <v>19</v>
          </cell>
        </row>
        <row r="190">
          <cell r="A190" t="str">
            <v>2 PA - PARROQUIA SAN JUAN MARIA VIANNEY (NORTE)</v>
          </cell>
          <cell r="I190">
            <v>23</v>
          </cell>
        </row>
        <row r="191">
          <cell r="A191" t="str">
            <v>696 - FU MINISTERIO BERAKHAH INTERNACIONAL CHEPO #1</v>
          </cell>
          <cell r="D191">
            <v>1.5</v>
          </cell>
        </row>
        <row r="192">
          <cell r="A192" t="str">
            <v>472-FU FUNDACION TALITA CUMI</v>
          </cell>
          <cell r="D192">
            <v>22.5</v>
          </cell>
        </row>
        <row r="193">
          <cell r="A193" t="str">
            <v>222 ED - MISERICORDIAR</v>
          </cell>
          <cell r="D193">
            <v>14</v>
          </cell>
        </row>
        <row r="194">
          <cell r="A194" t="str">
            <v>259 IG - ALCANCE VICTORIA PANAMÁ</v>
          </cell>
          <cell r="C194">
            <v>56.5</v>
          </cell>
        </row>
        <row r="195">
          <cell r="A195" t="str">
            <v>668 - FU FUNDACION CRISTIANA LA FE EN MARCHA</v>
          </cell>
          <cell r="J195">
            <v>19</v>
          </cell>
        </row>
        <row r="196">
          <cell r="A196" t="str">
            <v>379-FU Fundacion Ministerio Apostolico Manantial de Vida</v>
          </cell>
          <cell r="H196">
            <v>55.5</v>
          </cell>
        </row>
        <row r="197">
          <cell r="A197" t="str">
            <v>387-AS Asociacion ODSSAR-OBC</v>
          </cell>
          <cell r="D197">
            <v>54.5</v>
          </cell>
        </row>
        <row r="198">
          <cell r="A198" t="str">
            <v>300 ED - BENEFICIARIOS</v>
          </cell>
          <cell r="D198">
            <v>67</v>
          </cell>
        </row>
        <row r="199">
          <cell r="A199" t="str">
            <v>657 - FU CENTRO COMUNITARIO MONTAÑAS DE ESPERANZA (RETIRO EN EL BAP)</v>
          </cell>
          <cell r="D199">
            <v>17.5</v>
          </cell>
        </row>
        <row r="200">
          <cell r="A200" t="str">
            <v>630-IG MIN.INTL.DE CRISTO PAZ DE DIOS</v>
          </cell>
          <cell r="C200">
            <v>292</v>
          </cell>
        </row>
        <row r="201">
          <cell r="A201" t="str">
            <v>397-FU FUNDACION SHALOM PANAMA</v>
          </cell>
          <cell r="E201">
            <v>24.5</v>
          </cell>
        </row>
        <row r="202">
          <cell r="A202" t="str">
            <v>697 - FU MINISTERIO BERAKHAH INTERNACIONAL CHEPO #2</v>
          </cell>
          <cell r="D202">
            <v>11</v>
          </cell>
        </row>
        <row r="203">
          <cell r="A203" t="str">
            <v>195 ED - JUNTOS PODEMOS</v>
          </cell>
          <cell r="C203">
            <v>57.5</v>
          </cell>
        </row>
        <row r="204">
          <cell r="A204" t="str">
            <v>709 - FU FUNRECRISTO</v>
          </cell>
          <cell r="D204">
            <v>27.5</v>
          </cell>
        </row>
        <row r="205">
          <cell r="A205" t="str">
            <v>670 - FU FUNDACION MINISTERIIO CRISTIANO EL REINO DE DIOS (ESTE)</v>
          </cell>
          <cell r="D205">
            <v>20</v>
          </cell>
        </row>
        <row r="206">
          <cell r="A206" t="str">
            <v>450-FU MINISTERIO DE RESTAURACION EFESIOS 4 (ESTE)</v>
          </cell>
          <cell r="D206">
            <v>39</v>
          </cell>
        </row>
        <row r="207">
          <cell r="A207" t="str">
            <v>235 FU - FUNDACION GRUPO ENVIADOS</v>
          </cell>
          <cell r="D207">
            <v>87</v>
          </cell>
        </row>
        <row r="208">
          <cell r="A208" t="str">
            <v>640 - FU FUNDACIÓN CRISTIANA LA FE EN MARCHA (ESTE)</v>
          </cell>
          <cell r="D208">
            <v>3</v>
          </cell>
        </row>
        <row r="209">
          <cell r="A209" t="str">
            <v>380-ED COMEDOR COMUNITARIO CASA DEL ALFARERO</v>
          </cell>
          <cell r="D209">
            <v>15</v>
          </cell>
        </row>
        <row r="210">
          <cell r="A210" t="str">
            <v>202 FU - FUNDACIÓN HOGAR SAN JOSÉ (ESTE)</v>
          </cell>
          <cell r="D210">
            <v>39</v>
          </cell>
        </row>
        <row r="211">
          <cell r="A211" t="str">
            <v>116 AS - ASOCIACIÓN IGLESIA DE CRISTO ESTRELLA CRECIENTE</v>
          </cell>
          <cell r="D211">
            <v>5</v>
          </cell>
        </row>
        <row r="212">
          <cell r="A212" t="str">
            <v>451-IG IGLESIA MANANTIAL DE VIDA (ESTE)</v>
          </cell>
          <cell r="D212">
            <v>10</v>
          </cell>
        </row>
        <row r="213">
          <cell r="A213" t="str">
            <v>597- IG MINISTERIO APOSTOLICO NEMUEL INTERNACIONAL</v>
          </cell>
          <cell r="D213">
            <v>6</v>
          </cell>
        </row>
        <row r="214">
          <cell r="A214" t="str">
            <v>647 - IG CRISTO REY CAMBIANDO VIDAS (ESTE)</v>
          </cell>
          <cell r="D214">
            <v>10</v>
          </cell>
        </row>
        <row r="215">
          <cell r="A215" t="str">
            <v>417-AS CLUB DE LEONES DE PEDREGAL (ESTE)</v>
          </cell>
          <cell r="D215">
            <v>37</v>
          </cell>
        </row>
        <row r="216">
          <cell r="A216" t="str">
            <v>252 IG - MINISTERIO INTERNACIONAL DE AMISTADES CRISTIANAS</v>
          </cell>
          <cell r="D216">
            <v>18</v>
          </cell>
        </row>
        <row r="217">
          <cell r="A217" t="str">
            <v>339-AS ASOCIACION RESIDENCIA LISBETH</v>
          </cell>
          <cell r="D217">
            <v>115.5</v>
          </cell>
        </row>
        <row r="218">
          <cell r="A218" t="str">
            <v>144 OR - HERMANAS DE SAN JOSÉ DE LA APARICIÓN (RETIRA EN EL BANCO)</v>
          </cell>
          <cell r="D218">
            <v>78</v>
          </cell>
        </row>
        <row r="219">
          <cell r="A219" t="str">
            <v>270 FU - FUNDACIÓN MISERICORDIA DE DON BOSCO (OESTE)</v>
          </cell>
          <cell r="E219">
            <v>4.5</v>
          </cell>
        </row>
        <row r="220">
          <cell r="A220" t="str">
            <v>698 - FU MINISTERIO BERAKHAH INTERNACIONAL PASO BLANCO</v>
          </cell>
          <cell r="D220">
            <v>21.5</v>
          </cell>
        </row>
        <row r="221">
          <cell r="A221" t="str">
            <v>491-FU Fundación Aleluya</v>
          </cell>
          <cell r="G221">
            <v>3</v>
          </cell>
        </row>
        <row r="222">
          <cell r="A222" t="str">
            <v>681 - FU FUNDACION NUEVA SOCIEDAD (NORTE)</v>
          </cell>
          <cell r="I222">
            <v>36.5</v>
          </cell>
        </row>
        <row r="223">
          <cell r="A223" t="str">
            <v>377-FU CENTRO CRISTIANO CASA DE DIOS PANAMA</v>
          </cell>
          <cell r="G223">
            <v>4.5</v>
          </cell>
        </row>
        <row r="224">
          <cell r="A224" t="str">
            <v>Retiro de Merma</v>
          </cell>
          <cell r="B224">
            <v>2380</v>
          </cell>
        </row>
        <row r="225">
          <cell r="A225" t="str">
            <v>656 - FU FUNDACION COCINA DEL REINO Y AMIGOS (CENTRO 1)</v>
          </cell>
          <cell r="C225">
            <v>19</v>
          </cell>
        </row>
        <row r="226">
          <cell r="A226" t="str">
            <v>595-FU CENTRO DE LA MUJER Y LA NIÑEZ</v>
          </cell>
          <cell r="C226">
            <v>39.5</v>
          </cell>
        </row>
        <row r="227">
          <cell r="A227" t="str">
            <v>118 FU - FUNDACIÓN UN NUEVO AMANECER</v>
          </cell>
          <cell r="E227">
            <v>90</v>
          </cell>
        </row>
        <row r="228">
          <cell r="A228" t="str">
            <v>669 - IG IGLESIA CAMINO DE SANTIDAD (COLON)</v>
          </cell>
          <cell r="H228">
            <v>20</v>
          </cell>
        </row>
        <row r="229">
          <cell r="A229" t="str">
            <v>360-IG IGLESIA CRISTIANA CASA DE REUNION</v>
          </cell>
          <cell r="G229">
            <v>74</v>
          </cell>
        </row>
        <row r="230">
          <cell r="A230" t="str">
            <v>719 FU FUNDACION VIDA NUEVA EL SHADDAI</v>
          </cell>
          <cell r="G230">
            <v>35</v>
          </cell>
        </row>
        <row r="231">
          <cell r="A231" t="str">
            <v>54 FU - FUNDACIÓN CASA HOGAR EL BUEN SAMARITANO</v>
          </cell>
          <cell r="D231">
            <v>4</v>
          </cell>
        </row>
        <row r="232">
          <cell r="A232" t="str">
            <v>684 - FU FUNDACION CASA DEL REY JESUS (CENTRO 2)</v>
          </cell>
          <cell r="C232">
            <v>402.5</v>
          </cell>
        </row>
        <row r="233">
          <cell r="A233" t="str">
            <v>723 ASOCIACION AQUI ESTOY</v>
          </cell>
          <cell r="E233">
            <v>17.5</v>
          </cell>
        </row>
        <row r="234">
          <cell r="A234" t="str">
            <v>707 - FU MINISTERIO BERAKHAH INTERNACIONAL CAIMITILLO</v>
          </cell>
          <cell r="I234">
            <v>5</v>
          </cell>
        </row>
        <row r="235">
          <cell r="A235" t="str">
            <v>229 PA - PARROQUIA SAN CRISTOBAL DE CHEPO</v>
          </cell>
          <cell r="D235">
            <v>42.5</v>
          </cell>
        </row>
        <row r="236">
          <cell r="A236" t="str">
            <v>390-FU FUNDACION CRISTIANA FAMILIAR EL TALLER DEL MAESTRO (CENTRO1)</v>
          </cell>
          <cell r="C236">
            <v>11.5</v>
          </cell>
        </row>
        <row r="237">
          <cell r="A237" t="str">
            <v>730-FU SOLIDARIDAD Y DESARROLLO DE PANAMA (VERAGUAS)</v>
          </cell>
          <cell r="M237">
            <v>19</v>
          </cell>
        </row>
        <row r="238">
          <cell r="A238" t="str">
            <v>737- ASOCIACION CRISTIANA EBEN-EZER (ESTE)</v>
          </cell>
          <cell r="D238">
            <v>42</v>
          </cell>
        </row>
        <row r="239">
          <cell r="A239" t="str">
            <v>738- IG MINISTERIO DIOS CON NOSOTROS EMANUEL</v>
          </cell>
          <cell r="D239">
            <v>9</v>
          </cell>
        </row>
        <row r="240">
          <cell r="A240" t="str">
            <v>745-FU CASA DE MISERICORDIA</v>
          </cell>
          <cell r="C240">
            <v>13</v>
          </cell>
        </row>
        <row r="241">
          <cell r="A241" t="str">
            <v>741-IG BUNKER DE ESPERANZA</v>
          </cell>
          <cell r="D241">
            <v>13.5</v>
          </cell>
        </row>
        <row r="242">
          <cell r="A242" t="str">
            <v>613-FU FUNDACION INMARE</v>
          </cell>
          <cell r="K242">
            <v>38</v>
          </cell>
        </row>
        <row r="243">
          <cell r="A243" t="str">
            <v>760-FU AYUDAME A VIVIR</v>
          </cell>
          <cell r="I243">
            <v>50</v>
          </cell>
        </row>
        <row r="244">
          <cell r="A244" t="str">
            <v>281-FU FUNDACIÓN CAMBIO CREATIVO</v>
          </cell>
          <cell r="H244">
            <v>27</v>
          </cell>
        </row>
        <row r="245">
          <cell r="A245" t="str">
            <v>275 IG CONCILIO GENERAL DE LAS ASAMBLEAS DE DIOS DE PANAMÁ</v>
          </cell>
          <cell r="C245">
            <v>65</v>
          </cell>
        </row>
        <row r="246">
          <cell r="A246" t="str">
            <v>758-FU RESTAURANDO EL PRIMER AMOR</v>
          </cell>
          <cell r="I246">
            <v>4.5</v>
          </cell>
        </row>
        <row r="247">
          <cell r="A247" t="str">
            <v>201 OR - MISIONERAS MADRE LAURA</v>
          </cell>
          <cell r="C247">
            <v>19</v>
          </cell>
        </row>
        <row r="248">
          <cell r="A248" t="str">
            <v>765-IG EXPANSION MISIONERA RIOS DE AGUA VIVA</v>
          </cell>
          <cell r="L248">
            <v>19</v>
          </cell>
        </row>
        <row r="249">
          <cell r="A249" t="str">
            <v>785-FU FUNDACION GOTAS DE ESPERANZA</v>
          </cell>
          <cell r="E249">
            <v>28.5</v>
          </cell>
        </row>
        <row r="250">
          <cell r="A250" t="str">
            <v>394-IG IGLESIA ESCUADRONES DEL EJERCITO DE DIOS (CENTRO2)</v>
          </cell>
          <cell r="C250">
            <v>25.5</v>
          </cell>
        </row>
        <row r="251">
          <cell r="A251" t="str">
            <v>789-FU Fundación Rescate de Alimentos</v>
          </cell>
          <cell r="C251">
            <v>4</v>
          </cell>
        </row>
        <row r="252">
          <cell r="A252" t="str">
            <v>793-FU Fundación Príncipes de Jehová</v>
          </cell>
          <cell r="I252">
            <v>13</v>
          </cell>
        </row>
        <row r="253">
          <cell r="A253" t="str">
            <v>791-FU FUNDACION DIVINO NINO JESUS DE MI CORAZON</v>
          </cell>
          <cell r="D253">
            <v>36</v>
          </cell>
        </row>
        <row r="254">
          <cell r="A254" t="str">
            <v>69 FU - FUNDACIÓN VIDA ABUNDANTE</v>
          </cell>
          <cell r="C254">
            <v>75</v>
          </cell>
        </row>
        <row r="255">
          <cell r="A255" t="str">
            <v>138 OR - HERMANAS FRANCISCANAS DE MARIA INMACULADALA</v>
          </cell>
          <cell r="H255">
            <v>92.5</v>
          </cell>
        </row>
        <row r="256">
          <cell r="A256" t="str">
            <v>3 IG - IGLESIA DEL NAZARENO</v>
          </cell>
          <cell r="E256">
            <v>1.5</v>
          </cell>
        </row>
        <row r="257">
          <cell r="A257" t="str">
            <v>804-IG Templo Misionero Eclesiastés</v>
          </cell>
          <cell r="I257">
            <v>5</v>
          </cell>
        </row>
        <row r="258">
          <cell r="A258" t="str">
            <v>661 - FU FUNDACION MAS INTEGRADOS (DARIEN)</v>
          </cell>
          <cell r="F258">
            <v>286.5</v>
          </cell>
        </row>
        <row r="259">
          <cell r="A259" t="str">
            <v>253 FU - FUNDACIÓN PARA EL BIENESTAR SOCIAL (CENTRO2)</v>
          </cell>
          <cell r="C259">
            <v>67</v>
          </cell>
        </row>
        <row r="260">
          <cell r="A260" t="str">
            <v>802-IG IGLESIA INTERNACIONAL DEL EVANGELIO CUADRANGULAR DE PANAMÁ</v>
          </cell>
          <cell r="C260">
            <v>4</v>
          </cell>
        </row>
        <row r="261">
          <cell r="A261" t="str">
            <v>227 FU - AID FOR AIDS PANAMÁ</v>
          </cell>
          <cell r="C261">
            <v>20</v>
          </cell>
        </row>
        <row r="262">
          <cell r="A262" t="str">
            <v>814-IG Templo Morada Santa</v>
          </cell>
          <cell r="F262">
            <v>25.5</v>
          </cell>
        </row>
        <row r="263">
          <cell r="A263" t="str">
            <v>185 FU - FUNDACIÓN ABIA YALA</v>
          </cell>
          <cell r="C263">
            <v>52</v>
          </cell>
        </row>
        <row r="264">
          <cell r="A264" t="str">
            <v>786-FU ACADEMIA DE FUTBOL ROMAN TORRES</v>
          </cell>
          <cell r="C264">
            <v>1.5</v>
          </cell>
        </row>
        <row r="265">
          <cell r="A265" t="str">
            <v>496-AS CUERPO DE VOLUNTARIAS DEL HOSPITAL DEL NIÑO</v>
          </cell>
          <cell r="C265">
            <v>30</v>
          </cell>
        </row>
        <row r="266">
          <cell r="A266" t="str">
            <v>734-FU MINISTERIO DE SALVACION EL CAMINO DE DIOS</v>
          </cell>
          <cell r="I266">
            <v>1.5</v>
          </cell>
        </row>
        <row r="267">
          <cell r="A267" t="str">
            <v>392-FU Fundacion Jerusalen Trono de Jehova III</v>
          </cell>
          <cell r="E267">
            <v>20</v>
          </cell>
        </row>
        <row r="268">
          <cell r="A268" t="str">
            <v>641 - IG IGLESIA EVANGELICA QUIRIAT SALEM (ESTE)</v>
          </cell>
          <cell r="D268">
            <v>19</v>
          </cell>
        </row>
        <row r="269">
          <cell r="A269" t="str">
            <v>471-FU FUNDACION BUSCANDO UNA OPORTUNIDAD</v>
          </cell>
          <cell r="E269">
            <v>24</v>
          </cell>
        </row>
        <row r="270">
          <cell r="A270" t="str">
            <v>5 AS - ASOCIACIÓN DAME UNA OPORTUNIDAD</v>
          </cell>
          <cell r="C270">
            <v>10</v>
          </cell>
        </row>
        <row r="271">
          <cell r="A271" t="str">
            <v>756-FU Fundación Nuevas Rutas</v>
          </cell>
          <cell r="J271">
            <v>76</v>
          </cell>
        </row>
        <row r="272">
          <cell r="A272" t="str">
            <v>422-AS Club de Leones de Penonome</v>
          </cell>
          <cell r="K272">
            <v>38</v>
          </cell>
        </row>
        <row r="273">
          <cell r="A273" t="str">
            <v>828-IG IDN LAS TINAJAS</v>
          </cell>
          <cell r="J273">
            <v>19</v>
          </cell>
        </row>
        <row r="274">
          <cell r="A274" t="str">
            <v>245-FU MINISTERIO BERAKHAH INTERNACIONAL CUENTA PRINCIPAL</v>
          </cell>
          <cell r="D274">
            <v>15</v>
          </cell>
        </row>
        <row r="275">
          <cell r="A275" t="str">
            <v>827-FU Fundación Transformemos mi comunidad</v>
          </cell>
          <cell r="E275">
            <v>20</v>
          </cell>
        </row>
        <row r="276">
          <cell r="A276" t="str">
            <v>AGENCIAS FEDURO</v>
          </cell>
          <cell r="B276">
            <v>16</v>
          </cell>
          <cell r="C276">
            <v>542</v>
          </cell>
          <cell r="D276">
            <v>848</v>
          </cell>
          <cell r="E276">
            <v>388</v>
          </cell>
          <cell r="F276">
            <v>25.5</v>
          </cell>
          <cell r="G276">
            <v>121.5</v>
          </cell>
          <cell r="H276">
            <v>203</v>
          </cell>
          <cell r="I276">
            <v>77.5</v>
          </cell>
          <cell r="J276">
            <v>277.5</v>
          </cell>
          <cell r="K276">
            <v>246</v>
          </cell>
          <cell r="L276">
            <v>97.5</v>
          </cell>
          <cell r="M276">
            <v>77</v>
          </cell>
          <cell r="O276">
            <v>49</v>
          </cell>
        </row>
        <row r="277">
          <cell r="A277">
            <v>0</v>
          </cell>
          <cell r="B277">
            <v>3</v>
          </cell>
        </row>
        <row r="278">
          <cell r="A278" t="str">
            <v>662-IG MINISTERIO EVANGELICO EL APOSENTO ALTO (CENTRO 1)</v>
          </cell>
          <cell r="C278">
            <v>5.5</v>
          </cell>
        </row>
        <row r="279">
          <cell r="A279" t="str">
            <v>209 IG - TEMPLO MISIONERO CRISTO TE LLAMA</v>
          </cell>
          <cell r="D279">
            <v>20</v>
          </cell>
        </row>
        <row r="280">
          <cell r="A280" t="str">
            <v>298-FU - MINISTERIO FUENTE DE VIDA PARA EL PERDIDO</v>
          </cell>
          <cell r="F280">
            <v>10.5</v>
          </cell>
        </row>
        <row r="281">
          <cell r="A281" t="str">
            <v>104 AS - ASOCIACIÓN HOGAR FELICIDAD</v>
          </cell>
          <cell r="E281">
            <v>15</v>
          </cell>
        </row>
        <row r="282">
          <cell r="A282" t="str">
            <v>175 AS - ASOCIACIÓN RESTAURANDO VIDAS</v>
          </cell>
          <cell r="D282">
            <v>7.5</v>
          </cell>
        </row>
        <row r="283">
          <cell r="A283" t="str">
            <v>178 IG - TEMPLO ZURIEL EL REFUGIO</v>
          </cell>
          <cell r="G283">
            <v>58.5</v>
          </cell>
        </row>
        <row r="284">
          <cell r="A284" t="str">
            <v>207 IG - IGLESIA CENTRO DE VIDA CRISTIANA</v>
          </cell>
          <cell r="D284">
            <v>7</v>
          </cell>
        </row>
        <row r="285">
          <cell r="A285" t="str">
            <v>493-FU Comedor Jesús es mi Pastor</v>
          </cell>
          <cell r="D285">
            <v>5</v>
          </cell>
        </row>
        <row r="286">
          <cell r="A286" t="str">
            <v>636- FU JAH - LIVE (JAHL) - COLON</v>
          </cell>
          <cell r="H286">
            <v>160</v>
          </cell>
        </row>
        <row r="287">
          <cell r="A287" t="str">
            <v>224 OR MISIONERAS DE LA CARIDAD DE COLON</v>
          </cell>
          <cell r="H287">
            <v>15</v>
          </cell>
        </row>
        <row r="288">
          <cell r="A288" t="str">
            <v>365-IG COMEDOR HEFZIBA</v>
          </cell>
          <cell r="I288">
            <v>55</v>
          </cell>
        </row>
        <row r="289">
          <cell r="A289" t="str">
            <v>635 TEMPLO ADULAM</v>
          </cell>
          <cell r="E289">
            <v>72.5</v>
          </cell>
        </row>
        <row r="290">
          <cell r="A290" t="str">
            <v>687 - FU FUNDACION ARCA DE JESUS</v>
          </cell>
          <cell r="E290">
            <v>40</v>
          </cell>
        </row>
        <row r="291">
          <cell r="A291" t="str">
            <v>218 ED - LOS PREFERIDOS DEL SEÑOR (CENTRO2)</v>
          </cell>
          <cell r="C291">
            <v>147.5</v>
          </cell>
        </row>
        <row r="292">
          <cell r="A292" t="str">
            <v>187 IG - IGLESIA DE DIOS DE LA PROFECÍA</v>
          </cell>
          <cell r="D292">
            <v>147.5</v>
          </cell>
        </row>
        <row r="293">
          <cell r="A293" t="str">
            <v>321-IG IGLESIA DIOS ES MI PROVEEDOR Y SUSTENTO</v>
          </cell>
          <cell r="D293">
            <v>40</v>
          </cell>
        </row>
        <row r="294">
          <cell r="A294" t="str">
            <v>111 FU - FUNDACIÓN NUESTRA SEÑORA DEL CAMINO</v>
          </cell>
          <cell r="J294">
            <v>61</v>
          </cell>
        </row>
        <row r="295">
          <cell r="A295" t="str">
            <v>694 - FU MINISTERIO BERAKHAH INTERNACIONAL TOCUMEN #2</v>
          </cell>
          <cell r="D295">
            <v>10</v>
          </cell>
        </row>
        <row r="296">
          <cell r="A296" t="str">
            <v>695 - FU MINISTERIO BERAKHAH INTERNACIONAL 24 DIC</v>
          </cell>
          <cell r="D296">
            <v>49.5</v>
          </cell>
        </row>
        <row r="297">
          <cell r="A297" t="str">
            <v>366-FU CENTRO MISIONERO EL SHADAI (ESTE)</v>
          </cell>
          <cell r="D297">
            <v>82.5</v>
          </cell>
        </row>
        <row r="298">
          <cell r="A298" t="str">
            <v>498-FU COMEDOR NIÑOS DE BENDICION</v>
          </cell>
          <cell r="E298">
            <v>42.5</v>
          </cell>
        </row>
        <row r="299">
          <cell r="A299" t="str">
            <v>288 IG MINISTERIO EVANGELISTICO DE SANACION Y RESTAURACION, SENALES, MILAGROS Y MARAVILLAS (ESTE)</v>
          </cell>
          <cell r="D299">
            <v>37.5</v>
          </cell>
        </row>
        <row r="300">
          <cell r="A300" t="str">
            <v>197 FU FUNDACION SOCIAL CULTURAL Y AMBIENTAL DE VERACRUZ (OESTE)</v>
          </cell>
          <cell r="E300">
            <v>25</v>
          </cell>
        </row>
        <row r="301">
          <cell r="A301" t="str">
            <v>183 ED - BELÉN CASA DE PAN (ESTE)</v>
          </cell>
          <cell r="D301">
            <v>2.5</v>
          </cell>
        </row>
        <row r="302">
          <cell r="A302" t="str">
            <v>431-IG IGLESIA ADVENTISTA DISTRITO 8</v>
          </cell>
          <cell r="D302">
            <v>20</v>
          </cell>
        </row>
        <row r="303">
          <cell r="A303" t="str">
            <v>51 PA - PARROQUIA SAN PIO DE PIETRELCINA (ESTE)</v>
          </cell>
          <cell r="D303">
            <v>5</v>
          </cell>
        </row>
        <row r="304">
          <cell r="A304" t="str">
            <v>368-FU MINISTERIO PACTO DE SANTIDAD</v>
          </cell>
          <cell r="C304">
            <v>20</v>
          </cell>
        </row>
        <row r="305">
          <cell r="A305" t="str">
            <v>654 - IG M.I.A.F NUEVA JERUSALEN PANAMA (ESTE)</v>
          </cell>
          <cell r="D305">
            <v>8</v>
          </cell>
        </row>
        <row r="306">
          <cell r="A306" t="str">
            <v>487-FU FUNDACION CASA AVE MARIA</v>
          </cell>
          <cell r="E306">
            <v>50</v>
          </cell>
        </row>
        <row r="307">
          <cell r="A307" t="str">
            <v>284 - IG MINISTERIO PAN DE VIDA</v>
          </cell>
          <cell r="J307">
            <v>20</v>
          </cell>
        </row>
        <row r="308">
          <cell r="A308" t="str">
            <v>259 IG - ALCANCE VICTORIA PANAMÁ</v>
          </cell>
          <cell r="C308">
            <v>20</v>
          </cell>
        </row>
        <row r="309">
          <cell r="A309" t="str">
            <v>668 - FU FUNDACION CRISTIANA LA FE EN MARCHA</v>
          </cell>
          <cell r="J309">
            <v>22.5</v>
          </cell>
        </row>
        <row r="310">
          <cell r="A310" t="str">
            <v>379-FU Fundacion Ministerio Apostolico Manantial de Vida</v>
          </cell>
          <cell r="H310">
            <v>25</v>
          </cell>
        </row>
        <row r="311">
          <cell r="A311" t="str">
            <v>644 - IG TEMPLO SENDA DE VIDA (CHIRIQUÍ)</v>
          </cell>
          <cell r="J311">
            <v>11</v>
          </cell>
        </row>
        <row r="312">
          <cell r="A312" t="str">
            <v>387-AS Asociacion ODSSAR-OBC</v>
          </cell>
          <cell r="D312">
            <v>5</v>
          </cell>
        </row>
        <row r="313">
          <cell r="A313" t="str">
            <v>300 ED - BENEFICIARIOS</v>
          </cell>
          <cell r="D313">
            <v>52</v>
          </cell>
        </row>
        <row r="314">
          <cell r="A314" t="str">
            <v>630-IG MIN.INTL.DE CRISTO PAZ DE DIOS</v>
          </cell>
          <cell r="C314">
            <v>105</v>
          </cell>
        </row>
        <row r="315">
          <cell r="A315" t="str">
            <v>260 IG - IGLESIA MISIONERA DE RESTAURACIÓN</v>
          </cell>
          <cell r="D315">
            <v>37.5</v>
          </cell>
        </row>
        <row r="316">
          <cell r="A316" t="str">
            <v>397-FU FUNDACION SHALOM PANAMA</v>
          </cell>
          <cell r="E316">
            <v>51.5</v>
          </cell>
        </row>
        <row r="317">
          <cell r="A317" t="str">
            <v>709 - FU FUNRECRISTO</v>
          </cell>
          <cell r="D317">
            <v>11.5</v>
          </cell>
        </row>
        <row r="318">
          <cell r="A318" t="str">
            <v>450-FU MINISTERIO DE RESTAURACION EFESIOS 4 (ESTE)</v>
          </cell>
          <cell r="D318">
            <v>50</v>
          </cell>
        </row>
        <row r="319">
          <cell r="A319" t="str">
            <v>235 FU - FUNDACION GRUPO ENVIADOS</v>
          </cell>
          <cell r="D319">
            <v>2.5</v>
          </cell>
        </row>
        <row r="320">
          <cell r="A320" t="str">
            <v>202 FU - FUNDACIÓN HOGAR SAN JOSÉ (ESTE)</v>
          </cell>
          <cell r="D320">
            <v>12.5</v>
          </cell>
        </row>
        <row r="321">
          <cell r="A321" t="str">
            <v>116 AS - ASOCIACIÓN IGLESIA DE CRISTO ESTRELLA CRECIENTE</v>
          </cell>
          <cell r="D321">
            <v>10</v>
          </cell>
        </row>
        <row r="322">
          <cell r="A322" t="str">
            <v>597- IG MINISTERIO APOSTOLICO NEMUEL INTERNACIONAL</v>
          </cell>
          <cell r="D322">
            <v>17.5</v>
          </cell>
        </row>
        <row r="323">
          <cell r="A323" t="str">
            <v>417-AS CLUB DE LEONES DE PEDREGAL (ESTE)</v>
          </cell>
          <cell r="D323">
            <v>20</v>
          </cell>
        </row>
        <row r="324">
          <cell r="A324" t="str">
            <v>252 IG - MINISTERIO INTERNACIONAL DE AMISTADES CRISTIANAS</v>
          </cell>
          <cell r="D324">
            <v>5</v>
          </cell>
        </row>
        <row r="325">
          <cell r="A325" t="str">
            <v>144 OR - HERMANAS DE SAN JOSÉ DE LA APARICIÓN (RETIRA EN EL BANCO)</v>
          </cell>
          <cell r="D325">
            <v>25</v>
          </cell>
        </row>
        <row r="326">
          <cell r="A326" t="str">
            <v>274 IG - AMIGOS DE JESÚS (CENTRO1)</v>
          </cell>
          <cell r="D326">
            <v>7.5</v>
          </cell>
        </row>
        <row r="327">
          <cell r="A327" t="str">
            <v>491-FU Fundación Aleluya</v>
          </cell>
          <cell r="G327">
            <v>2.5</v>
          </cell>
        </row>
        <row r="328">
          <cell r="A328" t="str">
            <v>94 OR - HOGAR SAN FRANCISCO DE ASÍS</v>
          </cell>
          <cell r="J328">
            <v>36</v>
          </cell>
        </row>
        <row r="329">
          <cell r="A329" t="str">
            <v>671 - PA DIOCESIS DE PENONOME (COCLE)</v>
          </cell>
          <cell r="K329">
            <v>6</v>
          </cell>
        </row>
        <row r="330">
          <cell r="A330" t="str">
            <v>377-FU CENTRO CRISTIANO CASA DE DIOS PANAMA</v>
          </cell>
          <cell r="G330">
            <v>2.5</v>
          </cell>
        </row>
        <row r="331">
          <cell r="A331" t="str">
            <v>415-AS CLUB DE LEONES DE CHITRE</v>
          </cell>
          <cell r="L331">
            <v>9</v>
          </cell>
        </row>
        <row r="332">
          <cell r="A332" t="str">
            <v>656 - FU FUNDACION COCINA DEL REINO Y AMIGOS (CENTRO 1)</v>
          </cell>
          <cell r="C332">
            <v>25</v>
          </cell>
        </row>
        <row r="333">
          <cell r="A333" t="str">
            <v>364-IG COMEDOR SHEKINA</v>
          </cell>
          <cell r="K333">
            <v>51</v>
          </cell>
        </row>
        <row r="334">
          <cell r="A334" t="str">
            <v>193 OR - FUNDACIÓN UNCIÓN FRESCA</v>
          </cell>
          <cell r="E334">
            <v>10</v>
          </cell>
        </row>
        <row r="335">
          <cell r="A335" t="str">
            <v>672 - FU FUNDACION NUEVO PACTO POR LA NIÑEZ</v>
          </cell>
          <cell r="C335">
            <v>10</v>
          </cell>
        </row>
        <row r="336">
          <cell r="A336" t="str">
            <v>360-IG IGLESIA CRISTIANA CASA DE REUNION</v>
          </cell>
          <cell r="G336">
            <v>35.5</v>
          </cell>
        </row>
        <row r="337">
          <cell r="A337" t="str">
            <v>719 FU FUNDACION VIDA NUEVA EL SHADDAI</v>
          </cell>
          <cell r="G337">
            <v>22.5</v>
          </cell>
        </row>
        <row r="338">
          <cell r="A338" t="str">
            <v>54 FU - FUNDACIÓN CASA HOGAR EL BUEN SAMARITANO</v>
          </cell>
          <cell r="D338">
            <v>50</v>
          </cell>
        </row>
        <row r="339">
          <cell r="A339" t="str">
            <v>710 - AS CLUB DE LEONES DE SONA</v>
          </cell>
          <cell r="M339">
            <v>51</v>
          </cell>
        </row>
        <row r="340">
          <cell r="A340" t="str">
            <v>684 - FU FUNDACION CASA DEL REY JESUS (CENTRO 2)</v>
          </cell>
          <cell r="C340">
            <v>84</v>
          </cell>
        </row>
        <row r="341">
          <cell r="A341" t="str">
            <v>723 ASOCIACION AQUI ESTOY</v>
          </cell>
          <cell r="E341">
            <v>1.5</v>
          </cell>
        </row>
        <row r="342">
          <cell r="A342" t="str">
            <v>166 FU - FUNDACION CURAME</v>
          </cell>
          <cell r="C342">
            <v>10</v>
          </cell>
        </row>
        <row r="343">
          <cell r="A343" t="str">
            <v>390-FU FUNDACION CRISTIANA FAMILIAR EL TALLER DEL MAESTRO (CENTRO1)</v>
          </cell>
          <cell r="C343">
            <v>7.5</v>
          </cell>
        </row>
        <row r="344">
          <cell r="A344" t="str">
            <v>730-FU SOLIDARIDAD Y DESARROLLO DE PANAMA (VERAGUAS)</v>
          </cell>
          <cell r="M344">
            <v>11</v>
          </cell>
        </row>
        <row r="345">
          <cell r="A345" t="str">
            <v>737- ASOCIACION CRISTIANA EBEN-EZER (ESTE)</v>
          </cell>
          <cell r="D345">
            <v>35</v>
          </cell>
        </row>
        <row r="346">
          <cell r="A346" t="str">
            <v>738- IG MINISTERIO DIOS CON NOSOTROS EMANUEL</v>
          </cell>
          <cell r="D346">
            <v>2.5</v>
          </cell>
        </row>
        <row r="347">
          <cell r="A347" t="str">
            <v>741-IG BUNKER DE ESPERANZA</v>
          </cell>
          <cell r="D347">
            <v>20</v>
          </cell>
        </row>
        <row r="348">
          <cell r="A348" t="str">
            <v>749-IG Ministerio Tabernáculo de Santidad Internación (Guararé)</v>
          </cell>
          <cell r="M348">
            <v>6</v>
          </cell>
        </row>
        <row r="349">
          <cell r="A349" t="str">
            <v>750-IG MTSI Santiago</v>
          </cell>
          <cell r="M349">
            <v>9</v>
          </cell>
        </row>
        <row r="350">
          <cell r="A350" t="str">
            <v>613-FU FUNDACION INMARE</v>
          </cell>
          <cell r="K350">
            <v>158</v>
          </cell>
        </row>
        <row r="351">
          <cell r="A351" t="str">
            <v>759-FU SOLO ES CUESTION DE FE</v>
          </cell>
          <cell r="D351">
            <v>2.5</v>
          </cell>
        </row>
        <row r="352">
          <cell r="A352" t="str">
            <v>275 IG CONCILIO GENERAL DE LAS ASAMBLEAS DE DIOS DE PANAMÁ</v>
          </cell>
          <cell r="C352">
            <v>15</v>
          </cell>
        </row>
        <row r="353">
          <cell r="A353" t="str">
            <v>752-IG Ministerio Tabernáculo De Santidad Internacional (Chitre)</v>
          </cell>
          <cell r="L353">
            <v>11.5</v>
          </cell>
        </row>
        <row r="354">
          <cell r="A354" t="str">
            <v>201 OR - MISIONERAS MADRE LAURA</v>
          </cell>
          <cell r="C354">
            <v>10</v>
          </cell>
        </row>
        <row r="355">
          <cell r="A355" t="str">
            <v>765-IG EXPANSION MISIONERA RIOS DE AGUA VIVA</v>
          </cell>
          <cell r="L355">
            <v>24</v>
          </cell>
        </row>
        <row r="356">
          <cell r="A356" t="str">
            <v>766-IG MINISTERIO BET-EL</v>
          </cell>
          <cell r="O356">
            <v>40.5</v>
          </cell>
        </row>
        <row r="357">
          <cell r="A357" t="str">
            <v>785-FU FUNDACION GOTAS DE ESPERANZA</v>
          </cell>
          <cell r="E357">
            <v>2.5</v>
          </cell>
        </row>
        <row r="358">
          <cell r="A358" t="str">
            <v>793-FU Fundación Príncipes de Jehová</v>
          </cell>
          <cell r="I358">
            <v>2.5</v>
          </cell>
        </row>
        <row r="359">
          <cell r="A359" t="str">
            <v>791-FU FUNDACION DIVINO NINO JESUS DE MI CORAZON</v>
          </cell>
          <cell r="D359">
            <v>2.5</v>
          </cell>
        </row>
        <row r="360">
          <cell r="A360" t="str">
            <v>69 FU - FUNDACIÓN VIDA ABUNDANTE</v>
          </cell>
          <cell r="C360">
            <v>12.5</v>
          </cell>
        </row>
        <row r="361">
          <cell r="A361" t="str">
            <v>138 OR - HERMANAS FRANCISCANAS DE MARIA INMACULADALA</v>
          </cell>
          <cell r="H361">
            <v>3</v>
          </cell>
        </row>
        <row r="362">
          <cell r="A362" t="str">
            <v>3 IG - IGLESIA DEL NAZARENO</v>
          </cell>
          <cell r="E362">
            <v>65</v>
          </cell>
        </row>
        <row r="363">
          <cell r="A363" t="str">
            <v>232 IG MINISTERIO TIEMPO DE COSECHA</v>
          </cell>
          <cell r="I363">
            <v>12.5</v>
          </cell>
        </row>
        <row r="364">
          <cell r="A364" t="str">
            <v>661 - FU FUNDACION MAS INTEGRADOS (DARIEN)</v>
          </cell>
          <cell r="F364">
            <v>15</v>
          </cell>
        </row>
        <row r="365">
          <cell r="A365" t="str">
            <v>753-AS CLUB ACTIVO 20-30 DE CHITRE</v>
          </cell>
          <cell r="L365">
            <v>5</v>
          </cell>
        </row>
        <row r="366">
          <cell r="A366" t="str">
            <v>8 PA - PARROQUIA SAN JUAN DE MACARACAS</v>
          </cell>
          <cell r="B366">
            <v>13</v>
          </cell>
        </row>
        <row r="367">
          <cell r="A367" t="str">
            <v>240 PA - PARROQUIA SAN JOSÉ - PESE</v>
          </cell>
          <cell r="L367">
            <v>30</v>
          </cell>
        </row>
        <row r="368">
          <cell r="A368" t="str">
            <v>253 FU - FUNDACIÓN PARA EL BIENESTAR SOCIAL (CENTRO2)</v>
          </cell>
          <cell r="C368">
            <v>47.5</v>
          </cell>
        </row>
        <row r="369">
          <cell r="A369" t="str">
            <v>650 - IG ASOCIACION CRISTIANA EBEN - EZER #27 (ESTE)</v>
          </cell>
          <cell r="D369">
            <v>12.5</v>
          </cell>
        </row>
        <row r="370">
          <cell r="A370" t="str">
            <v>375-FU Ministerio a Dios sea la Gloria</v>
          </cell>
          <cell r="C370">
            <v>12.5</v>
          </cell>
        </row>
        <row r="371">
          <cell r="A371" t="str">
            <v>802-IG IGLESIA INTERNACIONAL DEL EVANGELIO CUADRANGULAR DE PANAMÁ</v>
          </cell>
          <cell r="C371">
            <v>10</v>
          </cell>
        </row>
        <row r="372">
          <cell r="A372" t="str">
            <v>734-FU MINISTERIO DE SALVACION EL CAMINO DE DIOS</v>
          </cell>
          <cell r="I372">
            <v>7.5</v>
          </cell>
        </row>
        <row r="373">
          <cell r="A373" t="str">
            <v>392-FU Fundacion Jerusalen Trono de Jehova III</v>
          </cell>
          <cell r="E373">
            <v>12.5</v>
          </cell>
        </row>
        <row r="374">
          <cell r="A374" t="str">
            <v>641 - IG IGLESIA EVANGELICA QUIRIAT SALEM (ESTE)</v>
          </cell>
          <cell r="D374">
            <v>25</v>
          </cell>
        </row>
        <row r="375">
          <cell r="A375" t="str">
            <v>756-FU Fundación Nuevas Rutas</v>
          </cell>
          <cell r="J375">
            <v>122</v>
          </cell>
        </row>
        <row r="376">
          <cell r="A376" t="str">
            <v>708 - FU MINISTERIO BERAKHAH INTERNACIONAL GUARARE</v>
          </cell>
          <cell r="O376">
            <v>8.5</v>
          </cell>
        </row>
        <row r="377">
          <cell r="A377" t="str">
            <v>828-IG IDN LAS TINAJAS</v>
          </cell>
          <cell r="J377">
            <v>5</v>
          </cell>
        </row>
        <row r="378">
          <cell r="A378" t="str">
            <v>813-IG Comedor Centro De Esperanza Elohim</v>
          </cell>
          <cell r="K378">
            <v>16</v>
          </cell>
        </row>
        <row r="379">
          <cell r="A379" t="str">
            <v>770-IG CENTRO CRISTIANO NUEVA VIDA</v>
          </cell>
          <cell r="K379">
            <v>15</v>
          </cell>
        </row>
        <row r="380">
          <cell r="A380" t="str">
            <v>821-IG Ministerio de Adoracion Y Restauracion Guardadores del Pacto</v>
          </cell>
          <cell r="L380">
            <v>9</v>
          </cell>
        </row>
        <row r="381">
          <cell r="A381" t="str">
            <v>731-FU CENTRO DE NIÑOS DOWN</v>
          </cell>
          <cell r="L381">
            <v>9</v>
          </cell>
        </row>
        <row r="382">
          <cell r="A382" t="str">
            <v>PRODUCTOS LA DOÑA, S.A</v>
          </cell>
          <cell r="B382">
            <v>4</v>
          </cell>
          <cell r="C382">
            <v>457.5</v>
          </cell>
          <cell r="D382">
            <v>665</v>
          </cell>
          <cell r="E382">
            <v>245.5</v>
          </cell>
          <cell r="F382">
            <v>42</v>
          </cell>
          <cell r="G382">
            <v>117</v>
          </cell>
          <cell r="H382">
            <v>147</v>
          </cell>
          <cell r="I382">
            <v>72</v>
          </cell>
          <cell r="J382">
            <v>207.5</v>
          </cell>
          <cell r="K382">
            <v>168</v>
          </cell>
          <cell r="L382">
            <v>78</v>
          </cell>
          <cell r="M382">
            <v>23</v>
          </cell>
          <cell r="O382">
            <v>31.5</v>
          </cell>
        </row>
        <row r="383">
          <cell r="A383">
            <v>0</v>
          </cell>
          <cell r="B383">
            <v>4</v>
          </cell>
        </row>
        <row r="384">
          <cell r="A384" t="str">
            <v>662-IG MINISTERIO EVANGELICO EL APOSENTO ALTO (CENTRO 1)</v>
          </cell>
          <cell r="C384">
            <v>4</v>
          </cell>
        </row>
        <row r="385">
          <cell r="A385" t="str">
            <v>702 - FU MINISTERIO BERAKHAH INTERNACIONAL ARRAIJAN</v>
          </cell>
          <cell r="E385">
            <v>10.5</v>
          </cell>
        </row>
        <row r="386">
          <cell r="A386" t="str">
            <v>298-FU - MINISTERIO FUENTE DE VIDA PARA EL PERDIDO</v>
          </cell>
          <cell r="F386">
            <v>21</v>
          </cell>
        </row>
        <row r="387">
          <cell r="A387" t="str">
            <v>479-IG IGLESIA NUEVA ESPERANZA</v>
          </cell>
          <cell r="D387">
            <v>7</v>
          </cell>
        </row>
        <row r="388">
          <cell r="A388" t="str">
            <v>104 AS - ASOCIACIÓN HOGAR FELICIDAD</v>
          </cell>
          <cell r="E388">
            <v>93</v>
          </cell>
        </row>
        <row r="389">
          <cell r="A389" t="str">
            <v>175 AS - ASOCIACIÓN RESTAURANDO VIDAS</v>
          </cell>
          <cell r="D389">
            <v>16</v>
          </cell>
        </row>
        <row r="390">
          <cell r="A390" t="str">
            <v>178 IG - TEMPLO ZURIEL EL REFUGIO</v>
          </cell>
          <cell r="G390">
            <v>20</v>
          </cell>
        </row>
        <row r="391">
          <cell r="A391" t="str">
            <v>207 IG - IGLESIA CENTRO DE VIDA CRISTIANA</v>
          </cell>
          <cell r="D391">
            <v>33.5</v>
          </cell>
        </row>
        <row r="392">
          <cell r="A392" t="str">
            <v>493-FU Comedor Jesús es mi Pastor</v>
          </cell>
          <cell r="D392">
            <v>6</v>
          </cell>
        </row>
        <row r="393">
          <cell r="A393" t="str">
            <v>636- FU JAH - LIVE (JAHL) - COLON</v>
          </cell>
          <cell r="H393">
            <v>114</v>
          </cell>
        </row>
        <row r="394">
          <cell r="A394" t="str">
            <v>224 OR MISIONERAS DE LA CARIDAD DE COLON</v>
          </cell>
          <cell r="H394">
            <v>12</v>
          </cell>
        </row>
        <row r="395">
          <cell r="A395" t="str">
            <v>365-IG COMEDOR HEFZIBA</v>
          </cell>
          <cell r="I395">
            <v>16</v>
          </cell>
        </row>
        <row r="396">
          <cell r="A396" t="str">
            <v>407-IG ASOCIACION CRISTIANA INTERNACIONAL EBEN-EZER (OESTE)</v>
          </cell>
          <cell r="E396">
            <v>6</v>
          </cell>
        </row>
        <row r="397">
          <cell r="A397" t="str">
            <v>635 TEMPLO ADULAM</v>
          </cell>
          <cell r="E397">
            <v>10</v>
          </cell>
        </row>
        <row r="398">
          <cell r="A398" t="str">
            <v>470-FU IGLESIA MONTE SANTO</v>
          </cell>
          <cell r="D398">
            <v>12</v>
          </cell>
        </row>
        <row r="399">
          <cell r="A399" t="str">
            <v>687 - FU FUNDACION ARCA DE JESUS</v>
          </cell>
          <cell r="E399">
            <v>6</v>
          </cell>
        </row>
        <row r="400">
          <cell r="A400" t="str">
            <v>218 ED - LOS PREFERIDOS DEL SEÑOR (CENTRO2)</v>
          </cell>
          <cell r="C400">
            <v>24</v>
          </cell>
        </row>
        <row r="401">
          <cell r="A401" t="str">
            <v>187 IG - IGLESIA DE DIOS DE LA PROFECÍA</v>
          </cell>
          <cell r="D401">
            <v>72</v>
          </cell>
        </row>
        <row r="402">
          <cell r="A402" t="str">
            <v>321-IG IGLESIA DIOS ES MI PROVEEDOR Y SUSTENTO</v>
          </cell>
          <cell r="D402">
            <v>25</v>
          </cell>
        </row>
        <row r="403">
          <cell r="A403" t="str">
            <v>111 FU - FUNDACIÓN NUESTRA SEÑORA DEL CAMINO</v>
          </cell>
          <cell r="J403">
            <v>6</v>
          </cell>
        </row>
        <row r="404">
          <cell r="A404" t="str">
            <v>443-FU MINISTERIO BERAKHAH INTERNACIONAL COMEDOR LAS GARZAS #2</v>
          </cell>
          <cell r="D404">
            <v>22</v>
          </cell>
        </row>
        <row r="405">
          <cell r="A405" t="str">
            <v>694 - FU MINISTERIO BERAKHAH INTERNACIONAL TOCUMEN #2</v>
          </cell>
          <cell r="D405">
            <v>24.5</v>
          </cell>
        </row>
        <row r="406">
          <cell r="A406" t="str">
            <v>695 - FU MINISTERIO BERAKHAH INTERNACIONAL 24 DIC</v>
          </cell>
          <cell r="D406">
            <v>17.5</v>
          </cell>
        </row>
        <row r="407">
          <cell r="A407" t="str">
            <v>444-FU MINISTERIO BERAKHAH INTERNACIONAL COMEDOR LAS GARZAS #1</v>
          </cell>
          <cell r="D407">
            <v>18</v>
          </cell>
        </row>
        <row r="408">
          <cell r="A408" t="str">
            <v>366-FU CENTRO MISIONERO EL SHADAI (ESTE)</v>
          </cell>
          <cell r="D408">
            <v>30</v>
          </cell>
        </row>
        <row r="409">
          <cell r="A409" t="str">
            <v>498-FU COMEDOR NIÑOS DE BENDICION</v>
          </cell>
          <cell r="E409">
            <v>14</v>
          </cell>
        </row>
        <row r="410">
          <cell r="A410" t="str">
            <v>288 IG MINISTERIO EVANGELISTICO DE SANACION Y RESTAURACION, SENALES, MILAGROS Y MARAVILLAS (ESTE)</v>
          </cell>
          <cell r="D410">
            <v>2</v>
          </cell>
        </row>
        <row r="411">
          <cell r="A411" t="str">
            <v>373-FU MINISTERIO INTERNACIONAL BOANERGES</v>
          </cell>
          <cell r="I411">
            <v>17</v>
          </cell>
        </row>
        <row r="412">
          <cell r="A412" t="str">
            <v>197 FU FUNDACION SOCIAL CULTURAL Y AMBIENTAL DE VERACRUZ (OESTE)</v>
          </cell>
          <cell r="E412">
            <v>6</v>
          </cell>
        </row>
        <row r="413">
          <cell r="A413" t="str">
            <v>183 ED - BELÉN CASA DE PAN (ESTE)</v>
          </cell>
          <cell r="D413">
            <v>6</v>
          </cell>
        </row>
        <row r="414">
          <cell r="A414" t="str">
            <v>701 - FU MINISTERIO BERAKHAH INTERNACIONAL LOS ANDES</v>
          </cell>
          <cell r="I414">
            <v>4</v>
          </cell>
        </row>
        <row r="415">
          <cell r="A415" t="str">
            <v>431-IG IGLESIA ADVENTISTA DISTRITO 8</v>
          </cell>
          <cell r="D415">
            <v>4</v>
          </cell>
        </row>
        <row r="416">
          <cell r="A416" t="str">
            <v>261 - AS ASOCIACIÓN MINISTERIO SIRVIENDO A LA COMUNIDAD PARA JESUCRISTO</v>
          </cell>
          <cell r="C416">
            <v>1.5</v>
          </cell>
        </row>
        <row r="417">
          <cell r="A417" t="str">
            <v>211 IG - IGLESIA CRISTIANA KADOSH</v>
          </cell>
          <cell r="C417">
            <v>6</v>
          </cell>
        </row>
        <row r="418">
          <cell r="A418" t="str">
            <v>643 - IG TEMPLO PUERTA DEL CIELO (CHIRIQUI)</v>
          </cell>
          <cell r="J418">
            <v>22</v>
          </cell>
        </row>
        <row r="419">
          <cell r="A419" t="str">
            <v>368-FU MINISTERIO PACTO DE SANTIDAD</v>
          </cell>
          <cell r="C419">
            <v>36</v>
          </cell>
        </row>
        <row r="420">
          <cell r="A420" t="str">
            <v>654 - IG M.I.A.F NUEVA JERUSALEN PANAMA (ESTE)</v>
          </cell>
          <cell r="D420">
            <v>6</v>
          </cell>
        </row>
        <row r="421">
          <cell r="A421" t="str">
            <v>363-FU FUNDACION MINISTERIO DEL EVANGELIO ETERNO DEL REINO (NORTE)</v>
          </cell>
          <cell r="G421">
            <v>9</v>
          </cell>
        </row>
        <row r="422">
          <cell r="A422" t="str">
            <v>487-FU FUNDACION CASA AVE MARIA</v>
          </cell>
          <cell r="E422">
            <v>28</v>
          </cell>
        </row>
        <row r="423">
          <cell r="A423" t="str">
            <v>2 PA - PARROQUIA SAN JUAN MARIA VIANNEY (NORTE)</v>
          </cell>
          <cell r="I423">
            <v>22</v>
          </cell>
        </row>
        <row r="424">
          <cell r="A424" t="str">
            <v>696 - FU MINISTERIO BERAKHAH INTERNACIONAL CHEPO #1</v>
          </cell>
          <cell r="D424">
            <v>12.5</v>
          </cell>
        </row>
        <row r="425">
          <cell r="A425" t="str">
            <v>222 ED - MISERICORDIAR</v>
          </cell>
          <cell r="D425">
            <v>38</v>
          </cell>
        </row>
        <row r="426">
          <cell r="A426" t="str">
            <v>259 IG - ALCANCE VICTORIA PANAMÁ</v>
          </cell>
          <cell r="C426">
            <v>24</v>
          </cell>
        </row>
        <row r="427">
          <cell r="A427" t="str">
            <v>668 - FU FUNDACION CRISTIANA LA FE EN MARCHA</v>
          </cell>
          <cell r="J427">
            <v>106.5</v>
          </cell>
        </row>
        <row r="428">
          <cell r="A428" t="str">
            <v>379-FU Fundacion Ministerio Apostolico Manantial de Vida</v>
          </cell>
          <cell r="H428">
            <v>20</v>
          </cell>
        </row>
        <row r="429">
          <cell r="A429" t="str">
            <v>644 - IG TEMPLO SENDA DE VIDA (CHIRIQUÍ)</v>
          </cell>
          <cell r="J429">
            <v>24</v>
          </cell>
        </row>
        <row r="430">
          <cell r="A430" t="str">
            <v>387-AS Asociacion ODSSAR-OBC</v>
          </cell>
          <cell r="D430">
            <v>9</v>
          </cell>
        </row>
        <row r="431">
          <cell r="A431" t="str">
            <v>300 ED - BENEFICIARIOS</v>
          </cell>
          <cell r="D431">
            <v>15</v>
          </cell>
        </row>
        <row r="432">
          <cell r="A432" t="str">
            <v>657 - FU CENTRO COMUNITARIO MONTAÑAS DE ESPERANZA (RETIRO EN EL BAP)</v>
          </cell>
          <cell r="D432">
            <v>1</v>
          </cell>
        </row>
        <row r="433">
          <cell r="A433" t="str">
            <v>630-IG MIN.INTL.DE CRISTO PAZ DE DIOS</v>
          </cell>
          <cell r="C433">
            <v>96</v>
          </cell>
        </row>
        <row r="434">
          <cell r="A434" t="str">
            <v>260 IG - IGLESIA MISIONERA DE RESTAURACIÓN</v>
          </cell>
          <cell r="D434">
            <v>4</v>
          </cell>
        </row>
        <row r="435">
          <cell r="A435" t="str">
            <v>397-FU FUNDACION SHALOM PANAMA</v>
          </cell>
          <cell r="E435">
            <v>7</v>
          </cell>
        </row>
        <row r="436">
          <cell r="A436" t="str">
            <v>697 - FU MINISTERIO BERAKHAH INTERNACIONAL CHEPO #2</v>
          </cell>
          <cell r="D436">
            <v>11.5</v>
          </cell>
        </row>
        <row r="437">
          <cell r="A437" t="str">
            <v>195 ED - JUNTOS PODEMOS</v>
          </cell>
          <cell r="C437">
            <v>26</v>
          </cell>
        </row>
        <row r="438">
          <cell r="A438" t="str">
            <v>653 - FU FUNDACION LUIS CARLOS DIAZ (OESTE)</v>
          </cell>
          <cell r="E438">
            <v>3</v>
          </cell>
        </row>
        <row r="439">
          <cell r="A439" t="str">
            <v>423-FU FUNDACION CONSTRUYENDO VIDAS EN PANAMA</v>
          </cell>
          <cell r="E439">
            <v>5</v>
          </cell>
        </row>
        <row r="440">
          <cell r="A440" t="str">
            <v>670 - FU FUNDACION MINISTERIIO CRISTIANO EL REINO DE DIOS (ESTE)</v>
          </cell>
          <cell r="D440">
            <v>4</v>
          </cell>
        </row>
        <row r="441">
          <cell r="A441" t="str">
            <v>450-FU MINISTERIO DE RESTAURACION EFESIOS 4 (ESTE)</v>
          </cell>
          <cell r="D441">
            <v>16</v>
          </cell>
        </row>
        <row r="442">
          <cell r="A442" t="str">
            <v>235 FU - FUNDACION GRUPO ENVIADOS</v>
          </cell>
          <cell r="D442">
            <v>4</v>
          </cell>
        </row>
        <row r="443">
          <cell r="A443" t="str">
            <v>380-ED COMEDOR COMUNITARIO CASA DEL ALFARERO</v>
          </cell>
          <cell r="D443">
            <v>27.5</v>
          </cell>
        </row>
        <row r="444">
          <cell r="A444" t="str">
            <v>597- IG MINISTERIO APOSTOLICO NEMUEL INTERNACIONAL</v>
          </cell>
          <cell r="D444">
            <v>23</v>
          </cell>
        </row>
        <row r="445">
          <cell r="A445" t="str">
            <v>647 - IG CRISTO REY CAMBIANDO VIDAS (ESTE)</v>
          </cell>
          <cell r="D445">
            <v>12</v>
          </cell>
        </row>
        <row r="446">
          <cell r="A446" t="str">
            <v>417-AS CLUB DE LEONES DE PEDREGAL (ESTE)</v>
          </cell>
          <cell r="D446">
            <v>4</v>
          </cell>
        </row>
        <row r="447">
          <cell r="A447" t="str">
            <v>252 IG - MINISTERIO INTERNACIONAL DE AMISTADES CRISTIANAS</v>
          </cell>
          <cell r="D447">
            <v>6</v>
          </cell>
        </row>
        <row r="448">
          <cell r="A448" t="str">
            <v>339-AS ASOCIACION RESIDENCIA LISBETH</v>
          </cell>
          <cell r="D448">
            <v>25</v>
          </cell>
        </row>
        <row r="449">
          <cell r="A449" t="str">
            <v>144 OR - HERMANAS DE SAN JOSÉ DE LA APARICIÓN (RETIRA EN EL BANCO)</v>
          </cell>
          <cell r="D449">
            <v>16</v>
          </cell>
        </row>
        <row r="450">
          <cell r="A450" t="str">
            <v>270 FU - FUNDACIÓN MISERICORDIA DE DON BOSCO (OESTE)</v>
          </cell>
          <cell r="E450">
            <v>6</v>
          </cell>
        </row>
        <row r="451">
          <cell r="A451" t="str">
            <v>698 - FU MINISTERIO BERAKHAH INTERNACIONAL PASO BLANCO</v>
          </cell>
          <cell r="D451">
            <v>6</v>
          </cell>
        </row>
        <row r="452">
          <cell r="A452" t="str">
            <v>491-FU Fundación Aleluya</v>
          </cell>
          <cell r="G452">
            <v>7</v>
          </cell>
        </row>
        <row r="453">
          <cell r="A453" t="str">
            <v>642 - IG IGLESIA VIDA (CENTRO 1)</v>
          </cell>
          <cell r="C453">
            <v>2</v>
          </cell>
        </row>
        <row r="454">
          <cell r="A454" t="str">
            <v>681 - FU FUNDACION NUEVA SOCIEDAD (NORTE)</v>
          </cell>
          <cell r="I454">
            <v>2</v>
          </cell>
        </row>
        <row r="455">
          <cell r="A455" t="str">
            <v>671 - PA DIOCESIS DE PENONOME (COCLE)</v>
          </cell>
          <cell r="K455">
            <v>4</v>
          </cell>
        </row>
        <row r="456">
          <cell r="A456" t="str">
            <v>377-FU CENTRO CRISTIANO CASA DE DIOS PANAMA</v>
          </cell>
          <cell r="G456">
            <v>23</v>
          </cell>
        </row>
        <row r="457">
          <cell r="A457" t="str">
            <v>656 - FU FUNDACION COCINA DEL REINO Y AMIGOS (CENTRO 1)</v>
          </cell>
          <cell r="C457">
            <v>2</v>
          </cell>
        </row>
        <row r="458">
          <cell r="A458" t="str">
            <v>364-IG COMEDOR SHEKINA</v>
          </cell>
          <cell r="K458">
            <v>68</v>
          </cell>
        </row>
        <row r="459">
          <cell r="A459" t="str">
            <v>595-FU CENTRO DE LA MUJER Y LA NIÑEZ</v>
          </cell>
          <cell r="C459">
            <v>10</v>
          </cell>
        </row>
        <row r="460">
          <cell r="A460" t="str">
            <v>193 OR - FUNDACIÓN UNCIÓN FRESCA</v>
          </cell>
          <cell r="E460">
            <v>6</v>
          </cell>
        </row>
        <row r="461">
          <cell r="A461" t="str">
            <v>672 - FU FUNDACION NUEVO PACTO POR LA NIÑEZ</v>
          </cell>
          <cell r="C461">
            <v>4</v>
          </cell>
        </row>
        <row r="462">
          <cell r="A462" t="str">
            <v>118 FU - FUNDACIÓN UN NUEVO AMANECER</v>
          </cell>
          <cell r="E462">
            <v>12</v>
          </cell>
        </row>
        <row r="463">
          <cell r="A463" t="str">
            <v>360-IG IGLESIA CRISTIANA CASA DE REUNION</v>
          </cell>
          <cell r="G463">
            <v>42</v>
          </cell>
        </row>
        <row r="464">
          <cell r="A464" t="str">
            <v>719 FU FUNDACION VIDA NUEVA EL SHADDAI</v>
          </cell>
          <cell r="G464">
            <v>16</v>
          </cell>
        </row>
        <row r="465">
          <cell r="A465" t="str">
            <v>54 FU - FUNDACIÓN CASA HOGAR EL BUEN SAMARITANO</v>
          </cell>
          <cell r="D465">
            <v>26</v>
          </cell>
        </row>
        <row r="466">
          <cell r="A466" t="str">
            <v>684 - FU FUNDACION CASA DEL REY JESUS (CENTRO 2)</v>
          </cell>
          <cell r="C466">
            <v>93</v>
          </cell>
        </row>
        <row r="467">
          <cell r="A467" t="str">
            <v>723 ASOCIACION AQUI ESTOY</v>
          </cell>
          <cell r="E467">
            <v>8</v>
          </cell>
        </row>
        <row r="468">
          <cell r="A468" t="str">
            <v>596 IG- IGLESIA EVANGELICA TRINITARIA DIOS FUENTE DE PODER</v>
          </cell>
          <cell r="C468">
            <v>2</v>
          </cell>
        </row>
        <row r="469">
          <cell r="A469" t="str">
            <v>707 - FU MINISTERIO BERAKHAH INTERNACIONAL CAIMITILLO</v>
          </cell>
          <cell r="I469">
            <v>4</v>
          </cell>
        </row>
        <row r="470">
          <cell r="A470" t="str">
            <v>229 PA - PARROQUIA SAN CRISTOBAL DE CHEPO</v>
          </cell>
          <cell r="D470">
            <v>18</v>
          </cell>
        </row>
        <row r="471">
          <cell r="A471" t="str">
            <v>166 FU - FUNDACION CURAME</v>
          </cell>
          <cell r="C471">
            <v>4</v>
          </cell>
        </row>
        <row r="472">
          <cell r="A472" t="str">
            <v>390-FU FUNDACION CRISTIANA FAMILIAR EL TALLER DEL MAESTRO (CENTRO1)</v>
          </cell>
          <cell r="C472">
            <v>6</v>
          </cell>
        </row>
        <row r="473">
          <cell r="A473" t="str">
            <v>730-FU SOLIDARIDAD Y DESARROLLO DE PANAMA (VERAGUAS)</v>
          </cell>
          <cell r="M473">
            <v>6</v>
          </cell>
        </row>
        <row r="474">
          <cell r="A474" t="str">
            <v>736-IG JESUS HACE MILAGROS</v>
          </cell>
          <cell r="J474">
            <v>7</v>
          </cell>
        </row>
        <row r="475">
          <cell r="A475" t="str">
            <v>737- ASOCIACION CRISTIANA EBEN-EZER (ESTE)</v>
          </cell>
          <cell r="D475">
            <v>10</v>
          </cell>
        </row>
        <row r="476">
          <cell r="A476" t="str">
            <v>738- IG MINISTERIO DIOS CON NOSOTROS EMANUEL</v>
          </cell>
          <cell r="D476">
            <v>37</v>
          </cell>
        </row>
        <row r="477">
          <cell r="A477" t="str">
            <v>733-IG LA ORACION FUERTE AL ESPIRITU SANTO</v>
          </cell>
          <cell r="C477">
            <v>6</v>
          </cell>
        </row>
        <row r="478">
          <cell r="A478" t="str">
            <v>745-FU CASA DE MISERICORDIA</v>
          </cell>
          <cell r="C478">
            <v>4</v>
          </cell>
        </row>
        <row r="479">
          <cell r="A479" t="str">
            <v>741-IG BUNKER DE ESPERANZA</v>
          </cell>
          <cell r="D479">
            <v>6</v>
          </cell>
        </row>
        <row r="480">
          <cell r="A480" t="str">
            <v>749-IG Ministerio Tabernáculo de Santidad Internación (Guararé)</v>
          </cell>
          <cell r="M480">
            <v>17</v>
          </cell>
        </row>
        <row r="481">
          <cell r="A481" t="str">
            <v>613-FU FUNDACION INMARE</v>
          </cell>
          <cell r="K481">
            <v>88</v>
          </cell>
        </row>
        <row r="482">
          <cell r="A482" t="str">
            <v>759-FU SOLO ES CUESTION DE FE</v>
          </cell>
          <cell r="D482">
            <v>4</v>
          </cell>
        </row>
        <row r="483">
          <cell r="A483" t="str">
            <v>275 IG CONCILIO GENERAL DE LAS ASAMBLEAS DE DIOS DE PANAMÁ</v>
          </cell>
          <cell r="C483">
            <v>18</v>
          </cell>
        </row>
        <row r="484">
          <cell r="A484" t="str">
            <v>752-IG Ministerio Tabernáculo De Santidad Internacional (Chitre)</v>
          </cell>
          <cell r="L484">
            <v>6</v>
          </cell>
        </row>
        <row r="485">
          <cell r="A485" t="str">
            <v>201 OR - MISIONERAS MADRE LAURA</v>
          </cell>
          <cell r="C485">
            <v>4</v>
          </cell>
        </row>
        <row r="486">
          <cell r="A486" t="str">
            <v>765-IG EXPANSION MISIONERA RIOS DE AGUA VIVA</v>
          </cell>
          <cell r="L486">
            <v>43</v>
          </cell>
        </row>
        <row r="487">
          <cell r="A487" t="str">
            <v>766-IG MINISTERIO BET-EL</v>
          </cell>
          <cell r="O487">
            <v>25</v>
          </cell>
        </row>
        <row r="488">
          <cell r="A488" t="str">
            <v>785-FU FUNDACION GOTAS DE ESPERANZA</v>
          </cell>
          <cell r="E488">
            <v>17</v>
          </cell>
        </row>
        <row r="489">
          <cell r="A489" t="str">
            <v>394-IG IGLESIA ESCUADRONES DEL EJERCITO DE DIOS (CENTRO2)</v>
          </cell>
          <cell r="C489">
            <v>11</v>
          </cell>
        </row>
        <row r="490">
          <cell r="A490" t="str">
            <v>789-FU Fundación Rescate de Alimentos</v>
          </cell>
          <cell r="C490">
            <v>8</v>
          </cell>
        </row>
        <row r="491">
          <cell r="A491" t="str">
            <v>793-FU Fundación Príncipes de Jehová</v>
          </cell>
          <cell r="I491">
            <v>2</v>
          </cell>
        </row>
        <row r="492">
          <cell r="A492" t="str">
            <v>138 OR - HERMANAS FRANCISCANAS DE MARIA INMACULADALA</v>
          </cell>
          <cell r="H492">
            <v>1</v>
          </cell>
        </row>
        <row r="493">
          <cell r="A493" t="str">
            <v>804-IG Templo Misionero Eclesiastés</v>
          </cell>
          <cell r="I493">
            <v>5</v>
          </cell>
        </row>
        <row r="494">
          <cell r="A494" t="str">
            <v>661 - FU FUNDACION MAS INTEGRADOS (DARIEN)</v>
          </cell>
          <cell r="F494">
            <v>13</v>
          </cell>
        </row>
        <row r="495">
          <cell r="A495" t="str">
            <v>753-AS CLUB ACTIVO 20-30 DE CHITRE</v>
          </cell>
          <cell r="L495">
            <v>29</v>
          </cell>
        </row>
        <row r="496">
          <cell r="A496" t="str">
            <v>735-AS CHICHICA</v>
          </cell>
          <cell r="K496">
            <v>4</v>
          </cell>
        </row>
        <row r="497">
          <cell r="A497" t="str">
            <v>253 FU - FUNDACIÓN PARA EL BIENESTAR SOCIAL (CENTRO2)</v>
          </cell>
          <cell r="C497">
            <v>4</v>
          </cell>
        </row>
        <row r="498">
          <cell r="A498" t="str">
            <v>463-FU MINISTERIO BERAKHAH INTERNACIONAL COMEDOR OASIS DE ESPERANZA (ESTE)</v>
          </cell>
          <cell r="D498">
            <v>4</v>
          </cell>
        </row>
        <row r="499">
          <cell r="A499" t="str">
            <v>650 - IG ASOCIACION CRISTIANA EBEN - EZER #27 (ESTE)</v>
          </cell>
          <cell r="D499">
            <v>22</v>
          </cell>
        </row>
        <row r="500">
          <cell r="A500" t="str">
            <v>802-IG IGLESIA INTERNACIONAL DEL EVANGELIO CUADRANGULAR DE PANAMÁ</v>
          </cell>
          <cell r="C500">
            <v>2</v>
          </cell>
        </row>
        <row r="501">
          <cell r="A501" t="str">
            <v>814-IG Templo Morada Santa</v>
          </cell>
          <cell r="F501">
            <v>8</v>
          </cell>
        </row>
        <row r="502">
          <cell r="A502" t="str">
            <v>185 FU - FUNDACIÓN ABIA YALA</v>
          </cell>
          <cell r="C502">
            <v>5</v>
          </cell>
        </row>
        <row r="503">
          <cell r="A503" t="str">
            <v>786-FU ACADEMIA DE FUTBOL ROMAN TORRES</v>
          </cell>
          <cell r="C503">
            <v>8</v>
          </cell>
        </row>
        <row r="504">
          <cell r="A504" t="str">
            <v>496-AS CUERPO DE VOLUNTARIAS DEL HOSPITAL DEL NIÑO</v>
          </cell>
          <cell r="C504">
            <v>43</v>
          </cell>
        </row>
        <row r="505">
          <cell r="A505" t="str">
            <v>641 - IG IGLESIA EVANGELICA QUIRIAT SALEM (ESTE)</v>
          </cell>
          <cell r="D505">
            <v>2</v>
          </cell>
        </row>
        <row r="506">
          <cell r="A506" t="str">
            <v>471-FU FUNDACION BUSCANDO UNA OPORTUNIDAD</v>
          </cell>
          <cell r="E506">
            <v>4</v>
          </cell>
        </row>
        <row r="507">
          <cell r="A507" t="str">
            <v>5 AS - ASOCIACIÓN DAME UNA OPORTUNIDAD</v>
          </cell>
          <cell r="C507">
            <v>4</v>
          </cell>
        </row>
        <row r="508">
          <cell r="A508" t="str">
            <v>756-FU Fundación Nuevas Rutas</v>
          </cell>
          <cell r="J508">
            <v>40</v>
          </cell>
        </row>
        <row r="509">
          <cell r="A509" t="str">
            <v>708 - FU MINISTERIO BERAKHAH INTERNACIONAL GUARARE</v>
          </cell>
          <cell r="O509">
            <v>6.5</v>
          </cell>
        </row>
        <row r="510">
          <cell r="A510" t="str">
            <v>341-PA PARROQUIA SANTIAGO APOSTOL ALANJE (CHIRIQUÍ)</v>
          </cell>
          <cell r="J510">
            <v>2</v>
          </cell>
        </row>
        <row r="511">
          <cell r="A511" t="str">
            <v>422-AS Club de Leones de Penonome</v>
          </cell>
          <cell r="K511">
            <v>2</v>
          </cell>
        </row>
        <row r="512">
          <cell r="A512" t="str">
            <v>813-IG Comedor Centro De Esperanza Elohim</v>
          </cell>
          <cell r="K512">
            <v>2</v>
          </cell>
        </row>
        <row r="513">
          <cell r="A513" t="str">
            <v>827-FU Fundación Transformemos mi comunidad</v>
          </cell>
          <cell r="E513">
            <v>4</v>
          </cell>
        </row>
        <row r="514">
          <cell r="A514" t="str">
            <v>CORPORACION INTERNACIONAL DE ALIMENTOS, S.A.</v>
          </cell>
          <cell r="B514">
            <v>1878.5</v>
          </cell>
          <cell r="C514">
            <v>7776</v>
          </cell>
          <cell r="D514">
            <v>10405.5</v>
          </cell>
          <cell r="E514">
            <v>3496</v>
          </cell>
          <cell r="F514">
            <v>199</v>
          </cell>
          <cell r="G514">
            <v>562</v>
          </cell>
          <cell r="H514">
            <v>2817</v>
          </cell>
          <cell r="I514">
            <v>1033</v>
          </cell>
          <cell r="J514">
            <v>2264</v>
          </cell>
          <cell r="K514">
            <v>2918</v>
          </cell>
          <cell r="L514">
            <v>897</v>
          </cell>
          <cell r="M514">
            <v>709.5</v>
          </cell>
          <cell r="O514">
            <v>278.5</v>
          </cell>
        </row>
        <row r="515">
          <cell r="A515">
            <v>0</v>
          </cell>
          <cell r="B515">
            <v>113.5</v>
          </cell>
        </row>
        <row r="516">
          <cell r="A516" t="str">
            <v>662-IG MINISTERIO EVANGELICO EL APOSENTO ALTO (CENTRO 1)</v>
          </cell>
          <cell r="C516">
            <v>57</v>
          </cell>
        </row>
        <row r="517">
          <cell r="A517" t="str">
            <v>209 IG - TEMPLO MISIONERO CRISTO TE LLAMA</v>
          </cell>
          <cell r="D517">
            <v>112</v>
          </cell>
        </row>
        <row r="518">
          <cell r="A518" t="str">
            <v>702 - FU MINISTERIO BERAKHAH INTERNACIONAL ARRAIJAN</v>
          </cell>
          <cell r="E518">
            <v>33</v>
          </cell>
        </row>
        <row r="519">
          <cell r="A519" t="str">
            <v>298-FU - MINISTERIO FUENTE DE VIDA PARA EL PERDIDO</v>
          </cell>
          <cell r="F519">
            <v>89</v>
          </cell>
        </row>
        <row r="520">
          <cell r="A520" t="str">
            <v>479-IG IGLESIA NUEVA ESPERANZA</v>
          </cell>
          <cell r="D520">
            <v>65</v>
          </cell>
        </row>
        <row r="521">
          <cell r="A521" t="str">
            <v>104 AS - ASOCIACIÓN HOGAR FELICIDAD</v>
          </cell>
          <cell r="E521">
            <v>300</v>
          </cell>
        </row>
        <row r="522">
          <cell r="A522" t="str">
            <v>175 AS - ASOCIACIÓN RESTAURANDO VIDAS</v>
          </cell>
          <cell r="D522">
            <v>88</v>
          </cell>
        </row>
        <row r="523">
          <cell r="A523" t="str">
            <v>178 IG - TEMPLO ZURIEL EL REFUGIO</v>
          </cell>
          <cell r="G523">
            <v>215</v>
          </cell>
        </row>
        <row r="524">
          <cell r="A524" t="str">
            <v>207 IG - IGLESIA CENTRO DE VIDA CRISTIANA</v>
          </cell>
          <cell r="D524">
            <v>155</v>
          </cell>
        </row>
        <row r="525">
          <cell r="A525" t="str">
            <v>493-FU Comedor Jesús es mi Pastor</v>
          </cell>
          <cell r="D525">
            <v>30</v>
          </cell>
        </row>
        <row r="526">
          <cell r="A526" t="str">
            <v>636- FU JAH - LIVE (JAHL) - COLON</v>
          </cell>
          <cell r="H526">
            <v>1807</v>
          </cell>
        </row>
        <row r="527">
          <cell r="A527" t="str">
            <v>224 OR MISIONERAS DE LA CARIDAD DE COLON</v>
          </cell>
          <cell r="H527">
            <v>189</v>
          </cell>
        </row>
        <row r="528">
          <cell r="A528" t="str">
            <v>365-IG COMEDOR HEFZIBA</v>
          </cell>
          <cell r="I528">
            <v>536</v>
          </cell>
        </row>
        <row r="529">
          <cell r="A529" t="str">
            <v>407-IG ASOCIACION CRISTIANA INTERNACIONAL EBEN-EZER (OESTE)</v>
          </cell>
          <cell r="E529">
            <v>17</v>
          </cell>
        </row>
        <row r="530">
          <cell r="A530" t="str">
            <v>635 TEMPLO ADULAM</v>
          </cell>
          <cell r="E530">
            <v>481</v>
          </cell>
        </row>
        <row r="531">
          <cell r="A531" t="str">
            <v>470-FU IGLESIA MONTE SANTO</v>
          </cell>
          <cell r="D531">
            <v>54</v>
          </cell>
        </row>
        <row r="532">
          <cell r="A532" t="str">
            <v>687 - FU FUNDACION ARCA DE JESUS</v>
          </cell>
          <cell r="E532">
            <v>398</v>
          </cell>
        </row>
        <row r="533">
          <cell r="A533" t="str">
            <v>218 ED - LOS PREFERIDOS DEL SEÑOR (CENTRO2)</v>
          </cell>
          <cell r="C533">
            <v>1714</v>
          </cell>
        </row>
        <row r="534">
          <cell r="A534" t="str">
            <v>187 IG - IGLESIA DE DIOS DE LA PROFECÍA</v>
          </cell>
          <cell r="D534">
            <v>1474</v>
          </cell>
        </row>
        <row r="535">
          <cell r="A535" t="str">
            <v>321-IG IGLESIA DIOS ES MI PROVEEDOR Y SUSTENTO</v>
          </cell>
          <cell r="D535">
            <v>509</v>
          </cell>
        </row>
        <row r="536">
          <cell r="A536" t="str">
            <v>111 FU - FUNDACIÓN NUESTRA SEÑORA DEL CAMINO</v>
          </cell>
          <cell r="J536">
            <v>311.5</v>
          </cell>
        </row>
        <row r="537">
          <cell r="A537" t="str">
            <v>443-FU MINISTERIO BERAKHAH INTERNACIONAL COMEDOR LAS GARZAS #2</v>
          </cell>
          <cell r="D537">
            <v>6</v>
          </cell>
        </row>
        <row r="538">
          <cell r="A538" t="str">
            <v>694 - FU MINISTERIO BERAKHAH INTERNACIONAL TOCUMEN #2</v>
          </cell>
          <cell r="D538">
            <v>133</v>
          </cell>
        </row>
        <row r="539">
          <cell r="A539" t="str">
            <v>695 - FU MINISTERIO BERAKHAH INTERNACIONAL 24 DIC</v>
          </cell>
          <cell r="D539">
            <v>290</v>
          </cell>
        </row>
        <row r="540">
          <cell r="A540" t="str">
            <v>703 - FU MINISTERIO BERAKHAH INTERNACIONAL FELIPILLO #3</v>
          </cell>
          <cell r="D540">
            <v>76</v>
          </cell>
        </row>
        <row r="541">
          <cell r="A541" t="str">
            <v>444-FU MINISTERIO BERAKHAH INTERNACIONAL COMEDOR LAS GARZAS #1</v>
          </cell>
          <cell r="D541">
            <v>133</v>
          </cell>
        </row>
        <row r="542">
          <cell r="A542" t="str">
            <v>693 - FU MINISTERIO BERAKHAH INTERNACIONAL TOCUMEN #1</v>
          </cell>
          <cell r="D542">
            <v>58</v>
          </cell>
        </row>
        <row r="543">
          <cell r="A543" t="str">
            <v>366-FU CENTRO MISIONERO EL SHADAI (ESTE)</v>
          </cell>
          <cell r="D543">
            <v>1027</v>
          </cell>
        </row>
        <row r="544">
          <cell r="A544" t="str">
            <v>498-FU COMEDOR NIÑOS DE BENDICION</v>
          </cell>
          <cell r="E544">
            <v>486</v>
          </cell>
        </row>
        <row r="545">
          <cell r="A545" t="str">
            <v>288 IG MINISTERIO EVANGELISTICO DE SANACION Y RESTAURACION, SENALES, MILAGROS Y MARAVILLAS (ESTE)</v>
          </cell>
          <cell r="D545">
            <v>311</v>
          </cell>
        </row>
        <row r="546">
          <cell r="A546" t="str">
            <v>373-FU MINISTERIO INTERNACIONAL BOANERGES</v>
          </cell>
          <cell r="I546">
            <v>54</v>
          </cell>
        </row>
        <row r="547">
          <cell r="A547" t="str">
            <v>197 FU FUNDACION SOCIAL CULTURAL Y AMBIENTAL DE VERACRUZ (OESTE)</v>
          </cell>
          <cell r="E547">
            <v>205</v>
          </cell>
        </row>
        <row r="548">
          <cell r="A548" t="str">
            <v>183 ED - BELÉN CASA DE PAN (ESTE)</v>
          </cell>
          <cell r="D548">
            <v>222</v>
          </cell>
        </row>
        <row r="549">
          <cell r="A549" t="str">
            <v>701 - FU MINISTERIO BERAKHAH INTERNACIONAL LOS ANDES</v>
          </cell>
          <cell r="I549">
            <v>12</v>
          </cell>
        </row>
        <row r="550">
          <cell r="A550" t="str">
            <v>691 - AR CARITAS ARQUIDIOCESANA</v>
          </cell>
          <cell r="C550">
            <v>34</v>
          </cell>
        </row>
        <row r="551">
          <cell r="A551" t="str">
            <v>431-IG IGLESIA ADVENTISTA DISTRITO 8</v>
          </cell>
          <cell r="D551">
            <v>170</v>
          </cell>
        </row>
        <row r="552">
          <cell r="A552" t="str">
            <v>261 - AS ASOCIACIÓN MINISTERIO SIRVIENDO A LA COMUNIDAD PARA JESUCRISTO</v>
          </cell>
          <cell r="C552">
            <v>8</v>
          </cell>
        </row>
        <row r="553">
          <cell r="A553" t="str">
            <v>211 IG - IGLESIA CRISTIANA KADOSH</v>
          </cell>
          <cell r="C553">
            <v>17</v>
          </cell>
        </row>
        <row r="554">
          <cell r="A554" t="str">
            <v>643 - IG TEMPLO PUERTA DEL CIELO (CHIRIQUI)</v>
          </cell>
          <cell r="J554">
            <v>230</v>
          </cell>
        </row>
        <row r="555">
          <cell r="A555" t="str">
            <v>51 PA - PARROQUIA SAN PIO DE PIETRELCINA (ESTE)</v>
          </cell>
          <cell r="D555">
            <v>34</v>
          </cell>
        </row>
        <row r="556">
          <cell r="A556" t="str">
            <v>368-FU MINISTERIO PACTO DE SANTIDAD</v>
          </cell>
          <cell r="C556">
            <v>201</v>
          </cell>
        </row>
        <row r="557">
          <cell r="A557" t="str">
            <v>654 - IG M.I.A.F NUEVA JERUSALEN PANAMA (ESTE)</v>
          </cell>
          <cell r="D557">
            <v>92</v>
          </cell>
        </row>
        <row r="558">
          <cell r="A558" t="str">
            <v>103 IG - IGLESIA DE LA GRACIA DE DIOS</v>
          </cell>
          <cell r="I558">
            <v>6</v>
          </cell>
        </row>
        <row r="559">
          <cell r="A559" t="str">
            <v>363-FU FUNDACION MINISTERIO DEL EVANGELIO ETERNO DEL REINO (NORTE)</v>
          </cell>
          <cell r="G559">
            <v>5</v>
          </cell>
        </row>
        <row r="560">
          <cell r="A560" t="str">
            <v>487-FU FUNDACION CASA AVE MARIA</v>
          </cell>
          <cell r="E560">
            <v>477</v>
          </cell>
        </row>
        <row r="561">
          <cell r="A561" t="str">
            <v>284 - IG MINISTERIO PAN DE VIDA</v>
          </cell>
          <cell r="J561">
            <v>60</v>
          </cell>
        </row>
        <row r="562">
          <cell r="A562" t="str">
            <v>2 PA - PARROQUIA SAN JUAN MARIA VIANNEY (NORTE)</v>
          </cell>
          <cell r="I562">
            <v>79</v>
          </cell>
        </row>
        <row r="563">
          <cell r="A563" t="str">
            <v>696 - FU MINISTERIO BERAKHAH INTERNACIONAL CHEPO #1</v>
          </cell>
          <cell r="D563">
            <v>113</v>
          </cell>
        </row>
        <row r="564">
          <cell r="A564" t="str">
            <v>472-FU FUNDACION TALITA CUMI</v>
          </cell>
          <cell r="D564">
            <v>118</v>
          </cell>
        </row>
        <row r="565">
          <cell r="A565" t="str">
            <v>222 ED - MISERICORDIAR</v>
          </cell>
          <cell r="D565">
            <v>312</v>
          </cell>
        </row>
        <row r="566">
          <cell r="A566" t="str">
            <v>259 IG - ALCANCE VICTORIA PANAMÁ</v>
          </cell>
          <cell r="C566">
            <v>199</v>
          </cell>
        </row>
        <row r="567">
          <cell r="A567" t="str">
            <v>668 - FU FUNDACION CRISTIANA LA FE EN MARCHA</v>
          </cell>
          <cell r="J567">
            <v>429</v>
          </cell>
        </row>
        <row r="568">
          <cell r="A568" t="str">
            <v>379-FU Fundacion Ministerio Apostolico Manantial de Vida</v>
          </cell>
          <cell r="H568">
            <v>644</v>
          </cell>
        </row>
        <row r="569">
          <cell r="A569" t="str">
            <v>644 - IG TEMPLO SENDA DE VIDA (CHIRIQUÍ)</v>
          </cell>
          <cell r="J569">
            <v>147</v>
          </cell>
        </row>
        <row r="570">
          <cell r="A570" t="str">
            <v>387-AS Asociacion ODSSAR-OBC</v>
          </cell>
          <cell r="D570">
            <v>90</v>
          </cell>
        </row>
        <row r="571">
          <cell r="A571" t="str">
            <v>300 ED - BENEFICIARIOS</v>
          </cell>
          <cell r="D571">
            <v>1194.5</v>
          </cell>
        </row>
        <row r="572">
          <cell r="A572" t="str">
            <v>657 - FU CENTRO COMUNITARIO MONTAÑAS DE ESPERANZA (RETIRO EN EL BAP)</v>
          </cell>
          <cell r="D572">
            <v>24</v>
          </cell>
        </row>
        <row r="573">
          <cell r="A573" t="str">
            <v>630-IG MIN.INTL.DE CRISTO PAZ DE DIOS</v>
          </cell>
          <cell r="C573">
            <v>1410</v>
          </cell>
        </row>
        <row r="574">
          <cell r="A574" t="str">
            <v>260 IG - IGLESIA MISIONERA DE RESTAURACIÓN</v>
          </cell>
          <cell r="D574">
            <v>18</v>
          </cell>
        </row>
        <row r="575">
          <cell r="A575" t="str">
            <v>397-FU FUNDACION SHALOM PANAMA</v>
          </cell>
          <cell r="E575">
            <v>203</v>
          </cell>
        </row>
        <row r="576">
          <cell r="A576" t="str">
            <v>697 - FU MINISTERIO BERAKHAH INTERNACIONAL CHEPO #2</v>
          </cell>
          <cell r="D576">
            <v>69</v>
          </cell>
        </row>
        <row r="577">
          <cell r="A577" t="str">
            <v>700 - FU MINISTERIO BERAKHAH INTERNACIONAL TORRIJOS CARTER #2</v>
          </cell>
          <cell r="I577">
            <v>22</v>
          </cell>
        </row>
        <row r="578">
          <cell r="A578" t="str">
            <v>195 ED - JUNTOS PODEMOS</v>
          </cell>
          <cell r="C578">
            <v>333</v>
          </cell>
        </row>
        <row r="579">
          <cell r="A579" t="str">
            <v>653 - FU FUNDACION LUIS CARLOS DIAZ (OESTE)</v>
          </cell>
          <cell r="E579">
            <v>262</v>
          </cell>
        </row>
        <row r="580">
          <cell r="A580" t="str">
            <v>423-FU FUNDACION CONSTRUYENDO VIDAS EN PANAMA</v>
          </cell>
          <cell r="E580">
            <v>6</v>
          </cell>
        </row>
        <row r="581">
          <cell r="A581" t="str">
            <v>709 - FU FUNRECRISTO</v>
          </cell>
          <cell r="D581">
            <v>88</v>
          </cell>
        </row>
        <row r="582">
          <cell r="A582" t="str">
            <v>450-FU MINISTERIO DE RESTAURACION EFESIOS 4 (ESTE)</v>
          </cell>
          <cell r="D582">
            <v>282</v>
          </cell>
        </row>
        <row r="583">
          <cell r="A583" t="str">
            <v>235 FU - FUNDACION GRUPO ENVIADOS</v>
          </cell>
          <cell r="D583">
            <v>256</v>
          </cell>
        </row>
        <row r="584">
          <cell r="A584" t="str">
            <v>640 - FU FUNDACIÓN CRISTIANA LA FE EN MARCHA (ESTE)</v>
          </cell>
          <cell r="D584">
            <v>15</v>
          </cell>
        </row>
        <row r="585">
          <cell r="A585" t="str">
            <v>380-ED COMEDOR COMUNITARIO CASA DEL ALFARERO</v>
          </cell>
          <cell r="D585">
            <v>27</v>
          </cell>
        </row>
        <row r="586">
          <cell r="A586" t="str">
            <v>202 FU - FUNDACIÓN HOGAR SAN JOSÉ (ESTE)</v>
          </cell>
          <cell r="D586">
            <v>129</v>
          </cell>
        </row>
        <row r="587">
          <cell r="A587" t="str">
            <v>116 AS - ASOCIACIÓN IGLESIA DE CRISTO ESTRELLA CRECIENTE</v>
          </cell>
          <cell r="D587">
            <v>21</v>
          </cell>
        </row>
        <row r="588">
          <cell r="A588" t="str">
            <v>451-IG IGLESIA MANANTIAL DE VIDA (ESTE)</v>
          </cell>
          <cell r="D588">
            <v>3</v>
          </cell>
        </row>
        <row r="589">
          <cell r="A589" t="str">
            <v>469-FU MINISTERIO CRISTIANO EL SHADAI</v>
          </cell>
          <cell r="D589">
            <v>20</v>
          </cell>
        </row>
        <row r="590">
          <cell r="A590" t="str">
            <v>597- IG MINISTERIO APOSTOLICO NEMUEL INTERNACIONAL</v>
          </cell>
          <cell r="D590">
            <v>131</v>
          </cell>
        </row>
        <row r="591">
          <cell r="A591" t="str">
            <v>647 - IG CRISTO REY CAMBIANDO VIDAS (ESTE)</v>
          </cell>
          <cell r="D591">
            <v>122</v>
          </cell>
        </row>
        <row r="592">
          <cell r="A592" t="str">
            <v>417-AS CLUB DE LEONES DE PEDREGAL (ESTE)</v>
          </cell>
          <cell r="D592">
            <v>245</v>
          </cell>
        </row>
        <row r="593">
          <cell r="A593" t="str">
            <v>252 IG - MINISTERIO INTERNACIONAL DE AMISTADES CRISTIANAS</v>
          </cell>
          <cell r="D593">
            <v>170</v>
          </cell>
        </row>
        <row r="594">
          <cell r="A594" t="str">
            <v>339-AS ASOCIACION RESIDENCIA LISBETH</v>
          </cell>
          <cell r="D594">
            <v>86</v>
          </cell>
        </row>
        <row r="595">
          <cell r="A595" t="str">
            <v>144 OR - HERMANAS DE SAN JOSÉ DE LA APARICIÓN (RETIRA EN EL BANCO)</v>
          </cell>
          <cell r="D595">
            <v>290</v>
          </cell>
        </row>
        <row r="596">
          <cell r="A596" t="str">
            <v>270 FU - FUNDACIÓN MISERICORDIA DE DON BOSCO (OESTE)</v>
          </cell>
          <cell r="E596">
            <v>68</v>
          </cell>
        </row>
        <row r="597">
          <cell r="A597" t="str">
            <v>698 - FU MINISTERIO BERAKHAH INTERNACIONAL PASO BLANCO</v>
          </cell>
          <cell r="D597">
            <v>21</v>
          </cell>
        </row>
        <row r="598">
          <cell r="A598" t="str">
            <v>381-FU FUNDAMIDOM</v>
          </cell>
          <cell r="E598">
            <v>55</v>
          </cell>
        </row>
        <row r="599">
          <cell r="A599" t="str">
            <v>491-FU Fundación Aleluya</v>
          </cell>
          <cell r="G599">
            <v>36</v>
          </cell>
        </row>
        <row r="600">
          <cell r="A600" t="str">
            <v>642 - IG IGLESIA VIDA (CENTRO 1)</v>
          </cell>
          <cell r="C600">
            <v>19</v>
          </cell>
        </row>
        <row r="601">
          <cell r="A601" t="str">
            <v>681 - FU FUNDACION NUEVA SOCIEDAD (NORTE)</v>
          </cell>
          <cell r="I601">
            <v>74</v>
          </cell>
        </row>
        <row r="602">
          <cell r="A602" t="str">
            <v>94 OR - HOGAR SAN FRANCISCO DE ASÍS</v>
          </cell>
          <cell r="J602">
            <v>101.5</v>
          </cell>
        </row>
        <row r="603">
          <cell r="A603" t="str">
            <v>671 - PA DIOCESIS DE PENONOME (COCLE)</v>
          </cell>
          <cell r="K603">
            <v>59</v>
          </cell>
        </row>
        <row r="604">
          <cell r="A604" t="str">
            <v>377-FU CENTRO CRISTIANO CASA DE DIOS PANAMA</v>
          </cell>
          <cell r="G604">
            <v>20</v>
          </cell>
        </row>
        <row r="605">
          <cell r="A605" t="str">
            <v>Retiro de Merma</v>
          </cell>
          <cell r="B605">
            <v>1765</v>
          </cell>
        </row>
        <row r="606">
          <cell r="A606" t="str">
            <v>415-AS CLUB DE LEONES DE CHITRE</v>
          </cell>
          <cell r="L606">
            <v>58.5</v>
          </cell>
        </row>
        <row r="607">
          <cell r="A607" t="str">
            <v>656 - FU FUNDACION COCINA DEL REINO Y AMIGOS (CENTRO 1)</v>
          </cell>
          <cell r="C607">
            <v>121</v>
          </cell>
        </row>
        <row r="608">
          <cell r="A608" t="str">
            <v>364-IG COMEDOR SHEKINA</v>
          </cell>
          <cell r="K608">
            <v>1057</v>
          </cell>
        </row>
        <row r="609">
          <cell r="A609" t="str">
            <v>595-FU CENTRO DE LA MUJER Y LA NIÑEZ</v>
          </cell>
          <cell r="C609">
            <v>53</v>
          </cell>
        </row>
        <row r="610">
          <cell r="A610" t="str">
            <v>193 OR - FUNDACIÓN UNCIÓN FRESCA</v>
          </cell>
          <cell r="E610">
            <v>9</v>
          </cell>
        </row>
        <row r="611">
          <cell r="A611" t="str">
            <v>672 - FU FUNDACION NUEVO PACTO POR LA NIÑEZ</v>
          </cell>
          <cell r="C611">
            <v>65</v>
          </cell>
        </row>
        <row r="612">
          <cell r="A612" t="str">
            <v>118 FU - FUNDACIÓN UN NUEVO AMANECER</v>
          </cell>
          <cell r="E612">
            <v>74</v>
          </cell>
        </row>
        <row r="613">
          <cell r="A613" t="str">
            <v>669 - IG IGLESIA CAMINO DE SANTIDAD (COLON)</v>
          </cell>
          <cell r="H613">
            <v>13</v>
          </cell>
        </row>
        <row r="614">
          <cell r="A614" t="str">
            <v>360-IG IGLESIA CRISTIANA CASA DE REUNION</v>
          </cell>
          <cell r="G614">
            <v>58</v>
          </cell>
        </row>
        <row r="615">
          <cell r="A615" t="str">
            <v>263 IG TABERNÁCULO DE DIOS DE SAN MIGUEL DEL EXQUISITO</v>
          </cell>
          <cell r="J615">
            <v>324</v>
          </cell>
        </row>
        <row r="616">
          <cell r="A616" t="str">
            <v>719 FU FUNDACION VIDA NUEVA EL SHADDAI</v>
          </cell>
          <cell r="G616">
            <v>228</v>
          </cell>
        </row>
        <row r="617">
          <cell r="A617" t="str">
            <v>54 FU - FUNDACIÓN CASA HOGAR EL BUEN SAMARITANO</v>
          </cell>
          <cell r="D617">
            <v>255</v>
          </cell>
        </row>
        <row r="618">
          <cell r="A618" t="str">
            <v>710 - AS CLUB DE LEONES DE SONA</v>
          </cell>
          <cell r="M618">
            <v>303.5</v>
          </cell>
        </row>
        <row r="619">
          <cell r="A619" t="str">
            <v>684 - FU FUNDACION CASA DEL REY JESUS (CENTRO 2)</v>
          </cell>
          <cell r="C619">
            <v>998</v>
          </cell>
        </row>
        <row r="620">
          <cell r="A620" t="str">
            <v>723 ASOCIACION AQUI ESTOY</v>
          </cell>
          <cell r="E620">
            <v>62</v>
          </cell>
        </row>
        <row r="621">
          <cell r="A621" t="str">
            <v>596 IG- IGLESIA EVANGELICA TRINITARIA DIOS FUENTE DE PODER</v>
          </cell>
          <cell r="C621">
            <v>152</v>
          </cell>
        </row>
        <row r="622">
          <cell r="A622" t="str">
            <v>707 - FU MINISTERIO BERAKHAH INTERNACIONAL CAIMITILLO</v>
          </cell>
          <cell r="I622">
            <v>26</v>
          </cell>
        </row>
        <row r="623">
          <cell r="A623" t="str">
            <v>229 PA - PARROQUIA SAN CRISTOBAL DE CHEPO</v>
          </cell>
          <cell r="D623">
            <v>417</v>
          </cell>
        </row>
        <row r="624">
          <cell r="A624" t="str">
            <v>157-FU FUNDACION COMEDOR INFANTIL SENDEROS (CENTRO1)</v>
          </cell>
          <cell r="C624">
            <v>164</v>
          </cell>
        </row>
        <row r="625">
          <cell r="A625" t="str">
            <v>166 FU - FUNDACION CURAME</v>
          </cell>
          <cell r="C625">
            <v>155</v>
          </cell>
        </row>
        <row r="626">
          <cell r="A626" t="str">
            <v>390-FU FUNDACION CRISTIANA FAMILIAR EL TALLER DEL MAESTRO (CENTRO1)</v>
          </cell>
          <cell r="C626">
            <v>38</v>
          </cell>
        </row>
        <row r="627">
          <cell r="A627" t="str">
            <v>730-FU SOLIDARIDAD Y DESARROLLO DE PANAMA (VERAGUAS)</v>
          </cell>
          <cell r="M627">
            <v>97</v>
          </cell>
        </row>
        <row r="628">
          <cell r="A628" t="str">
            <v>215 IG - IGLESIA INTERNACIONAL DEL EVANGELIO CUADRANGULAR DE (CHIRIQUÍ)</v>
          </cell>
          <cell r="J628">
            <v>7</v>
          </cell>
        </row>
        <row r="629">
          <cell r="A629" t="str">
            <v>737- ASOCIACION CRISTIANA EBEN-EZER (ESTE)</v>
          </cell>
          <cell r="D629">
            <v>195</v>
          </cell>
        </row>
        <row r="630">
          <cell r="A630" t="str">
            <v>738- IG MINISTERIO DIOS CON NOSOTROS EMANUEL</v>
          </cell>
          <cell r="D630">
            <v>171</v>
          </cell>
        </row>
        <row r="631">
          <cell r="A631" t="str">
            <v>743- ED CLUB FAMILIA DEPORTIVA</v>
          </cell>
          <cell r="C631">
            <v>24</v>
          </cell>
        </row>
        <row r="632">
          <cell r="A632" t="str">
            <v>733-IG LA ORACION FUERTE AL ESPIRITU SANTO</v>
          </cell>
          <cell r="C632">
            <v>53</v>
          </cell>
        </row>
        <row r="633">
          <cell r="A633" t="str">
            <v>745-FU CASA DE MISERICORDIA</v>
          </cell>
          <cell r="C633">
            <v>60</v>
          </cell>
        </row>
        <row r="634">
          <cell r="A634" t="str">
            <v>748-IG MINISTERIO JESUCRISTO ES EL PAN DE VIDA</v>
          </cell>
          <cell r="I634">
            <v>11</v>
          </cell>
        </row>
        <row r="635">
          <cell r="A635" t="str">
            <v>741-IG BUNKER DE ESPERANZA</v>
          </cell>
          <cell r="D635">
            <v>91</v>
          </cell>
        </row>
        <row r="636">
          <cell r="A636" t="str">
            <v>749-IG Ministerio Tabernáculo de Santidad Internación (Guararé)</v>
          </cell>
          <cell r="M636">
            <v>35</v>
          </cell>
        </row>
        <row r="637">
          <cell r="A637" t="str">
            <v>750-IG MTSI Santiago</v>
          </cell>
          <cell r="M637">
            <v>174</v>
          </cell>
        </row>
        <row r="638">
          <cell r="A638" t="str">
            <v>613-FU FUNDACION INMARE</v>
          </cell>
          <cell r="K638">
            <v>956.5</v>
          </cell>
        </row>
        <row r="639">
          <cell r="A639" t="str">
            <v>760-FU AYUDAME A VIVIR</v>
          </cell>
          <cell r="I639">
            <v>76</v>
          </cell>
        </row>
        <row r="640">
          <cell r="A640" t="str">
            <v>281-FU FUNDACIÓN CAMBIO CREATIVO</v>
          </cell>
          <cell r="H640">
            <v>91</v>
          </cell>
        </row>
        <row r="641">
          <cell r="A641" t="str">
            <v>759-FU SOLO ES CUESTION DE FE</v>
          </cell>
          <cell r="D641">
            <v>32</v>
          </cell>
        </row>
        <row r="642">
          <cell r="A642" t="str">
            <v>275 IG CONCILIO GENERAL DE LAS ASAMBLEAS DE DIOS DE PANAMÁ</v>
          </cell>
          <cell r="C642">
            <v>332</v>
          </cell>
        </row>
        <row r="643">
          <cell r="A643" t="str">
            <v>752-IG Ministerio Tabernáculo De Santidad Internacional (Chitre)</v>
          </cell>
          <cell r="L643">
            <v>71.5</v>
          </cell>
        </row>
        <row r="644">
          <cell r="A644" t="str">
            <v>758-FU RESTAURANDO EL PRIMER AMOR</v>
          </cell>
          <cell r="I644">
            <v>5</v>
          </cell>
        </row>
        <row r="645">
          <cell r="A645" t="str">
            <v>201 OR - MISIONERAS MADRE LAURA</v>
          </cell>
          <cell r="C645">
            <v>102</v>
          </cell>
        </row>
        <row r="646">
          <cell r="A646" t="str">
            <v>765-IG EXPANSION MISIONERA RIOS DE AGUA VIVA</v>
          </cell>
          <cell r="L646">
            <v>337</v>
          </cell>
        </row>
        <row r="647">
          <cell r="A647" t="str">
            <v>766-IG MINISTERIO BET-EL</v>
          </cell>
          <cell r="O647">
            <v>250</v>
          </cell>
        </row>
        <row r="648">
          <cell r="A648" t="str">
            <v>785-FU FUNDACION GOTAS DE ESPERANZA</v>
          </cell>
          <cell r="E648">
            <v>96</v>
          </cell>
        </row>
        <row r="649">
          <cell r="A649" t="str">
            <v>394-IG IGLESIA ESCUADRONES DEL EJERCITO DE DIOS (CENTRO2)</v>
          </cell>
          <cell r="C649">
            <v>127</v>
          </cell>
        </row>
        <row r="650">
          <cell r="A650" t="str">
            <v>789-FU Fundación Rescate de Alimentos</v>
          </cell>
          <cell r="C650">
            <v>181</v>
          </cell>
        </row>
        <row r="651">
          <cell r="A651" t="str">
            <v>424-AS MINISTERIO EL PODER DE LA SANGRE QUE LIBERTA (ESTE)</v>
          </cell>
          <cell r="D651">
            <v>3</v>
          </cell>
        </row>
        <row r="652">
          <cell r="A652" t="str">
            <v>793-FU Fundación Príncipes de Jehová</v>
          </cell>
          <cell r="I652">
            <v>41</v>
          </cell>
        </row>
        <row r="653">
          <cell r="A653" t="str">
            <v>791-FU FUNDACION DIVINO NINO JESUS DE MI CORAZON</v>
          </cell>
          <cell r="D653">
            <v>57</v>
          </cell>
        </row>
        <row r="654">
          <cell r="A654" t="str">
            <v>69 FU - FUNDACIÓN VIDA ABUNDANTE</v>
          </cell>
          <cell r="C654">
            <v>215</v>
          </cell>
        </row>
        <row r="655">
          <cell r="A655" t="str">
            <v>598- IG IGLESIA GLORIA TRANSFORMADORA SHEKINAH</v>
          </cell>
          <cell r="E655">
            <v>48</v>
          </cell>
        </row>
        <row r="656">
          <cell r="A656" t="str">
            <v>138 OR - HERMANAS FRANCISCANAS DE MARIA INMACULADALA</v>
          </cell>
          <cell r="H656">
            <v>73</v>
          </cell>
        </row>
        <row r="657">
          <cell r="A657" t="str">
            <v>3 IG - IGLESIA DEL NAZARENO</v>
          </cell>
          <cell r="E657">
            <v>26</v>
          </cell>
        </row>
        <row r="658">
          <cell r="A658" t="str">
            <v>232 IG MINISTERIO TIEMPO DE COSECHA</v>
          </cell>
          <cell r="I658">
            <v>33</v>
          </cell>
        </row>
        <row r="659">
          <cell r="A659" t="str">
            <v>797-IG Templo Bendicion de Jehova</v>
          </cell>
          <cell r="I659">
            <v>21</v>
          </cell>
        </row>
        <row r="660">
          <cell r="A660" t="str">
            <v>804-IG Templo Misionero Eclesiastés</v>
          </cell>
          <cell r="I660">
            <v>4</v>
          </cell>
        </row>
        <row r="661">
          <cell r="A661" t="str">
            <v>661 - FU FUNDACION MAS INTEGRADOS (DARIEN)</v>
          </cell>
          <cell r="F661">
            <v>87</v>
          </cell>
        </row>
        <row r="662">
          <cell r="A662" t="str">
            <v>753-AS CLUB ACTIVO 20-30 DE CHITRE</v>
          </cell>
          <cell r="L662">
            <v>14</v>
          </cell>
        </row>
        <row r="663">
          <cell r="A663" t="str">
            <v>240 PA - PARROQUIA SAN JOSÉ - PESE</v>
          </cell>
          <cell r="L663">
            <v>150.5</v>
          </cell>
        </row>
        <row r="664">
          <cell r="A664" t="str">
            <v>735-AS CHICHICA</v>
          </cell>
          <cell r="K664">
            <v>740</v>
          </cell>
        </row>
        <row r="665">
          <cell r="A665" t="str">
            <v>20 FU - REMAR (CENTRO1)</v>
          </cell>
          <cell r="C665">
            <v>59</v>
          </cell>
        </row>
        <row r="666">
          <cell r="A666" t="str">
            <v>253 FU - FUNDACIÓN PARA EL BIENESTAR SOCIAL (CENTRO2)</v>
          </cell>
          <cell r="C666">
            <v>356</v>
          </cell>
        </row>
        <row r="667">
          <cell r="A667" t="str">
            <v>463-FU MINISTERIO BERAKHAH INTERNACIONAL COMEDOR OASIS DE ESPERANZA (ESTE)</v>
          </cell>
          <cell r="D667">
            <v>12</v>
          </cell>
        </row>
        <row r="668">
          <cell r="A668" t="str">
            <v>650 - IG ASOCIACION CRISTIANA EBEN - EZER #27 (ESTE)</v>
          </cell>
          <cell r="D668">
            <v>36</v>
          </cell>
        </row>
        <row r="669">
          <cell r="A669" t="str">
            <v>375-FU Ministerio a Dios sea la Gloria</v>
          </cell>
          <cell r="C669">
            <v>123</v>
          </cell>
        </row>
        <row r="670">
          <cell r="A670" t="str">
            <v>802-IG IGLESIA INTERNACIONAL DEL EVANGELIO CUADRANGULAR DE PANAMÁ</v>
          </cell>
          <cell r="C670">
            <v>48</v>
          </cell>
        </row>
        <row r="671">
          <cell r="A671" t="str">
            <v>227 FU - AID FOR AIDS PANAMÁ</v>
          </cell>
          <cell r="C671">
            <v>6</v>
          </cell>
        </row>
        <row r="672">
          <cell r="A672" t="str">
            <v>814-IG Templo Morada Santa</v>
          </cell>
          <cell r="F672">
            <v>23</v>
          </cell>
        </row>
        <row r="673">
          <cell r="A673" t="str">
            <v>185 FU - FUNDACIÓN ABIA YALA</v>
          </cell>
          <cell r="C673">
            <v>30</v>
          </cell>
        </row>
        <row r="674">
          <cell r="A674" t="str">
            <v>786-FU ACADEMIA DE FUTBOL ROMAN TORRES</v>
          </cell>
          <cell r="C674">
            <v>70</v>
          </cell>
        </row>
        <row r="675">
          <cell r="A675" t="str">
            <v>496-AS CUERPO DE VOLUNTARIAS DEL HOSPITAL DEL NIÑO</v>
          </cell>
          <cell r="C675">
            <v>160</v>
          </cell>
        </row>
        <row r="676">
          <cell r="A676" t="str">
            <v>734-FU MINISTERIO DE SALVACION EL CAMINO DE DIOS</v>
          </cell>
          <cell r="I676">
            <v>33</v>
          </cell>
        </row>
        <row r="677">
          <cell r="A677" t="str">
            <v>392-FU Fundacion Jerusalen Trono de Jehova III</v>
          </cell>
          <cell r="E677">
            <v>106</v>
          </cell>
        </row>
        <row r="678">
          <cell r="A678" t="str">
            <v>641 - IG IGLESIA EVANGELICA QUIRIAT SALEM (ESTE)</v>
          </cell>
          <cell r="D678">
            <v>83</v>
          </cell>
        </row>
        <row r="679">
          <cell r="A679" t="str">
            <v>471-FU FUNDACION BUSCANDO UNA OPORTUNIDAD</v>
          </cell>
          <cell r="E679">
            <v>84</v>
          </cell>
        </row>
        <row r="680">
          <cell r="A680" t="str">
            <v>5 AS - ASOCIACIÓN DAME UNA OPORTUNIDAD</v>
          </cell>
          <cell r="C680">
            <v>92</v>
          </cell>
        </row>
        <row r="681">
          <cell r="A681" t="str">
            <v>756-FU Fundación Nuevas Rutas</v>
          </cell>
          <cell r="J681">
            <v>612</v>
          </cell>
        </row>
        <row r="682">
          <cell r="A682" t="str">
            <v>708 - FU MINISTERIO BERAKHAH INTERNACIONAL GUARARE</v>
          </cell>
          <cell r="O682">
            <v>28.5</v>
          </cell>
        </row>
        <row r="683">
          <cell r="A683" t="str">
            <v>341-PA PARROQUIA SANTIAGO APOSTOL ALANJE (CHIRIQUÍ)</v>
          </cell>
          <cell r="J683">
            <v>14</v>
          </cell>
        </row>
        <row r="684">
          <cell r="A684" t="str">
            <v>114 FU - FUNDACION TEEN CHALLENGE PANAMA</v>
          </cell>
          <cell r="L684">
            <v>100</v>
          </cell>
        </row>
        <row r="685">
          <cell r="A685" t="str">
            <v>422-AS Club de Leones de Penonome</v>
          </cell>
          <cell r="K685">
            <v>16</v>
          </cell>
        </row>
        <row r="686">
          <cell r="A686" t="str">
            <v>828-IG IDN LAS TINAJAS</v>
          </cell>
          <cell r="J686">
            <v>28</v>
          </cell>
        </row>
        <row r="687">
          <cell r="A687" t="str">
            <v>813-IG Comedor Centro De Esperanza Elohim</v>
          </cell>
          <cell r="K687">
            <v>57.5</v>
          </cell>
        </row>
        <row r="688">
          <cell r="A688" t="str">
            <v>770-IG CENTRO CRISTIANO NUEVA VIDA</v>
          </cell>
          <cell r="K688">
            <v>32</v>
          </cell>
        </row>
        <row r="689">
          <cell r="A689" t="str">
            <v>728-FU ANCEC SANTIAGO</v>
          </cell>
          <cell r="M689">
            <v>100</v>
          </cell>
        </row>
        <row r="690">
          <cell r="A690" t="str">
            <v>821-IG Ministerio de Adoracion Y Restauracion Guardadores del Pacto</v>
          </cell>
          <cell r="L690">
            <v>107</v>
          </cell>
        </row>
        <row r="691">
          <cell r="A691" t="str">
            <v>731-FU CENTRO DE NIÑOS DOWN</v>
          </cell>
          <cell r="L691">
            <v>58.5</v>
          </cell>
        </row>
        <row r="692">
          <cell r="A692" t="str">
            <v>245-FU MINISTERIO BERAKHAH INTERNACIONAL CUENTA PRINCIPAL</v>
          </cell>
          <cell r="D692">
            <v>170</v>
          </cell>
        </row>
        <row r="693">
          <cell r="A693" t="str">
            <v>FELIPE MOTTA, S.A</v>
          </cell>
          <cell r="B693">
            <v>0.95</v>
          </cell>
          <cell r="C693">
            <v>81</v>
          </cell>
          <cell r="D693">
            <v>113</v>
          </cell>
          <cell r="E693">
            <v>35</v>
          </cell>
          <cell r="F693">
            <v>1</v>
          </cell>
          <cell r="G693">
            <v>16</v>
          </cell>
          <cell r="H693">
            <v>28</v>
          </cell>
          <cell r="I693">
            <v>19</v>
          </cell>
          <cell r="J693">
            <v>3</v>
          </cell>
        </row>
        <row r="694">
          <cell r="A694" t="str">
            <v>178 IG - TEMPLO ZURIEL EL REFUGIO</v>
          </cell>
          <cell r="G694">
            <v>12</v>
          </cell>
        </row>
        <row r="695">
          <cell r="A695" t="str">
            <v>207 IG - IGLESIA CENTRO DE VIDA CRISTIANA</v>
          </cell>
          <cell r="D695">
            <v>5</v>
          </cell>
        </row>
        <row r="696">
          <cell r="A696" t="str">
            <v>636- FU JAH - LIVE (JAHL) - COLON</v>
          </cell>
          <cell r="H696">
            <v>23</v>
          </cell>
        </row>
        <row r="697">
          <cell r="A697" t="str">
            <v>224 OR MISIONERAS DE LA CARIDAD DE COLON</v>
          </cell>
          <cell r="H697">
            <v>5</v>
          </cell>
        </row>
        <row r="698">
          <cell r="A698" t="str">
            <v>365-IG COMEDOR HEFZIBA</v>
          </cell>
          <cell r="I698">
            <v>10</v>
          </cell>
        </row>
        <row r="699">
          <cell r="A699" t="str">
            <v>635 TEMPLO ADULAM</v>
          </cell>
          <cell r="E699">
            <v>8</v>
          </cell>
        </row>
        <row r="700">
          <cell r="A700" t="str">
            <v>687 - FU FUNDACION ARCA DE JESUS</v>
          </cell>
          <cell r="E700">
            <v>3</v>
          </cell>
        </row>
        <row r="701">
          <cell r="A701" t="str">
            <v>218 ED - LOS PREFERIDOS DEL SEÑOR (CENTRO2)</v>
          </cell>
          <cell r="C701">
            <v>9</v>
          </cell>
        </row>
        <row r="702">
          <cell r="A702" t="str">
            <v>187 IG - IGLESIA DE DIOS DE LA PROFECÍA</v>
          </cell>
          <cell r="D702">
            <v>30</v>
          </cell>
        </row>
        <row r="703">
          <cell r="A703" t="str">
            <v>321-IG IGLESIA DIOS ES MI PROVEEDOR Y SUSTENTO</v>
          </cell>
          <cell r="D703">
            <v>15</v>
          </cell>
        </row>
        <row r="704">
          <cell r="A704" t="str">
            <v>366-FU CENTRO MISIONERO EL SHADAI (ESTE)</v>
          </cell>
          <cell r="D704">
            <v>13</v>
          </cell>
        </row>
        <row r="705">
          <cell r="A705" t="str">
            <v>498-FU COMEDOR NIÑOS DE BENDICION</v>
          </cell>
          <cell r="E705">
            <v>8</v>
          </cell>
        </row>
        <row r="706">
          <cell r="A706" t="str">
            <v>197 FU FUNDACION SOCIAL CULTURAL Y AMBIENTAL DE VERACRUZ (OESTE)</v>
          </cell>
          <cell r="E706">
            <v>3</v>
          </cell>
        </row>
        <row r="707">
          <cell r="A707" t="str">
            <v>183 ED - BELÉN CASA DE PAN (ESTE)</v>
          </cell>
          <cell r="D707">
            <v>8</v>
          </cell>
        </row>
        <row r="708">
          <cell r="A708" t="str">
            <v>431-IG IGLESIA ADVENTISTA DISTRITO 8</v>
          </cell>
          <cell r="D708">
            <v>1</v>
          </cell>
        </row>
        <row r="709">
          <cell r="A709" t="str">
            <v>487-FU FUNDACION CASA AVE MARIA</v>
          </cell>
          <cell r="E709">
            <v>10</v>
          </cell>
        </row>
        <row r="710">
          <cell r="A710" t="str">
            <v>668 - FU FUNDACION CRISTIANA LA FE EN MARCHA</v>
          </cell>
          <cell r="J710">
            <v>3</v>
          </cell>
        </row>
        <row r="711">
          <cell r="A711" t="str">
            <v>630-IG MIN.INTL.DE CRISTO PAZ DE DIOS</v>
          </cell>
          <cell r="C711">
            <v>22</v>
          </cell>
        </row>
        <row r="712">
          <cell r="A712" t="str">
            <v>647 - IG CRISTO REY CAMBIANDO VIDAS (ESTE)</v>
          </cell>
          <cell r="D712">
            <v>5</v>
          </cell>
        </row>
        <row r="713">
          <cell r="A713" t="str">
            <v>252 IG - MINISTERIO INTERNACIONAL DE AMISTADES CRISTIANAS</v>
          </cell>
          <cell r="D713">
            <v>4</v>
          </cell>
        </row>
        <row r="714">
          <cell r="A714" t="str">
            <v>144 OR - HERMANAS DE SAN JOSÉ DE LA APARICIÓN (RETIRA EN EL BANCO)</v>
          </cell>
          <cell r="D714">
            <v>13</v>
          </cell>
        </row>
        <row r="715">
          <cell r="A715" t="str">
            <v>681 - FU FUNDACION NUEVA SOCIEDAD (NORTE)</v>
          </cell>
          <cell r="I715">
            <v>9</v>
          </cell>
        </row>
        <row r="716">
          <cell r="A716" t="str">
            <v>Retiro de Merma</v>
          </cell>
          <cell r="B716">
            <v>0.95</v>
          </cell>
        </row>
        <row r="717">
          <cell r="A717" t="str">
            <v>656 - FU FUNDACION COCINA DEL REINO Y AMIGOS (CENTRO 1)</v>
          </cell>
          <cell r="C717">
            <v>3</v>
          </cell>
        </row>
        <row r="718">
          <cell r="A718" t="str">
            <v>719 FU FUNDACION VIDA NUEVA EL SHADDAI</v>
          </cell>
          <cell r="G718">
            <v>4</v>
          </cell>
        </row>
        <row r="719">
          <cell r="A719" t="str">
            <v>684 - FU FUNDACION CASA DEL REY JESUS (CENTRO 2)</v>
          </cell>
          <cell r="C719">
            <v>21</v>
          </cell>
        </row>
        <row r="720">
          <cell r="A720" t="str">
            <v>229 PA - PARROQUIA SAN CRISTOBAL DE CHEPO</v>
          </cell>
          <cell r="D720">
            <v>5</v>
          </cell>
        </row>
        <row r="721">
          <cell r="A721" t="str">
            <v>737- ASOCIACION CRISTIANA EBEN-EZER (ESTE)</v>
          </cell>
          <cell r="D721">
            <v>9</v>
          </cell>
        </row>
        <row r="722">
          <cell r="A722" t="str">
            <v>275 IG CONCILIO GENERAL DE LAS ASAMBLEAS DE DIOS DE PANAMÁ</v>
          </cell>
          <cell r="C722">
            <v>9</v>
          </cell>
        </row>
        <row r="723">
          <cell r="A723" t="str">
            <v>201 OR - MISIONERAS MADRE LAURA</v>
          </cell>
          <cell r="C723">
            <v>9</v>
          </cell>
        </row>
        <row r="724">
          <cell r="A724" t="str">
            <v>394-IG IGLESIA ESCUADRONES DEL EJERCITO DE DIOS (CENTRO2)</v>
          </cell>
          <cell r="C724">
            <v>5</v>
          </cell>
        </row>
        <row r="725">
          <cell r="A725" t="str">
            <v>598- IG IGLESIA GLORIA TRANSFORMADORA SHEKINAH</v>
          </cell>
          <cell r="E725">
            <v>3</v>
          </cell>
        </row>
        <row r="726">
          <cell r="A726" t="str">
            <v>661 - FU FUNDACION MAS INTEGRADOS (DARIEN)</v>
          </cell>
          <cell r="F726">
            <v>1</v>
          </cell>
        </row>
        <row r="727">
          <cell r="A727" t="str">
            <v>375-FU Ministerio a Dios sea la Gloria</v>
          </cell>
          <cell r="C727">
            <v>3</v>
          </cell>
        </row>
        <row r="728">
          <cell r="A728" t="str">
            <v>245-FU MINISTERIO BERAKHAH INTERNACIONAL CUENTA PRINCIPAL</v>
          </cell>
          <cell r="D728">
            <v>5</v>
          </cell>
        </row>
        <row r="729">
          <cell r="A729" t="str">
            <v>ORDEN DE MALTA PANAMA ASOCIACION PANAMEÑA</v>
          </cell>
          <cell r="C729">
            <v>719</v>
          </cell>
          <cell r="D729">
            <v>991</v>
          </cell>
          <cell r="E729">
            <v>130</v>
          </cell>
          <cell r="F729">
            <v>15</v>
          </cell>
          <cell r="G729">
            <v>75</v>
          </cell>
          <cell r="I729">
            <v>5</v>
          </cell>
          <cell r="J729">
            <v>294</v>
          </cell>
          <cell r="K729">
            <v>210</v>
          </cell>
          <cell r="L729">
            <v>266</v>
          </cell>
          <cell r="M729">
            <v>70</v>
          </cell>
          <cell r="O729">
            <v>28</v>
          </cell>
        </row>
        <row r="730">
          <cell r="A730" t="str">
            <v>662-IG MINISTERIO EVANGELICO EL APOSENTO ALTO (CENTRO 1)</v>
          </cell>
          <cell r="C730">
            <v>15</v>
          </cell>
        </row>
        <row r="731">
          <cell r="A731" t="str">
            <v>702 - FU MINISTERIO BERAKHAH INTERNACIONAL ARRAIJAN</v>
          </cell>
          <cell r="E731">
            <v>20</v>
          </cell>
        </row>
        <row r="732">
          <cell r="A732" t="str">
            <v>298-FU - MINISTERIO FUENTE DE VIDA PARA EL PERDIDO</v>
          </cell>
          <cell r="F732">
            <v>15</v>
          </cell>
        </row>
        <row r="733">
          <cell r="A733" t="str">
            <v>175 AS - ASOCIACIÓN RESTAURANDO VIDAS</v>
          </cell>
          <cell r="D733">
            <v>25</v>
          </cell>
        </row>
        <row r="734">
          <cell r="A734" t="str">
            <v>178 IG - TEMPLO ZURIEL EL REFUGIO</v>
          </cell>
          <cell r="G734">
            <v>40</v>
          </cell>
        </row>
        <row r="735">
          <cell r="A735" t="str">
            <v>687 - FU FUNDACION ARCA DE JESUS</v>
          </cell>
          <cell r="E735">
            <v>60</v>
          </cell>
        </row>
        <row r="736">
          <cell r="A736" t="str">
            <v>218 ED - LOS PREFERIDOS DEL SEÑOR (CENTRO2)</v>
          </cell>
          <cell r="C736">
            <v>504</v>
          </cell>
        </row>
        <row r="737">
          <cell r="A737" t="str">
            <v>695 - FU MINISTERIO BERAKHAH INTERNACIONAL 24 DIC</v>
          </cell>
          <cell r="D737">
            <v>35</v>
          </cell>
        </row>
        <row r="738">
          <cell r="A738" t="str">
            <v>703 - FU MINISTERIO BERAKHAH INTERNACIONAL FELIPILLO #3</v>
          </cell>
          <cell r="D738">
            <v>20</v>
          </cell>
        </row>
        <row r="739">
          <cell r="A739" t="str">
            <v>654 - IG M.I.A.F NUEVA JERUSALEN PANAMA (ESTE)</v>
          </cell>
          <cell r="D739">
            <v>60</v>
          </cell>
        </row>
        <row r="740">
          <cell r="A740" t="str">
            <v>284 - IG MINISTERIO PAN DE VIDA</v>
          </cell>
          <cell r="J740">
            <v>14</v>
          </cell>
        </row>
        <row r="741">
          <cell r="A741" t="str">
            <v>2 PA - PARROQUIA SAN JUAN MARIA VIANNEY (NORTE)</v>
          </cell>
          <cell r="I741">
            <v>5</v>
          </cell>
        </row>
        <row r="742">
          <cell r="A742" t="str">
            <v>696 - FU MINISTERIO BERAKHAH INTERNACIONAL CHEPO #1</v>
          </cell>
          <cell r="D742">
            <v>35</v>
          </cell>
        </row>
        <row r="743">
          <cell r="A743" t="str">
            <v>668 - FU FUNDACION CRISTIANA LA FE EN MARCHA</v>
          </cell>
          <cell r="J743">
            <v>154</v>
          </cell>
        </row>
        <row r="744">
          <cell r="A744" t="str">
            <v>300 ED - BENEFICIARIOS</v>
          </cell>
          <cell r="D744">
            <v>576</v>
          </cell>
        </row>
        <row r="745">
          <cell r="A745" t="str">
            <v>397-FU FUNDACION SHALOM PANAMA</v>
          </cell>
          <cell r="E745">
            <v>50</v>
          </cell>
        </row>
        <row r="746">
          <cell r="A746" t="str">
            <v>697 - FU MINISTERIO BERAKHAH INTERNACIONAL CHEPO #2</v>
          </cell>
          <cell r="D746">
            <v>40</v>
          </cell>
        </row>
        <row r="747">
          <cell r="A747" t="str">
            <v>709 - FU FUNRECRISTO</v>
          </cell>
          <cell r="D747">
            <v>20</v>
          </cell>
        </row>
        <row r="748">
          <cell r="A748" t="str">
            <v>597- IG MINISTERIO APOSTOLICO NEMUEL INTERNACIONAL</v>
          </cell>
          <cell r="D748">
            <v>35</v>
          </cell>
        </row>
        <row r="749">
          <cell r="A749" t="str">
            <v>698 - FU MINISTERIO BERAKHAH INTERNACIONAL PASO BLANCO</v>
          </cell>
          <cell r="D749">
            <v>95</v>
          </cell>
        </row>
        <row r="750">
          <cell r="A750" t="str">
            <v>364-IG COMEDOR SHEKINA</v>
          </cell>
          <cell r="K750">
            <v>42</v>
          </cell>
        </row>
        <row r="751">
          <cell r="A751" t="str">
            <v>595-FU CENTRO DE LA MUJER Y LA NIÑEZ</v>
          </cell>
          <cell r="C751">
            <v>20</v>
          </cell>
        </row>
        <row r="752">
          <cell r="A752" t="str">
            <v>360-IG IGLESIA CRISTIANA CASA DE REUNION</v>
          </cell>
          <cell r="G752">
            <v>20</v>
          </cell>
        </row>
        <row r="753">
          <cell r="A753" t="str">
            <v>719 FU FUNDACION VIDA NUEVA EL SHADDAI</v>
          </cell>
          <cell r="G753">
            <v>15</v>
          </cell>
        </row>
        <row r="754">
          <cell r="A754" t="str">
            <v>54 FU - FUNDACIÓN CASA HOGAR EL BUEN SAMARITANO</v>
          </cell>
          <cell r="D754">
            <v>50</v>
          </cell>
        </row>
        <row r="755">
          <cell r="A755" t="str">
            <v>730-FU SOLIDARIDAD Y DESARROLLO DE PANAMA (VERAGUAS)</v>
          </cell>
          <cell r="M755">
            <v>28</v>
          </cell>
        </row>
        <row r="756">
          <cell r="A756" t="str">
            <v>749-IG Ministerio Tabernáculo de Santidad Internación (Guararé)</v>
          </cell>
          <cell r="M756">
            <v>42</v>
          </cell>
        </row>
        <row r="757">
          <cell r="A757" t="str">
            <v>613-FU FUNDACION INMARE</v>
          </cell>
          <cell r="K757">
            <v>56</v>
          </cell>
        </row>
        <row r="758">
          <cell r="A758" t="str">
            <v>752-IG Ministerio Tabernáculo De Santidad Internacional (Chitre)</v>
          </cell>
          <cell r="L758">
            <v>14</v>
          </cell>
        </row>
        <row r="759">
          <cell r="A759" t="str">
            <v>765-IG EXPANSION MISIONERA RIOS DE AGUA VIVA</v>
          </cell>
          <cell r="L759">
            <v>42</v>
          </cell>
        </row>
        <row r="760">
          <cell r="A760" t="str">
            <v>789-FU Fundación Rescate de Alimentos</v>
          </cell>
          <cell r="C760">
            <v>30</v>
          </cell>
        </row>
        <row r="761">
          <cell r="A761" t="str">
            <v>69 FU - FUNDACIÓN VIDA ABUNDANTE</v>
          </cell>
          <cell r="C761">
            <v>150</v>
          </cell>
        </row>
        <row r="762">
          <cell r="A762" t="str">
            <v>753-AS CLUB ACTIVO 20-30 DE CHITRE</v>
          </cell>
          <cell r="L762">
            <v>168</v>
          </cell>
        </row>
        <row r="763">
          <cell r="A763" t="str">
            <v>735-AS CHICHICA</v>
          </cell>
          <cell r="K763">
            <v>28</v>
          </cell>
        </row>
        <row r="764">
          <cell r="A764" t="str">
            <v>756-FU Fundación Nuevas Rutas</v>
          </cell>
          <cell r="J764">
            <v>112</v>
          </cell>
        </row>
        <row r="765">
          <cell r="A765" t="str">
            <v>708 - FU MINISTERIO BERAKHAH INTERNACIONAL GUARARE</v>
          </cell>
          <cell r="O765">
            <v>28</v>
          </cell>
        </row>
        <row r="766">
          <cell r="A766" t="str">
            <v>114 FU - FUNDACION TEEN CHALLENGE PANAMA</v>
          </cell>
          <cell r="L766">
            <v>42</v>
          </cell>
        </row>
        <row r="767">
          <cell r="A767" t="str">
            <v>422-AS Club de Leones de Penonome</v>
          </cell>
          <cell r="K767">
            <v>70</v>
          </cell>
        </row>
        <row r="768">
          <cell r="A768" t="str">
            <v>828-IG IDN LAS TINAJAS</v>
          </cell>
          <cell r="J768">
            <v>14</v>
          </cell>
        </row>
        <row r="769">
          <cell r="A769" t="str">
            <v>813-IG Comedor Centro De Esperanza Elohim</v>
          </cell>
          <cell r="K769">
            <v>14</v>
          </cell>
        </row>
        <row r="770">
          <cell r="A770" t="str">
            <v>Grupo Calesa</v>
          </cell>
          <cell r="C770">
            <v>34</v>
          </cell>
          <cell r="D770">
            <v>46</v>
          </cell>
          <cell r="E770">
            <v>9</v>
          </cell>
          <cell r="G770">
            <v>8</v>
          </cell>
          <cell r="H770">
            <v>6</v>
          </cell>
          <cell r="I770">
            <v>2</v>
          </cell>
        </row>
        <row r="771">
          <cell r="A771" t="str">
            <v>702 - FU MINISTERIO BERAKHAH INTERNACIONAL ARRAIJAN</v>
          </cell>
          <cell r="E771">
            <v>2</v>
          </cell>
        </row>
        <row r="772">
          <cell r="A772" t="str">
            <v>178 IG - TEMPLO ZURIEL EL REFUGIO</v>
          </cell>
          <cell r="G772">
            <v>4</v>
          </cell>
        </row>
        <row r="773">
          <cell r="A773" t="str">
            <v>493-FU Comedor Jesús es mi Pastor</v>
          </cell>
          <cell r="D773">
            <v>4</v>
          </cell>
        </row>
        <row r="774">
          <cell r="A774" t="str">
            <v>187 IG - IGLESIA DE DIOS DE LA PROFECÍA</v>
          </cell>
          <cell r="D774">
            <v>4</v>
          </cell>
        </row>
        <row r="775">
          <cell r="A775" t="str">
            <v>321-IG IGLESIA DIOS ES MI PROVEEDOR Y SUSTENTO</v>
          </cell>
          <cell r="D775">
            <v>8</v>
          </cell>
        </row>
        <row r="776">
          <cell r="A776" t="str">
            <v>695 - FU MINISTERIO BERAKHAH INTERNACIONAL 24 DIC</v>
          </cell>
          <cell r="D776">
            <v>4</v>
          </cell>
        </row>
        <row r="777">
          <cell r="A777" t="str">
            <v>261 - AS ASOCIACIÓN MINISTERIO SIRVIENDO A LA COMUNIDAD PARA JESUCRISTO</v>
          </cell>
          <cell r="C777">
            <v>2</v>
          </cell>
        </row>
        <row r="778">
          <cell r="A778" t="str">
            <v>363-FU FUNDACION MINISTERIO DEL EVANGELIO ETERNO DEL REINO (NORTE)</v>
          </cell>
          <cell r="G778">
            <v>4</v>
          </cell>
        </row>
        <row r="779">
          <cell r="A779" t="str">
            <v>487-FU FUNDACION CASA AVE MARIA</v>
          </cell>
          <cell r="E779">
            <v>2</v>
          </cell>
        </row>
        <row r="780">
          <cell r="A780" t="str">
            <v>696 - FU MINISTERIO BERAKHAH INTERNACIONAL CHEPO #1</v>
          </cell>
          <cell r="D780">
            <v>2</v>
          </cell>
        </row>
        <row r="781">
          <cell r="A781" t="str">
            <v>472-FU FUNDACION TALITA CUMI</v>
          </cell>
          <cell r="D781">
            <v>2</v>
          </cell>
        </row>
        <row r="782">
          <cell r="A782" t="str">
            <v>379-FU Fundacion Ministerio Apostolico Manantial de Vida</v>
          </cell>
          <cell r="H782">
            <v>6</v>
          </cell>
        </row>
        <row r="783">
          <cell r="A783" t="str">
            <v>387-AS Asociacion ODSSAR-OBC</v>
          </cell>
          <cell r="D783">
            <v>10</v>
          </cell>
        </row>
        <row r="784">
          <cell r="A784" t="str">
            <v>697 - FU MINISTERIO BERAKHAH INTERNACIONAL CHEPO #2</v>
          </cell>
          <cell r="D784">
            <v>2</v>
          </cell>
        </row>
        <row r="785">
          <cell r="A785" t="str">
            <v>252 IG - MINISTERIO INTERNACIONAL DE AMISTADES CRISTIANAS</v>
          </cell>
          <cell r="D785">
            <v>2</v>
          </cell>
        </row>
        <row r="786">
          <cell r="A786" t="str">
            <v>381-FU FUNDAMIDOM</v>
          </cell>
          <cell r="E786">
            <v>5</v>
          </cell>
        </row>
        <row r="787">
          <cell r="A787" t="str">
            <v>642 - IG IGLESIA VIDA (CENTRO 1)</v>
          </cell>
          <cell r="C787">
            <v>2</v>
          </cell>
        </row>
        <row r="788">
          <cell r="A788" t="str">
            <v>681 - FU FUNDACION NUEVA SOCIEDAD (NORTE)</v>
          </cell>
          <cell r="I788">
            <v>2</v>
          </cell>
        </row>
        <row r="789">
          <cell r="A789" t="str">
            <v>684 - FU FUNDACION CASA DEL REY JESUS (CENTRO 2)</v>
          </cell>
          <cell r="C789">
            <v>4</v>
          </cell>
        </row>
        <row r="790">
          <cell r="A790" t="str">
            <v>596 IG- IGLESIA EVANGELICA TRINITARIA DIOS FUENTE DE PODER</v>
          </cell>
          <cell r="C790">
            <v>2</v>
          </cell>
        </row>
        <row r="791">
          <cell r="A791" t="str">
            <v>229 PA - PARROQUIA SAN CRISTOBAL DE CHEPO</v>
          </cell>
          <cell r="D791">
            <v>4</v>
          </cell>
        </row>
        <row r="792">
          <cell r="A792" t="str">
            <v>390-FU FUNDACION CRISTIANA FAMILIAR EL TALLER DEL MAESTRO (CENTRO1)</v>
          </cell>
          <cell r="C792">
            <v>6</v>
          </cell>
        </row>
        <row r="793">
          <cell r="A793" t="str">
            <v>738- IG MINISTERIO DIOS CON NOSOTROS EMANUEL</v>
          </cell>
          <cell r="D793">
            <v>2</v>
          </cell>
        </row>
        <row r="794">
          <cell r="A794" t="str">
            <v>745-FU CASA DE MISERICORDIA</v>
          </cell>
          <cell r="C794">
            <v>2</v>
          </cell>
        </row>
        <row r="795">
          <cell r="A795" t="str">
            <v>789-FU Fundación Rescate de Alimentos</v>
          </cell>
          <cell r="C795">
            <v>4</v>
          </cell>
        </row>
        <row r="796">
          <cell r="A796" t="str">
            <v>424-AS MINISTERIO EL PODER DE LA SANGRE QUE LIBERTA (ESTE)</v>
          </cell>
          <cell r="D796">
            <v>2</v>
          </cell>
        </row>
        <row r="797">
          <cell r="A797" t="str">
            <v>375-FU Ministerio a Dios sea la Gloria</v>
          </cell>
          <cell r="C797">
            <v>6</v>
          </cell>
        </row>
        <row r="798">
          <cell r="A798" t="str">
            <v>185 FU - FUNDACIÓN ABIA YALA</v>
          </cell>
          <cell r="C798">
            <v>6</v>
          </cell>
        </row>
        <row r="799">
          <cell r="A799" t="str">
            <v>NESTLE PANAMA</v>
          </cell>
          <cell r="B799">
            <v>24.6</v>
          </cell>
          <cell r="C799">
            <v>3790</v>
          </cell>
          <cell r="D799">
            <v>5243.5</v>
          </cell>
          <cell r="E799">
            <v>1838.5</v>
          </cell>
          <cell r="F799">
            <v>99.5</v>
          </cell>
          <cell r="G799">
            <v>514</v>
          </cell>
          <cell r="H799">
            <v>1722.5</v>
          </cell>
          <cell r="I799">
            <v>526</v>
          </cell>
          <cell r="J799">
            <v>4735</v>
          </cell>
          <cell r="K799">
            <v>5338</v>
          </cell>
          <cell r="L799">
            <v>190</v>
          </cell>
          <cell r="M799">
            <v>190</v>
          </cell>
          <cell r="O799">
            <v>30</v>
          </cell>
        </row>
        <row r="800">
          <cell r="A800" t="str">
            <v>662-IG MINISTERIO EVANGELICO EL APOSENTO ALTO (CENTRO 1)</v>
          </cell>
          <cell r="C800">
            <v>9.5</v>
          </cell>
        </row>
        <row r="801">
          <cell r="A801" t="str">
            <v>209 IG - TEMPLO MISIONERO CRISTO TE LLAMA</v>
          </cell>
          <cell r="D801">
            <v>62</v>
          </cell>
        </row>
        <row r="802">
          <cell r="A802" t="str">
            <v>702 - FU MINISTERIO BERAKHAH INTERNACIONAL ARRAIJAN</v>
          </cell>
          <cell r="E802">
            <v>18</v>
          </cell>
        </row>
        <row r="803">
          <cell r="A803" t="str">
            <v>298-FU - MINISTERIO FUENTE DE VIDA PARA EL PERDIDO</v>
          </cell>
          <cell r="F803">
            <v>58</v>
          </cell>
        </row>
        <row r="804">
          <cell r="A804" t="str">
            <v>479-IG IGLESIA NUEVA ESPERANZA</v>
          </cell>
          <cell r="D804">
            <v>22.5</v>
          </cell>
        </row>
        <row r="805">
          <cell r="A805" t="str">
            <v>104 AS - ASOCIACIÓN HOGAR FELICIDAD</v>
          </cell>
          <cell r="E805">
            <v>35.5</v>
          </cell>
        </row>
        <row r="806">
          <cell r="A806" t="str">
            <v>175 AS - ASOCIACIÓN RESTAURANDO VIDAS</v>
          </cell>
          <cell r="D806">
            <v>18</v>
          </cell>
        </row>
        <row r="807">
          <cell r="A807" t="str">
            <v>178 IG - TEMPLO ZURIEL EL REFUGIO</v>
          </cell>
          <cell r="G807">
            <v>335.5</v>
          </cell>
        </row>
        <row r="808">
          <cell r="A808" t="str">
            <v>207 IG - IGLESIA CENTRO DE VIDA CRISTIANA</v>
          </cell>
          <cell r="D808">
            <v>152</v>
          </cell>
        </row>
        <row r="809">
          <cell r="A809" t="str">
            <v>636- FU JAH - LIVE (JAHL) - COLON</v>
          </cell>
          <cell r="H809">
            <v>1187</v>
          </cell>
        </row>
        <row r="810">
          <cell r="A810" t="str">
            <v>224 OR MISIONERAS DE LA CARIDAD DE COLON</v>
          </cell>
          <cell r="H810">
            <v>88</v>
          </cell>
        </row>
        <row r="811">
          <cell r="A811" t="str">
            <v>365-IG COMEDOR HEFZIBA</v>
          </cell>
          <cell r="I811">
            <v>232.5</v>
          </cell>
        </row>
        <row r="812">
          <cell r="A812" t="str">
            <v>635 TEMPLO ADULAM</v>
          </cell>
          <cell r="E812">
            <v>258</v>
          </cell>
        </row>
        <row r="813">
          <cell r="A813" t="str">
            <v>470-FU IGLESIA MONTE SANTO</v>
          </cell>
          <cell r="D813">
            <v>80</v>
          </cell>
        </row>
        <row r="814">
          <cell r="A814" t="str">
            <v>687 - FU FUNDACION ARCA DE JESUS</v>
          </cell>
          <cell r="E814">
            <v>275</v>
          </cell>
        </row>
        <row r="815">
          <cell r="A815" t="str">
            <v>218 ED - LOS PREFERIDOS DEL SEÑOR (CENTRO2)</v>
          </cell>
          <cell r="C815">
            <v>536</v>
          </cell>
        </row>
        <row r="816">
          <cell r="A816" t="str">
            <v>187 IG - IGLESIA DE DIOS DE LA PROFECÍA</v>
          </cell>
          <cell r="D816">
            <v>1195.5</v>
          </cell>
        </row>
        <row r="817">
          <cell r="A817" t="str">
            <v>321-IG IGLESIA DIOS ES MI PROVEEDOR Y SUSTENTO</v>
          </cell>
          <cell r="D817">
            <v>464</v>
          </cell>
        </row>
        <row r="818">
          <cell r="A818" t="str">
            <v>111 FU - FUNDACIÓN NUESTRA SEÑORA DEL CAMINO</v>
          </cell>
          <cell r="J818">
            <v>65</v>
          </cell>
        </row>
        <row r="819">
          <cell r="A819" t="str">
            <v>694 - FU MINISTERIO BERAKHAH INTERNACIONAL TOCUMEN #2</v>
          </cell>
          <cell r="D819">
            <v>97</v>
          </cell>
        </row>
        <row r="820">
          <cell r="A820" t="str">
            <v>695 - FU MINISTERIO BERAKHAH INTERNACIONAL 24 DIC</v>
          </cell>
          <cell r="D820">
            <v>62</v>
          </cell>
        </row>
        <row r="821">
          <cell r="A821" t="str">
            <v>693 - FU MINISTERIO BERAKHAH INTERNACIONAL TOCUMEN #1</v>
          </cell>
          <cell r="D821">
            <v>57</v>
          </cell>
        </row>
        <row r="822">
          <cell r="A822" t="str">
            <v>366-FU CENTRO MISIONERO EL SHADAI (ESTE)</v>
          </cell>
          <cell r="D822">
            <v>528</v>
          </cell>
        </row>
        <row r="823">
          <cell r="A823" t="str">
            <v>498-FU COMEDOR NIÑOS DE BENDICION</v>
          </cell>
          <cell r="E823">
            <v>308</v>
          </cell>
        </row>
        <row r="824">
          <cell r="A824" t="str">
            <v>288 IG MINISTERIO EVANGELISTICO DE SANACION Y RESTAURACION, SENALES, MILAGROS Y MARAVILLAS (ESTE)</v>
          </cell>
          <cell r="D824">
            <v>114</v>
          </cell>
        </row>
        <row r="825">
          <cell r="A825" t="str">
            <v>373-FU MINISTERIO INTERNACIONAL BOANERGES</v>
          </cell>
          <cell r="I825">
            <v>4</v>
          </cell>
        </row>
        <row r="826">
          <cell r="A826" t="str">
            <v>197 FU FUNDACION SOCIAL CULTURAL Y AMBIENTAL DE VERACRUZ (OESTE)</v>
          </cell>
          <cell r="E826">
            <v>93</v>
          </cell>
        </row>
        <row r="827">
          <cell r="A827" t="str">
            <v>183 ED - BELÉN CASA DE PAN (ESTE)</v>
          </cell>
          <cell r="D827">
            <v>160.5</v>
          </cell>
        </row>
        <row r="828">
          <cell r="A828" t="str">
            <v>701 - FU MINISTERIO BERAKHAH INTERNACIONAL LOS ANDES</v>
          </cell>
          <cell r="I828">
            <v>9.5</v>
          </cell>
        </row>
        <row r="829">
          <cell r="A829" t="str">
            <v>431-IG IGLESIA ADVENTISTA DISTRITO 8</v>
          </cell>
          <cell r="D829">
            <v>19</v>
          </cell>
        </row>
        <row r="830">
          <cell r="A830" t="str">
            <v>261 - AS ASOCIACIÓN MINISTERIO SIRVIENDO A LA COMUNIDAD PARA JESUCRISTO</v>
          </cell>
          <cell r="C830">
            <v>9.5</v>
          </cell>
        </row>
        <row r="831">
          <cell r="A831" t="str">
            <v>643 - IG TEMPLO PUERTA DEL CIELO (CHIRIQUI)</v>
          </cell>
          <cell r="J831">
            <v>44</v>
          </cell>
        </row>
        <row r="832">
          <cell r="A832" t="str">
            <v>51 PA - PARROQUIA SAN PIO DE PIETRELCINA (ESTE)</v>
          </cell>
          <cell r="D832">
            <v>8.5</v>
          </cell>
        </row>
        <row r="833">
          <cell r="A833" t="str">
            <v>368-FU MINISTERIO PACTO DE SANTIDAD</v>
          </cell>
          <cell r="C833">
            <v>222</v>
          </cell>
        </row>
        <row r="834">
          <cell r="A834" t="str">
            <v>654 - IG M.I.A.F NUEVA JERUSALEN PANAMA (ESTE)</v>
          </cell>
          <cell r="D834">
            <v>53</v>
          </cell>
        </row>
        <row r="835">
          <cell r="A835" t="str">
            <v>363-FU FUNDACION MINISTERIO DEL EVANGELIO ETERNO DEL REINO (NORTE)</v>
          </cell>
          <cell r="G835">
            <v>9.5</v>
          </cell>
        </row>
        <row r="836">
          <cell r="A836" t="str">
            <v>487-FU FUNDACION CASA AVE MARIA</v>
          </cell>
          <cell r="E836">
            <v>264.5</v>
          </cell>
        </row>
        <row r="837">
          <cell r="A837" t="str">
            <v>284 - IG MINISTERIO PAN DE VIDA</v>
          </cell>
          <cell r="J837">
            <v>909.5</v>
          </cell>
        </row>
        <row r="838">
          <cell r="A838" t="str">
            <v>2 PA - PARROQUIA SAN JUAN MARIA VIANNEY (NORTE)</v>
          </cell>
          <cell r="I838">
            <v>71</v>
          </cell>
        </row>
        <row r="839">
          <cell r="A839" t="str">
            <v>696 - FU MINISTERIO BERAKHAH INTERNACIONAL CHEPO #1</v>
          </cell>
          <cell r="D839">
            <v>5</v>
          </cell>
        </row>
        <row r="840">
          <cell r="A840" t="str">
            <v>472-FU FUNDACION TALITA CUMI</v>
          </cell>
          <cell r="D840">
            <v>100.5</v>
          </cell>
        </row>
        <row r="841">
          <cell r="A841" t="str">
            <v>222 ED - MISERICORDIAR</v>
          </cell>
          <cell r="D841">
            <v>78</v>
          </cell>
        </row>
        <row r="842">
          <cell r="A842" t="str">
            <v>259 IG - ALCANCE VICTORIA PANAMÁ</v>
          </cell>
          <cell r="C842">
            <v>52.5</v>
          </cell>
        </row>
        <row r="843">
          <cell r="A843" t="str">
            <v>668 - FU FUNDACION CRISTIANA LA FE EN MARCHA</v>
          </cell>
          <cell r="J843">
            <v>3213.5</v>
          </cell>
        </row>
        <row r="844">
          <cell r="A844" t="str">
            <v>379-FU Fundacion Ministerio Apostolico Manantial de Vida</v>
          </cell>
          <cell r="H844">
            <v>374</v>
          </cell>
        </row>
        <row r="845">
          <cell r="A845" t="str">
            <v>644 - IG TEMPLO SENDA DE VIDA (CHIRIQUÍ)</v>
          </cell>
          <cell r="J845">
            <v>15</v>
          </cell>
        </row>
        <row r="846">
          <cell r="A846" t="str">
            <v>387-AS Asociacion ODSSAR-OBC</v>
          </cell>
          <cell r="D846">
            <v>22.5</v>
          </cell>
        </row>
        <row r="847">
          <cell r="A847" t="str">
            <v>300 ED - BENEFICIARIOS</v>
          </cell>
          <cell r="D847">
            <v>201.5</v>
          </cell>
        </row>
        <row r="848">
          <cell r="A848" t="str">
            <v>630-IG MIN.INTL.DE CRISTO PAZ DE DIOS</v>
          </cell>
          <cell r="C848">
            <v>1366.5</v>
          </cell>
        </row>
        <row r="849">
          <cell r="A849" t="str">
            <v>397-FU FUNDACION SHALOM PANAMA</v>
          </cell>
          <cell r="E849">
            <v>60</v>
          </cell>
        </row>
        <row r="850">
          <cell r="A850" t="str">
            <v>697 - FU MINISTERIO BERAKHAH INTERNACIONAL CHEPO #2</v>
          </cell>
          <cell r="D850">
            <v>19</v>
          </cell>
        </row>
        <row r="851">
          <cell r="A851" t="str">
            <v>700 - FU MINISTERIO BERAKHAH INTERNACIONAL TORRIJOS CARTER #2</v>
          </cell>
          <cell r="I851">
            <v>28.5</v>
          </cell>
        </row>
        <row r="852">
          <cell r="A852" t="str">
            <v>195 ED - JUNTOS PODEMOS</v>
          </cell>
          <cell r="C852">
            <v>70</v>
          </cell>
        </row>
        <row r="853">
          <cell r="A853" t="str">
            <v>709 - FU FUNRECRISTO</v>
          </cell>
          <cell r="D853">
            <v>27</v>
          </cell>
        </row>
        <row r="854">
          <cell r="A854" t="str">
            <v>670 - FU FUNDACION MINISTERIIO CRISTIANO EL REINO DE DIOS (ESTE)</v>
          </cell>
          <cell r="D854">
            <v>35</v>
          </cell>
        </row>
        <row r="855">
          <cell r="A855" t="str">
            <v>450-FU MINISTERIO DE RESTAURACION EFESIOS 4 (ESTE)</v>
          </cell>
          <cell r="D855">
            <v>129</v>
          </cell>
        </row>
        <row r="856">
          <cell r="A856" t="str">
            <v>235 FU - FUNDACION GRUPO ENVIADOS</v>
          </cell>
          <cell r="D856">
            <v>102</v>
          </cell>
        </row>
        <row r="857">
          <cell r="A857" t="str">
            <v>202 FU - FUNDACIÓN HOGAR SAN JOSÉ (ESTE)</v>
          </cell>
          <cell r="D857">
            <v>69.5</v>
          </cell>
        </row>
        <row r="858">
          <cell r="A858" t="str">
            <v>116 AS - ASOCIACIÓN IGLESIA DE CRISTO ESTRELLA CRECIENTE</v>
          </cell>
          <cell r="D858">
            <v>13.5</v>
          </cell>
        </row>
        <row r="859">
          <cell r="A859" t="str">
            <v>469-FU MINISTERIO CRISTIANO EL SHADAI</v>
          </cell>
          <cell r="D859">
            <v>11</v>
          </cell>
        </row>
        <row r="860">
          <cell r="A860" t="str">
            <v>597- IG MINISTERIO APOSTOLICO NEMUEL INTERNACIONAL</v>
          </cell>
          <cell r="D860">
            <v>71.5</v>
          </cell>
        </row>
        <row r="861">
          <cell r="A861" t="str">
            <v>647 - IG CRISTO REY CAMBIANDO VIDAS (ESTE)</v>
          </cell>
          <cell r="D861">
            <v>29</v>
          </cell>
        </row>
        <row r="862">
          <cell r="A862" t="str">
            <v>417-AS CLUB DE LEONES DE PEDREGAL (ESTE)</v>
          </cell>
          <cell r="D862">
            <v>131.5</v>
          </cell>
        </row>
        <row r="863">
          <cell r="A863" t="str">
            <v>252 IG - MINISTERIO INTERNACIONAL DE AMISTADES CRISTIANAS</v>
          </cell>
          <cell r="D863">
            <v>91</v>
          </cell>
        </row>
        <row r="864">
          <cell r="A864" t="str">
            <v>339-AS ASOCIACION RESIDENCIA LISBETH</v>
          </cell>
          <cell r="D864">
            <v>74.5</v>
          </cell>
        </row>
        <row r="865">
          <cell r="A865" t="str">
            <v>144 OR - HERMANAS DE SAN JOSÉ DE LA APARICIÓN (RETIRA EN EL BANCO)</v>
          </cell>
          <cell r="D865">
            <v>175</v>
          </cell>
        </row>
        <row r="866">
          <cell r="A866" t="str">
            <v>270 FU - FUNDACIÓN MISERICORDIA DE DON BOSCO (OESTE)</v>
          </cell>
          <cell r="E866">
            <v>14.5</v>
          </cell>
        </row>
        <row r="867">
          <cell r="A867" t="str">
            <v>698 - FU MINISTERIO BERAKHAH INTERNACIONAL PASO BLANCO</v>
          </cell>
          <cell r="D867">
            <v>36</v>
          </cell>
        </row>
        <row r="868">
          <cell r="A868" t="str">
            <v>381-FU FUNDAMIDOM</v>
          </cell>
          <cell r="E868">
            <v>39.5</v>
          </cell>
        </row>
        <row r="869">
          <cell r="A869" t="str">
            <v>491-FU Fundación Aleluya</v>
          </cell>
          <cell r="G869">
            <v>14.5</v>
          </cell>
        </row>
        <row r="870">
          <cell r="A870" t="str">
            <v>681 - FU FUNDACION NUEVA SOCIEDAD (NORTE)</v>
          </cell>
          <cell r="I870">
            <v>84</v>
          </cell>
        </row>
        <row r="871">
          <cell r="A871" t="str">
            <v>671 - PA DIOCESIS DE PENONOME (COCLE)</v>
          </cell>
          <cell r="K871">
            <v>45</v>
          </cell>
        </row>
        <row r="872">
          <cell r="A872" t="str">
            <v>Retiro de Merma</v>
          </cell>
          <cell r="B872">
            <v>24.6</v>
          </cell>
        </row>
        <row r="873">
          <cell r="A873" t="str">
            <v>656 - FU FUNDACION COCINA DEL REINO Y AMIGOS (CENTRO 1)</v>
          </cell>
          <cell r="C873">
            <v>93</v>
          </cell>
        </row>
        <row r="874">
          <cell r="A874" t="str">
            <v>364-IG COMEDOR SHEKINA</v>
          </cell>
          <cell r="K874">
            <v>1119</v>
          </cell>
        </row>
        <row r="875">
          <cell r="A875" t="str">
            <v>595-FU CENTRO DE LA MUJER Y LA NIÑEZ</v>
          </cell>
          <cell r="C875">
            <v>46</v>
          </cell>
        </row>
        <row r="876">
          <cell r="A876" t="str">
            <v>193 OR - FUNDACIÓN UNCIÓN FRESCA</v>
          </cell>
          <cell r="E876">
            <v>73</v>
          </cell>
        </row>
        <row r="877">
          <cell r="A877" t="str">
            <v>672 - FU FUNDACION NUEVO PACTO POR LA NIÑEZ</v>
          </cell>
          <cell r="C877">
            <v>45</v>
          </cell>
        </row>
        <row r="878">
          <cell r="A878" t="str">
            <v>118 FU - FUNDACIÓN UN NUEVO AMANECER</v>
          </cell>
          <cell r="E878">
            <v>10</v>
          </cell>
        </row>
        <row r="879">
          <cell r="A879" t="str">
            <v>669 - IG IGLESIA CAMINO DE SANTIDAD (COLON)</v>
          </cell>
          <cell r="H879">
            <v>6</v>
          </cell>
        </row>
        <row r="880">
          <cell r="A880" t="str">
            <v>360-IG IGLESIA CRISTIANA CASA DE REUNION</v>
          </cell>
          <cell r="G880">
            <v>47.5</v>
          </cell>
        </row>
        <row r="881">
          <cell r="A881" t="str">
            <v>263 IG TABERNÁCULO DE DIOS DE SAN MIGUEL DEL EXQUISITO</v>
          </cell>
          <cell r="J881">
            <v>74</v>
          </cell>
        </row>
        <row r="882">
          <cell r="A882" t="str">
            <v>719 FU FUNDACION VIDA NUEVA EL SHADDAI</v>
          </cell>
          <cell r="G882">
            <v>107</v>
          </cell>
        </row>
        <row r="883">
          <cell r="A883" t="str">
            <v>54 FU - FUNDACIÓN CASA HOGAR EL BUEN SAMARITANO</v>
          </cell>
          <cell r="D883">
            <v>244</v>
          </cell>
        </row>
        <row r="884">
          <cell r="A884" t="str">
            <v>710 - AS CLUB DE LEONES DE SONA</v>
          </cell>
          <cell r="M884">
            <v>38</v>
          </cell>
        </row>
        <row r="885">
          <cell r="A885" t="str">
            <v>684 - FU FUNDACION CASA DEL REY JESUS (CENTRO 2)</v>
          </cell>
          <cell r="C885">
            <v>595</v>
          </cell>
        </row>
        <row r="886">
          <cell r="A886" t="str">
            <v>723 ASOCIACION AQUI ESTOY</v>
          </cell>
          <cell r="E886">
            <v>13.5</v>
          </cell>
        </row>
        <row r="887">
          <cell r="A887" t="str">
            <v>596 IG- IGLESIA EVANGELICA TRINITARIA DIOS FUENTE DE PODER</v>
          </cell>
          <cell r="C887">
            <v>17</v>
          </cell>
        </row>
        <row r="888">
          <cell r="A888" t="str">
            <v>707 - FU MINISTERIO BERAKHAH INTERNACIONAL CAIMITILLO</v>
          </cell>
          <cell r="I888">
            <v>26</v>
          </cell>
        </row>
        <row r="889">
          <cell r="A889" t="str">
            <v>229 PA - PARROQUIA SAN CRISTOBAL DE CHEPO</v>
          </cell>
          <cell r="D889">
            <v>56.5</v>
          </cell>
        </row>
        <row r="890">
          <cell r="A890" t="str">
            <v>166 FU - FUNDACION CURAME</v>
          </cell>
          <cell r="C890">
            <v>28.5</v>
          </cell>
        </row>
        <row r="891">
          <cell r="A891" t="str">
            <v>390-FU FUNDACION CRISTIANA FAMILIAR EL TALLER DEL MAESTRO (CENTRO1)</v>
          </cell>
          <cell r="C891">
            <v>12.5</v>
          </cell>
        </row>
        <row r="892">
          <cell r="A892" t="str">
            <v>730-FU SOLIDARIDAD Y DESARROLLO DE PANAMA (VERAGUAS)</v>
          </cell>
          <cell r="M892">
            <v>63</v>
          </cell>
        </row>
        <row r="893">
          <cell r="A893" t="str">
            <v>737- ASOCIACION CRISTIANA EBEN-EZER (ESTE)</v>
          </cell>
          <cell r="D893">
            <v>86</v>
          </cell>
        </row>
        <row r="894">
          <cell r="A894" t="str">
            <v>738- IG MINISTERIO DIOS CON NOSOTROS EMANUEL</v>
          </cell>
          <cell r="D894">
            <v>19.5</v>
          </cell>
        </row>
        <row r="895">
          <cell r="A895" t="str">
            <v>743- ED CLUB FAMILIA DEPORTIVA</v>
          </cell>
          <cell r="C895">
            <v>29</v>
          </cell>
        </row>
        <row r="896">
          <cell r="A896" t="str">
            <v>733-IG LA ORACION FUERTE AL ESPIRITU SANTO</v>
          </cell>
          <cell r="C896">
            <v>9.5</v>
          </cell>
        </row>
        <row r="897">
          <cell r="A897" t="str">
            <v>745-FU CASA DE MISERICORDIA</v>
          </cell>
          <cell r="C897">
            <v>9.5</v>
          </cell>
        </row>
        <row r="898">
          <cell r="A898" t="str">
            <v>741-IG BUNKER DE ESPERANZA</v>
          </cell>
          <cell r="D898">
            <v>51.5</v>
          </cell>
        </row>
        <row r="899">
          <cell r="A899" t="str">
            <v>749-IG Ministerio Tabernáculo de Santidad Internación (Guararé)</v>
          </cell>
          <cell r="M899">
            <v>38</v>
          </cell>
        </row>
        <row r="900">
          <cell r="A900" t="str">
            <v>750-IG MTSI Santiago</v>
          </cell>
          <cell r="M900">
            <v>19</v>
          </cell>
        </row>
        <row r="901">
          <cell r="A901" t="str">
            <v>613-FU FUNDACION INMARE</v>
          </cell>
          <cell r="K901">
            <v>4108</v>
          </cell>
        </row>
        <row r="902">
          <cell r="A902" t="str">
            <v>760-FU AYUDAME A VIVIR</v>
          </cell>
          <cell r="I902">
            <v>25.5</v>
          </cell>
        </row>
        <row r="903">
          <cell r="A903" t="str">
            <v>281-FU FUNDACIÓN CAMBIO CREATIVO</v>
          </cell>
          <cell r="H903">
            <v>35</v>
          </cell>
        </row>
        <row r="904">
          <cell r="A904" t="str">
            <v>275 IG CONCILIO GENERAL DE LAS ASAMBLEAS DE DIOS DE PANAMÁ</v>
          </cell>
          <cell r="C904">
            <v>103</v>
          </cell>
        </row>
        <row r="905">
          <cell r="A905" t="str">
            <v>201 OR - MISIONERAS MADRE LAURA</v>
          </cell>
          <cell r="C905">
            <v>48.5</v>
          </cell>
        </row>
        <row r="906">
          <cell r="A906" t="str">
            <v>765-IG EXPANSION MISIONERA RIOS DE AGUA VIVA</v>
          </cell>
          <cell r="L906">
            <v>171</v>
          </cell>
        </row>
        <row r="907">
          <cell r="A907" t="str">
            <v>766-IG MINISTERIO BET-EL</v>
          </cell>
          <cell r="O907">
            <v>25</v>
          </cell>
        </row>
        <row r="908">
          <cell r="A908" t="str">
            <v>785-FU FUNDACION GOTAS DE ESPERANZA</v>
          </cell>
          <cell r="E908">
            <v>92</v>
          </cell>
        </row>
        <row r="909">
          <cell r="A909" t="str">
            <v>394-IG IGLESIA ESCUADRONES DEL EJERCITO DE DIOS (CENTRO2)</v>
          </cell>
          <cell r="C909">
            <v>38.5</v>
          </cell>
        </row>
        <row r="910">
          <cell r="A910" t="str">
            <v>789-FU Fundación Rescate de Alimentos</v>
          </cell>
          <cell r="C910">
            <v>39</v>
          </cell>
        </row>
        <row r="911">
          <cell r="A911" t="str">
            <v>424-AS MINISTERIO EL PODER DE LA SANGRE QUE LIBERTA (ESTE)</v>
          </cell>
          <cell r="D911">
            <v>36</v>
          </cell>
        </row>
        <row r="912">
          <cell r="A912" t="str">
            <v>791-FU FUNDACION DIVINO NINO JESUS DE MI CORAZON</v>
          </cell>
          <cell r="D912">
            <v>67</v>
          </cell>
        </row>
        <row r="913">
          <cell r="A913" t="str">
            <v>69 FU - FUNDACIÓN VIDA ABUNDANTE</v>
          </cell>
          <cell r="C913">
            <v>40</v>
          </cell>
        </row>
        <row r="914">
          <cell r="A914" t="str">
            <v>598- IG IGLESIA GLORIA TRANSFORMADORA SHEKINAH</v>
          </cell>
          <cell r="E914">
            <v>127</v>
          </cell>
        </row>
        <row r="915">
          <cell r="A915" t="str">
            <v>138 OR - HERMANAS FRANCISCANAS DE MARIA INMACULADALA</v>
          </cell>
          <cell r="H915">
            <v>32.5</v>
          </cell>
        </row>
        <row r="916">
          <cell r="A916" t="str">
            <v>3 IG - IGLESIA DEL NAZARENO</v>
          </cell>
          <cell r="E916">
            <v>76</v>
          </cell>
        </row>
        <row r="917">
          <cell r="A917" t="str">
            <v>232 IG MINISTERIO TIEMPO DE COSECHA</v>
          </cell>
          <cell r="I917">
            <v>28</v>
          </cell>
        </row>
        <row r="918">
          <cell r="A918" t="str">
            <v>661 - FU FUNDACION MAS INTEGRADOS (DARIEN)</v>
          </cell>
          <cell r="F918">
            <v>32</v>
          </cell>
        </row>
        <row r="919">
          <cell r="A919" t="str">
            <v>240 PA - PARROQUIA SAN JOSÉ - PESE</v>
          </cell>
          <cell r="L919">
            <v>19</v>
          </cell>
        </row>
        <row r="920">
          <cell r="A920" t="str">
            <v>253 FU - FUNDACIÓN PARA EL BIENESTAR SOCIAL (CENTRO2)</v>
          </cell>
          <cell r="C920">
            <v>189</v>
          </cell>
        </row>
        <row r="921">
          <cell r="A921" t="str">
            <v>650 - IG ASOCIACION CRISTIANA EBEN - EZER #27 (ESTE)</v>
          </cell>
          <cell r="D921">
            <v>82.5</v>
          </cell>
        </row>
        <row r="922">
          <cell r="A922" t="str">
            <v>375-FU Ministerio a Dios sea la Gloria</v>
          </cell>
          <cell r="C922">
            <v>72.5</v>
          </cell>
        </row>
        <row r="923">
          <cell r="A923" t="str">
            <v>802-IG IGLESIA INTERNACIONAL DEL EVANGELIO CUADRANGULAR DE PANAMÁ</v>
          </cell>
          <cell r="C923">
            <v>27</v>
          </cell>
        </row>
        <row r="924">
          <cell r="A924" t="str">
            <v>814-IG Templo Morada Santa</v>
          </cell>
          <cell r="F924">
            <v>9.5</v>
          </cell>
        </row>
        <row r="925">
          <cell r="A925" t="str">
            <v>185 FU - FUNDACIÓN ABIA YALA</v>
          </cell>
          <cell r="C925">
            <v>38</v>
          </cell>
        </row>
        <row r="926">
          <cell r="A926" t="str">
            <v>786-FU ACADEMIA DE FUTBOL ROMAN TORRES</v>
          </cell>
          <cell r="C926">
            <v>19.5</v>
          </cell>
        </row>
        <row r="927">
          <cell r="A927" t="str">
            <v>496-AS CUERPO DE VOLUNTARIAS DEL HOSPITAL DEL NIÑO</v>
          </cell>
          <cell r="C927">
            <v>24</v>
          </cell>
        </row>
        <row r="928">
          <cell r="A928" t="str">
            <v>734-FU MINISTERIO DE SALVACION EL CAMINO DE DIOS</v>
          </cell>
          <cell r="I928">
            <v>17</v>
          </cell>
        </row>
        <row r="929">
          <cell r="A929" t="str">
            <v>392-FU Fundacion Jerusalen Trono de Jehova III</v>
          </cell>
          <cell r="E929">
            <v>46</v>
          </cell>
        </row>
        <row r="930">
          <cell r="A930" t="str">
            <v>641 - IG IGLESIA EVANGELICA QUIRIAT SALEM (ESTE)</v>
          </cell>
          <cell r="D930">
            <v>38.5</v>
          </cell>
        </row>
        <row r="931">
          <cell r="A931" t="str">
            <v>756-FU Fundación Nuevas Rutas</v>
          </cell>
          <cell r="J931">
            <v>396</v>
          </cell>
        </row>
        <row r="932">
          <cell r="A932" t="str">
            <v>708 - FU MINISTERIO BERAKHAH INTERNACIONAL GUARARE</v>
          </cell>
          <cell r="O932">
            <v>5</v>
          </cell>
        </row>
        <row r="933">
          <cell r="A933" t="str">
            <v>422-AS Club de Leones de Penonome</v>
          </cell>
          <cell r="K933">
            <v>38</v>
          </cell>
        </row>
        <row r="934">
          <cell r="A934" t="str">
            <v>828-IG IDN LAS TINAJAS</v>
          </cell>
          <cell r="J934">
            <v>18</v>
          </cell>
        </row>
        <row r="935">
          <cell r="A935" t="str">
            <v>813-IG Comedor Centro De Esperanza Elohim</v>
          </cell>
          <cell r="K935">
            <v>28</v>
          </cell>
        </row>
        <row r="936">
          <cell r="A936" t="str">
            <v>728-FU ANCEC SANTIAGO</v>
          </cell>
          <cell r="M936">
            <v>32</v>
          </cell>
        </row>
        <row r="937">
          <cell r="A937" t="str">
            <v>245-FU MINISTERIO BERAKHAH INTERNACIONAL CUENTA PRINCIPAL</v>
          </cell>
          <cell r="D937">
            <v>47</v>
          </cell>
        </row>
        <row r="938">
          <cell r="A938" t="str">
            <v>827-FU Fundación Transformemos mi comunidad</v>
          </cell>
          <cell r="E938">
            <v>35</v>
          </cell>
        </row>
        <row r="939">
          <cell r="A939" t="str">
            <v>PRODUCTOS TOLEDANO</v>
          </cell>
          <cell r="B939">
            <v>57</v>
          </cell>
          <cell r="C939">
            <v>394</v>
          </cell>
          <cell r="D939">
            <v>854</v>
          </cell>
          <cell r="E939">
            <v>383</v>
          </cell>
          <cell r="F939">
            <v>58</v>
          </cell>
          <cell r="G939">
            <v>74</v>
          </cell>
          <cell r="H939">
            <v>42</v>
          </cell>
          <cell r="I939">
            <v>109</v>
          </cell>
          <cell r="J939">
            <v>395</v>
          </cell>
          <cell r="K939">
            <v>1350</v>
          </cell>
          <cell r="L939">
            <v>357</v>
          </cell>
          <cell r="M939">
            <v>379</v>
          </cell>
          <cell r="O939">
            <v>68</v>
          </cell>
        </row>
        <row r="940">
          <cell r="A940">
            <v>0</v>
          </cell>
          <cell r="B940">
            <v>39</v>
          </cell>
        </row>
        <row r="941">
          <cell r="A941" t="str">
            <v>662-IG MINISTERIO EVANGELICO EL APOSENTO ALTO (CENTRO 1)</v>
          </cell>
          <cell r="C941">
            <v>4</v>
          </cell>
        </row>
        <row r="942">
          <cell r="A942" t="str">
            <v>298-FU - MINISTERIO FUENTE DE VIDA PARA EL PERDIDO</v>
          </cell>
          <cell r="F942">
            <v>36</v>
          </cell>
        </row>
        <row r="943">
          <cell r="A943" t="str">
            <v>479-IG IGLESIA NUEVA ESPERANZA</v>
          </cell>
          <cell r="D943">
            <v>26</v>
          </cell>
        </row>
        <row r="944">
          <cell r="A944" t="str">
            <v>104 AS - ASOCIACIÓN HOGAR FELICIDAD</v>
          </cell>
          <cell r="E944">
            <v>20</v>
          </cell>
        </row>
        <row r="945">
          <cell r="A945" t="str">
            <v>178 IG - TEMPLO ZURIEL EL REFUGIO</v>
          </cell>
          <cell r="G945">
            <v>62</v>
          </cell>
        </row>
        <row r="946">
          <cell r="A946" t="str">
            <v>207 IG - IGLESIA CENTRO DE VIDA CRISTIANA</v>
          </cell>
          <cell r="D946">
            <v>34</v>
          </cell>
        </row>
        <row r="947">
          <cell r="A947" t="str">
            <v>636- FU JAH - LIVE (JAHL) - COLON</v>
          </cell>
          <cell r="H947">
            <v>28</v>
          </cell>
        </row>
        <row r="948">
          <cell r="A948" t="str">
            <v>224 OR MISIONERAS DE LA CARIDAD DE COLON</v>
          </cell>
          <cell r="H948">
            <v>14</v>
          </cell>
        </row>
        <row r="949">
          <cell r="A949" t="str">
            <v>365-IG COMEDOR HEFZIBA</v>
          </cell>
          <cell r="I949">
            <v>57</v>
          </cell>
        </row>
        <row r="950">
          <cell r="A950" t="str">
            <v>635 TEMPLO ADULAM</v>
          </cell>
          <cell r="E950">
            <v>47</v>
          </cell>
        </row>
        <row r="951">
          <cell r="A951" t="str">
            <v>470-FU IGLESIA MONTE SANTO</v>
          </cell>
          <cell r="D951">
            <v>2</v>
          </cell>
        </row>
        <row r="952">
          <cell r="A952" t="str">
            <v>687 - FU FUNDACION ARCA DE JESUS</v>
          </cell>
          <cell r="E952">
            <v>6</v>
          </cell>
        </row>
        <row r="953">
          <cell r="A953" t="str">
            <v>218 ED - LOS PREFERIDOS DEL SEÑOR (CENTRO2)</v>
          </cell>
          <cell r="C953">
            <v>76</v>
          </cell>
        </row>
        <row r="954">
          <cell r="A954" t="str">
            <v>187 IG - IGLESIA DE DIOS DE LA PROFECÍA</v>
          </cell>
          <cell r="D954">
            <v>81</v>
          </cell>
        </row>
        <row r="955">
          <cell r="A955" t="str">
            <v>321-IG IGLESIA DIOS ES MI PROVEEDOR Y SUSTENTO</v>
          </cell>
          <cell r="D955">
            <v>60</v>
          </cell>
        </row>
        <row r="956">
          <cell r="A956" t="str">
            <v>111 FU - FUNDACIÓN NUESTRA SEÑORA DEL CAMINO</v>
          </cell>
          <cell r="J956">
            <v>70</v>
          </cell>
        </row>
        <row r="957">
          <cell r="A957" t="str">
            <v>443-FU MINISTERIO BERAKHAH INTERNACIONAL COMEDOR LAS GARZAS #2</v>
          </cell>
          <cell r="D957">
            <v>12</v>
          </cell>
        </row>
        <row r="958">
          <cell r="A958" t="str">
            <v>694 - FU MINISTERIO BERAKHAH INTERNACIONAL TOCUMEN #2</v>
          </cell>
          <cell r="D958">
            <v>48</v>
          </cell>
        </row>
        <row r="959">
          <cell r="A959" t="str">
            <v>695 - FU MINISTERIO BERAKHAH INTERNACIONAL 24 DIC</v>
          </cell>
          <cell r="D959">
            <v>12</v>
          </cell>
        </row>
        <row r="960">
          <cell r="A960" t="str">
            <v>703 - FU MINISTERIO BERAKHAH INTERNACIONAL FELIPILLO #3</v>
          </cell>
          <cell r="D960">
            <v>12</v>
          </cell>
        </row>
        <row r="961">
          <cell r="A961" t="str">
            <v>366-FU CENTRO MISIONERO EL SHADAI (ESTE)</v>
          </cell>
          <cell r="D961">
            <v>87</v>
          </cell>
        </row>
        <row r="962">
          <cell r="A962" t="str">
            <v>498-FU COMEDOR NIÑOS DE BENDICION</v>
          </cell>
          <cell r="E962">
            <v>37</v>
          </cell>
        </row>
        <row r="963">
          <cell r="A963" t="str">
            <v>288 IG MINISTERIO EVANGELISTICO DE SANACION Y RESTAURACION, SENALES, MILAGROS Y MARAVILLAS (ESTE)</v>
          </cell>
          <cell r="D963">
            <v>24</v>
          </cell>
        </row>
        <row r="964">
          <cell r="A964" t="str">
            <v>373-FU MINISTERIO INTERNACIONAL BOANERGES</v>
          </cell>
          <cell r="I964">
            <v>26</v>
          </cell>
        </row>
        <row r="965">
          <cell r="A965" t="str">
            <v>183 ED - BELÉN CASA DE PAN (ESTE)</v>
          </cell>
          <cell r="D965">
            <v>12</v>
          </cell>
        </row>
        <row r="966">
          <cell r="A966" t="str">
            <v>691 - AR CARITAS ARQUIDIOCESANA</v>
          </cell>
          <cell r="C966">
            <v>12</v>
          </cell>
        </row>
        <row r="967">
          <cell r="A967" t="str">
            <v>643 - IG TEMPLO PUERTA DEL CIELO (CHIRIQUI)</v>
          </cell>
          <cell r="J967">
            <v>51</v>
          </cell>
        </row>
        <row r="968">
          <cell r="A968" t="str">
            <v>368-FU MINISTERIO PACTO DE SANTIDAD</v>
          </cell>
          <cell r="C968">
            <v>18</v>
          </cell>
        </row>
        <row r="969">
          <cell r="A969" t="str">
            <v>654 - IG M.I.A.F NUEVA JERUSALEN PANAMA (ESTE)</v>
          </cell>
          <cell r="D969">
            <v>18</v>
          </cell>
        </row>
        <row r="970">
          <cell r="A970" t="str">
            <v>487-FU FUNDACION CASA AVE MARIA</v>
          </cell>
          <cell r="E970">
            <v>170</v>
          </cell>
        </row>
        <row r="971">
          <cell r="A971" t="str">
            <v>284 - IG MINISTERIO PAN DE VIDA</v>
          </cell>
          <cell r="J971">
            <v>25</v>
          </cell>
        </row>
        <row r="972">
          <cell r="A972" t="str">
            <v>2 PA - PARROQUIA SAN JUAN MARIA VIANNEY (NORTE)</v>
          </cell>
          <cell r="I972">
            <v>14</v>
          </cell>
        </row>
        <row r="973">
          <cell r="A973" t="str">
            <v>696 - FU MINISTERIO BERAKHAH INTERNACIONAL CHEPO #1</v>
          </cell>
          <cell r="D973">
            <v>4</v>
          </cell>
        </row>
        <row r="974">
          <cell r="A974" t="str">
            <v>222 ED - MISERICORDIAR</v>
          </cell>
          <cell r="D974">
            <v>26</v>
          </cell>
        </row>
        <row r="975">
          <cell r="A975" t="str">
            <v>259 IG - ALCANCE VICTORIA PANAMÁ</v>
          </cell>
          <cell r="C975">
            <v>15</v>
          </cell>
        </row>
        <row r="976">
          <cell r="A976" t="str">
            <v>668 - FU FUNDACION CRISTIANA LA FE EN MARCHA</v>
          </cell>
          <cell r="J976">
            <v>16</v>
          </cell>
        </row>
        <row r="977">
          <cell r="A977" t="str">
            <v>644 - IG TEMPLO SENDA DE VIDA (CHIRIQUÍ)</v>
          </cell>
          <cell r="J977">
            <v>21</v>
          </cell>
        </row>
        <row r="978">
          <cell r="A978" t="str">
            <v>387-AS Asociacion ODSSAR-OBC</v>
          </cell>
          <cell r="D978">
            <v>12</v>
          </cell>
        </row>
        <row r="979">
          <cell r="A979" t="str">
            <v>300 ED - BENEFICIARIOS</v>
          </cell>
          <cell r="D979">
            <v>130</v>
          </cell>
        </row>
        <row r="980">
          <cell r="A980" t="str">
            <v>657 - FU CENTRO COMUNITARIO MONTAÑAS DE ESPERANZA (RETIRO EN EL BAP)</v>
          </cell>
          <cell r="D980">
            <v>12</v>
          </cell>
        </row>
        <row r="981">
          <cell r="A981" t="str">
            <v>630-IG MIN.INTL.DE CRISTO PAZ DE DIOS</v>
          </cell>
          <cell r="C981">
            <v>59</v>
          </cell>
        </row>
        <row r="982">
          <cell r="A982" t="str">
            <v>260 IG - IGLESIA MISIONERA DE RESTAURACIÓN</v>
          </cell>
          <cell r="D982">
            <v>24</v>
          </cell>
        </row>
        <row r="983">
          <cell r="A983" t="str">
            <v>397-FU FUNDACION SHALOM PANAMA</v>
          </cell>
          <cell r="E983">
            <v>14</v>
          </cell>
        </row>
        <row r="984">
          <cell r="A984" t="str">
            <v>195 ED - JUNTOS PODEMOS</v>
          </cell>
          <cell r="C984">
            <v>64</v>
          </cell>
        </row>
        <row r="985">
          <cell r="A985" t="str">
            <v>653 - FU FUNDACION LUIS CARLOS DIAZ (OESTE)</v>
          </cell>
          <cell r="E985">
            <v>6</v>
          </cell>
        </row>
        <row r="986">
          <cell r="A986" t="str">
            <v>709 - FU FUNRECRISTO</v>
          </cell>
          <cell r="D986">
            <v>14</v>
          </cell>
        </row>
        <row r="987">
          <cell r="A987" t="str">
            <v>670 - FU FUNDACION MINISTERIIO CRISTIANO EL REINO DE DIOS (ESTE)</v>
          </cell>
          <cell r="D987">
            <v>11</v>
          </cell>
        </row>
        <row r="988">
          <cell r="A988" t="str">
            <v>380-ED COMEDOR COMUNITARIO CASA DEL ALFARERO</v>
          </cell>
          <cell r="D988">
            <v>12</v>
          </cell>
        </row>
        <row r="989">
          <cell r="A989" t="str">
            <v>202 FU - FUNDACIÓN HOGAR SAN JOSÉ (ESTE)</v>
          </cell>
          <cell r="D989">
            <v>12</v>
          </cell>
        </row>
        <row r="990">
          <cell r="A990" t="str">
            <v>469-FU MINISTERIO CRISTIANO EL SHADAI</v>
          </cell>
          <cell r="D990">
            <v>4</v>
          </cell>
        </row>
        <row r="991">
          <cell r="A991" t="str">
            <v>597- IG MINISTERIO APOSTOLICO NEMUEL INTERNACIONAL</v>
          </cell>
          <cell r="D991">
            <v>16</v>
          </cell>
        </row>
        <row r="992">
          <cell r="A992" t="str">
            <v>647 - IG CRISTO REY CAMBIANDO VIDAS (ESTE)</v>
          </cell>
          <cell r="D992">
            <v>16</v>
          </cell>
        </row>
        <row r="993">
          <cell r="A993" t="str">
            <v>339-AS ASOCIACION RESIDENCIA LISBETH</v>
          </cell>
          <cell r="D993">
            <v>31</v>
          </cell>
        </row>
        <row r="994">
          <cell r="A994" t="str">
            <v>381-FU FUNDAMIDOM</v>
          </cell>
          <cell r="E994">
            <v>6</v>
          </cell>
        </row>
        <row r="995">
          <cell r="A995" t="str">
            <v>491-FU Fundación Aleluya</v>
          </cell>
          <cell r="G995">
            <v>6</v>
          </cell>
        </row>
        <row r="996">
          <cell r="A996" t="str">
            <v>681 - FU FUNDACION NUEVA SOCIEDAD (NORTE)</v>
          </cell>
          <cell r="I996">
            <v>2</v>
          </cell>
        </row>
        <row r="997">
          <cell r="A997" t="str">
            <v>94 OR - HOGAR SAN FRANCISCO DE ASÍS</v>
          </cell>
          <cell r="J997">
            <v>38</v>
          </cell>
        </row>
        <row r="998">
          <cell r="A998" t="str">
            <v>671 - PA DIOCESIS DE PENONOME (COCLE)</v>
          </cell>
          <cell r="K998">
            <v>18</v>
          </cell>
        </row>
        <row r="999">
          <cell r="A999" t="str">
            <v>377-FU CENTRO CRISTIANO CASA DE DIOS PANAMA</v>
          </cell>
          <cell r="G999">
            <v>2</v>
          </cell>
        </row>
        <row r="1000">
          <cell r="A1000" t="str">
            <v>415-AS CLUB DE LEONES DE CHITRE</v>
          </cell>
          <cell r="L1000">
            <v>24</v>
          </cell>
        </row>
        <row r="1001">
          <cell r="A1001" t="str">
            <v>364-IG COMEDOR SHEKINA</v>
          </cell>
          <cell r="K1001">
            <v>80</v>
          </cell>
        </row>
        <row r="1002">
          <cell r="A1002" t="str">
            <v>595-FU CENTRO DE LA MUJER Y LA NIÑEZ</v>
          </cell>
          <cell r="C1002">
            <v>12</v>
          </cell>
        </row>
        <row r="1003">
          <cell r="A1003" t="str">
            <v>118 FU - FUNDACIÓN UN NUEVO AMANECER</v>
          </cell>
          <cell r="E1003">
            <v>12</v>
          </cell>
        </row>
        <row r="1004">
          <cell r="A1004" t="str">
            <v>360-IG IGLESIA CRISTIANA CASA DE REUNION</v>
          </cell>
          <cell r="G1004">
            <v>2</v>
          </cell>
        </row>
        <row r="1005">
          <cell r="A1005" t="str">
            <v>263 IG TABERNÁCULO DE DIOS DE SAN MIGUEL DEL EXQUISITO</v>
          </cell>
          <cell r="J1005">
            <v>42</v>
          </cell>
        </row>
        <row r="1006">
          <cell r="A1006" t="str">
            <v>719 FU FUNDACION VIDA NUEVA EL SHADDAI</v>
          </cell>
          <cell r="G1006">
            <v>2</v>
          </cell>
        </row>
        <row r="1007">
          <cell r="A1007" t="str">
            <v>54 FU - FUNDACIÓN CASA HOGAR EL BUEN SAMARITANO</v>
          </cell>
          <cell r="D1007">
            <v>12</v>
          </cell>
        </row>
        <row r="1008">
          <cell r="A1008" t="str">
            <v>710 - AS CLUB DE LEONES DE SONA</v>
          </cell>
          <cell r="M1008">
            <v>92</v>
          </cell>
        </row>
        <row r="1009">
          <cell r="A1009" t="str">
            <v>684 - FU FUNDACION CASA DEL REY JESUS (CENTRO 2)</v>
          </cell>
          <cell r="C1009">
            <v>47</v>
          </cell>
        </row>
        <row r="1010">
          <cell r="A1010" t="str">
            <v>723 ASOCIACION AQUI ESTOY</v>
          </cell>
          <cell r="E1010">
            <v>12</v>
          </cell>
        </row>
        <row r="1011">
          <cell r="A1011" t="str">
            <v>596 IG- IGLESIA EVANGELICA TRINITARIA DIOS FUENTE DE PODER</v>
          </cell>
          <cell r="C1011">
            <v>4</v>
          </cell>
        </row>
        <row r="1012">
          <cell r="A1012" t="str">
            <v>229 PA - PARROQUIA SAN CRISTOBAL DE CHEPO</v>
          </cell>
          <cell r="D1012">
            <v>14</v>
          </cell>
        </row>
        <row r="1013">
          <cell r="A1013" t="str">
            <v>166 FU - FUNDACION CURAME</v>
          </cell>
          <cell r="C1013">
            <v>13</v>
          </cell>
        </row>
        <row r="1014">
          <cell r="A1014" t="str">
            <v>730-FU SOLIDARIDAD Y DESARROLLO DE PANAMA (VERAGUAS)</v>
          </cell>
          <cell r="M1014">
            <v>28</v>
          </cell>
        </row>
        <row r="1015">
          <cell r="A1015" t="str">
            <v>215 IG - IGLESIA INTERNACIONAL DEL EVANGELIO CUADRANGULAR DE (CHIRIQUÍ)</v>
          </cell>
          <cell r="J1015">
            <v>15</v>
          </cell>
        </row>
        <row r="1016">
          <cell r="A1016" t="str">
            <v>738- IG MINISTERIO DIOS CON NOSOTROS EMANUEL</v>
          </cell>
          <cell r="D1016">
            <v>12</v>
          </cell>
        </row>
        <row r="1017">
          <cell r="A1017" t="str">
            <v>745-FU CASA DE MISERICORDIA</v>
          </cell>
          <cell r="C1017">
            <v>4</v>
          </cell>
        </row>
        <row r="1018">
          <cell r="A1018" t="str">
            <v>741-IG BUNKER DE ESPERANZA</v>
          </cell>
          <cell r="D1018">
            <v>4</v>
          </cell>
        </row>
        <row r="1019">
          <cell r="A1019" t="str">
            <v>749-IG Ministerio Tabernáculo de Santidad Internación (Guararé)</v>
          </cell>
          <cell r="M1019">
            <v>26</v>
          </cell>
        </row>
        <row r="1020">
          <cell r="A1020" t="str">
            <v>750-IG MTSI Santiago</v>
          </cell>
          <cell r="M1020">
            <v>226</v>
          </cell>
        </row>
        <row r="1021">
          <cell r="A1021" t="str">
            <v>613-FU FUNDACION INMARE</v>
          </cell>
          <cell r="K1021">
            <v>1240</v>
          </cell>
        </row>
        <row r="1022">
          <cell r="A1022" t="str">
            <v>760-FU AYUDAME A VIVIR</v>
          </cell>
          <cell r="I1022">
            <v>6</v>
          </cell>
        </row>
        <row r="1023">
          <cell r="A1023" t="str">
            <v>759-FU SOLO ES CUESTION DE FE</v>
          </cell>
          <cell r="D1023">
            <v>3</v>
          </cell>
        </row>
        <row r="1024">
          <cell r="A1024" t="str">
            <v>275 IG CONCILIO GENERAL DE LAS ASAMBLEAS DE DIOS DE PANAMÁ</v>
          </cell>
          <cell r="C1024">
            <v>14</v>
          </cell>
        </row>
        <row r="1025">
          <cell r="A1025" t="str">
            <v>752-IG Ministerio Tabernáculo De Santidad Internacional (Chitre)</v>
          </cell>
          <cell r="L1025">
            <v>24</v>
          </cell>
        </row>
        <row r="1026">
          <cell r="A1026" t="str">
            <v>758-FU RESTAURANDO EL PRIMER AMOR</v>
          </cell>
          <cell r="I1026">
            <v>2</v>
          </cell>
        </row>
        <row r="1027">
          <cell r="A1027" t="str">
            <v>765-IG EXPANSION MISIONERA RIOS DE AGUA VIVA</v>
          </cell>
          <cell r="L1027">
            <v>149</v>
          </cell>
        </row>
        <row r="1028">
          <cell r="A1028" t="str">
            <v>766-IG MINISTERIO BET-EL</v>
          </cell>
          <cell r="O1028">
            <v>62</v>
          </cell>
        </row>
        <row r="1029">
          <cell r="A1029" t="str">
            <v>785-FU FUNDACION GOTAS DE ESPERANZA</v>
          </cell>
          <cell r="E1029">
            <v>26</v>
          </cell>
        </row>
        <row r="1030">
          <cell r="A1030" t="str">
            <v>394-IG IGLESIA ESCUADRONES DEL EJERCITO DE DIOS (CENTRO2)</v>
          </cell>
          <cell r="C1030">
            <v>14</v>
          </cell>
        </row>
        <row r="1031">
          <cell r="A1031" t="str">
            <v>789-FU Fundación Rescate de Alimentos</v>
          </cell>
          <cell r="C1031">
            <v>38</v>
          </cell>
        </row>
        <row r="1032">
          <cell r="A1032" t="str">
            <v>793-FU Fundación Príncipes de Jehová</v>
          </cell>
          <cell r="I1032">
            <v>2</v>
          </cell>
        </row>
        <row r="1033">
          <cell r="A1033" t="str">
            <v>3 IG - IGLESIA DEL NAZARENO</v>
          </cell>
          <cell r="E1033">
            <v>16</v>
          </cell>
        </row>
        <row r="1034">
          <cell r="A1034" t="str">
            <v>661 - FU FUNDACION MAS INTEGRADOS (DARIEN)</v>
          </cell>
          <cell r="F1034">
            <v>18</v>
          </cell>
        </row>
        <row r="1035">
          <cell r="A1035" t="str">
            <v>753-AS CLUB ACTIVO 20-30 DE CHITRE</v>
          </cell>
          <cell r="L1035">
            <v>54</v>
          </cell>
        </row>
        <row r="1036">
          <cell r="A1036" t="str">
            <v>8 PA - PARROQUIA SAN JUAN DE MACARACAS</v>
          </cell>
          <cell r="B1036">
            <v>18</v>
          </cell>
        </row>
        <row r="1037">
          <cell r="A1037" t="str">
            <v>240 PA - PARROQUIA SAN JOSÉ - PESE</v>
          </cell>
          <cell r="L1037">
            <v>58</v>
          </cell>
        </row>
        <row r="1038">
          <cell r="A1038" t="str">
            <v>463-FU MINISTERIO BERAKHAH INTERNACIONAL COMEDOR OASIS DE ESPERANZA (ESTE)</v>
          </cell>
          <cell r="D1038">
            <v>24</v>
          </cell>
        </row>
        <row r="1039">
          <cell r="A1039" t="str">
            <v>814-IG Templo Morada Santa</v>
          </cell>
          <cell r="F1039">
            <v>4</v>
          </cell>
        </row>
        <row r="1040">
          <cell r="A1040" t="str">
            <v>392-FU Fundacion Jerusalen Trono de Jehova III</v>
          </cell>
          <cell r="E1040">
            <v>4</v>
          </cell>
        </row>
        <row r="1041">
          <cell r="A1041" t="str">
            <v>756-FU Fundación Nuevas Rutas</v>
          </cell>
          <cell r="J1041">
            <v>43</v>
          </cell>
        </row>
        <row r="1042">
          <cell r="A1042" t="str">
            <v>708 - FU MINISTERIO BERAKHAH INTERNACIONAL GUARARE</v>
          </cell>
          <cell r="O1042">
            <v>6</v>
          </cell>
        </row>
        <row r="1043">
          <cell r="A1043" t="str">
            <v>341-PA PARROQUIA SANTIAGO APOSTOL ALANJE (CHIRIQUÍ)</v>
          </cell>
          <cell r="J1043">
            <v>64</v>
          </cell>
        </row>
        <row r="1044">
          <cell r="A1044" t="str">
            <v>828-IG IDN LAS TINAJAS</v>
          </cell>
          <cell r="J1044">
            <v>10</v>
          </cell>
        </row>
        <row r="1045">
          <cell r="A1045" t="str">
            <v>813-IG Comedor Centro De Esperanza Elohim</v>
          </cell>
          <cell r="K1045">
            <v>5</v>
          </cell>
        </row>
        <row r="1046">
          <cell r="A1046" t="str">
            <v>770-IG CENTRO CRISTIANO NUEVA VIDA</v>
          </cell>
          <cell r="K1046">
            <v>7</v>
          </cell>
        </row>
        <row r="1047">
          <cell r="A1047" t="str">
            <v>728-FU ANCEC SANTIAGO</v>
          </cell>
          <cell r="M1047">
            <v>7</v>
          </cell>
        </row>
        <row r="1048">
          <cell r="A1048" t="str">
            <v>821-IG Ministerio de Adoracion Y Restauracion Guardadores del Pacto</v>
          </cell>
          <cell r="L1048">
            <v>24</v>
          </cell>
        </row>
        <row r="1049">
          <cell r="A1049" t="str">
            <v>731-FU CENTRO DE NIÑOS DOWN</v>
          </cell>
          <cell r="L1049">
            <v>24</v>
          </cell>
        </row>
        <row r="1050">
          <cell r="A1050" t="str">
            <v>245-FU MINISTERIO BERAKHAH INTERNACIONAL CUENTA PRINCIPAL</v>
          </cell>
          <cell r="D1050">
            <v>33</v>
          </cell>
        </row>
        <row r="1051">
          <cell r="A1051" t="str">
            <v>827-FU Fundación Transformemos mi comunidad</v>
          </cell>
          <cell r="E1051">
            <v>7</v>
          </cell>
        </row>
        <row r="1052">
          <cell r="A1052" t="str">
            <v>ALIMENTOS CÁRNICOS DE PANAMA ,S.A</v>
          </cell>
          <cell r="C1052">
            <v>24</v>
          </cell>
          <cell r="D1052">
            <v>42</v>
          </cell>
          <cell r="E1052">
            <v>16</v>
          </cell>
          <cell r="G1052">
            <v>10</v>
          </cell>
          <cell r="H1052">
            <v>8</v>
          </cell>
          <cell r="I1052">
            <v>8</v>
          </cell>
        </row>
        <row r="1053">
          <cell r="A1053" t="str">
            <v>209 IG - TEMPLO MISIONERO CRISTO TE LLAMA</v>
          </cell>
          <cell r="D1053">
            <v>8</v>
          </cell>
        </row>
        <row r="1054">
          <cell r="A1054" t="str">
            <v>104 AS - ASOCIACIÓN HOGAR FELICIDAD</v>
          </cell>
          <cell r="E1054">
            <v>8</v>
          </cell>
        </row>
        <row r="1055">
          <cell r="A1055" t="str">
            <v>178 IG - TEMPLO ZURIEL EL REFUGIO</v>
          </cell>
          <cell r="G1055">
            <v>10</v>
          </cell>
        </row>
        <row r="1056">
          <cell r="A1056" t="str">
            <v>636- FU JAH - LIVE (JAHL) - COLON</v>
          </cell>
          <cell r="H1056">
            <v>8</v>
          </cell>
        </row>
        <row r="1057">
          <cell r="A1057" t="str">
            <v>365-IG COMEDOR HEFZIBA</v>
          </cell>
          <cell r="I1057">
            <v>8</v>
          </cell>
        </row>
        <row r="1058">
          <cell r="A1058" t="str">
            <v>635 TEMPLO ADULAM</v>
          </cell>
          <cell r="E1058">
            <v>8</v>
          </cell>
        </row>
        <row r="1059">
          <cell r="A1059" t="str">
            <v>218 ED - LOS PREFERIDOS DEL SEÑOR (CENTRO2)</v>
          </cell>
          <cell r="C1059">
            <v>8</v>
          </cell>
        </row>
        <row r="1060">
          <cell r="A1060" t="str">
            <v>187 IG - IGLESIA DE DIOS DE LA PROFECÍA</v>
          </cell>
          <cell r="D1060">
            <v>8</v>
          </cell>
        </row>
        <row r="1061">
          <cell r="A1061" t="str">
            <v>366-FU CENTRO MISIONERO EL SHADAI (ESTE)</v>
          </cell>
          <cell r="D1061">
            <v>8</v>
          </cell>
        </row>
        <row r="1062">
          <cell r="A1062" t="str">
            <v>417-AS CLUB DE LEONES DE PEDREGAL (ESTE)</v>
          </cell>
          <cell r="D1062">
            <v>8</v>
          </cell>
        </row>
        <row r="1063">
          <cell r="A1063" t="str">
            <v>166 FU - FUNDACION CURAME</v>
          </cell>
          <cell r="C1063">
            <v>8</v>
          </cell>
        </row>
        <row r="1064">
          <cell r="A1064" t="str">
            <v>737- ASOCIACION CRISTIANA EBEN-EZER (ESTE)</v>
          </cell>
          <cell r="D1064">
            <v>10</v>
          </cell>
        </row>
        <row r="1065">
          <cell r="A1065" t="str">
            <v>201 OR - MISIONERAS MADRE LAURA</v>
          </cell>
          <cell r="C1065">
            <v>8</v>
          </cell>
        </row>
        <row r="1066">
          <cell r="A1066" t="str">
            <v>Price-Smart-Panama S.A</v>
          </cell>
          <cell r="B1066">
            <v>258.08</v>
          </cell>
          <cell r="C1066">
            <v>1043.3899999999999</v>
          </cell>
          <cell r="D1066">
            <v>2149.3199999999997</v>
          </cell>
          <cell r="E1066">
            <v>730.5</v>
          </cell>
          <cell r="F1066">
            <v>15.25</v>
          </cell>
          <cell r="G1066">
            <v>78.5</v>
          </cell>
          <cell r="H1066">
            <v>491.5</v>
          </cell>
          <cell r="I1066">
            <v>149.57</v>
          </cell>
          <cell r="J1066">
            <v>265</v>
          </cell>
          <cell r="K1066">
            <v>163</v>
          </cell>
          <cell r="L1066">
            <v>192</v>
          </cell>
          <cell r="M1066">
            <v>134.19999999999999</v>
          </cell>
          <cell r="O1066">
            <v>24</v>
          </cell>
        </row>
        <row r="1067">
          <cell r="A1067">
            <v>0</v>
          </cell>
          <cell r="B1067">
            <v>3</v>
          </cell>
        </row>
        <row r="1068">
          <cell r="A1068" t="str">
            <v>209 IG - TEMPLO MISIONERO CRISTO TE LLAMA</v>
          </cell>
          <cell r="D1068">
            <v>20</v>
          </cell>
        </row>
        <row r="1069">
          <cell r="A1069" t="str">
            <v>702 - FU MINISTERIO BERAKHAH INTERNACIONAL ARRAIJAN</v>
          </cell>
          <cell r="E1069">
            <v>2</v>
          </cell>
        </row>
        <row r="1070">
          <cell r="A1070" t="str">
            <v>298-FU - MINISTERIO FUENTE DE VIDA PARA EL PERDIDO</v>
          </cell>
          <cell r="F1070">
            <v>9.25</v>
          </cell>
        </row>
        <row r="1071">
          <cell r="A1071" t="str">
            <v>479-IG IGLESIA NUEVA ESPERANZA</v>
          </cell>
          <cell r="D1071">
            <v>0.5</v>
          </cell>
        </row>
        <row r="1072">
          <cell r="A1072" t="str">
            <v>104 AS - ASOCIACIÓN HOGAR FELICIDAD</v>
          </cell>
          <cell r="E1072">
            <v>27.5</v>
          </cell>
        </row>
        <row r="1073">
          <cell r="A1073" t="str">
            <v>178 IG - TEMPLO ZURIEL EL REFUGIO</v>
          </cell>
          <cell r="G1073">
            <v>68</v>
          </cell>
        </row>
        <row r="1074">
          <cell r="A1074" t="str">
            <v>207 IG - IGLESIA CENTRO DE VIDA CRISTIANA</v>
          </cell>
          <cell r="D1074">
            <v>59.5</v>
          </cell>
        </row>
        <row r="1075">
          <cell r="A1075" t="str">
            <v>493-FU Comedor Jesús es mi Pastor</v>
          </cell>
          <cell r="D1075">
            <v>6</v>
          </cell>
        </row>
        <row r="1076">
          <cell r="A1076" t="str">
            <v>636- FU JAH - LIVE (JAHL) - COLON</v>
          </cell>
          <cell r="H1076">
            <v>376</v>
          </cell>
        </row>
        <row r="1077">
          <cell r="A1077" t="str">
            <v>224 OR MISIONERAS DE LA CARIDAD DE COLON</v>
          </cell>
          <cell r="H1077">
            <v>4</v>
          </cell>
        </row>
        <row r="1078">
          <cell r="A1078" t="str">
            <v>365-IG COMEDOR HEFZIBA</v>
          </cell>
          <cell r="I1078">
            <v>84</v>
          </cell>
        </row>
        <row r="1079">
          <cell r="A1079" t="str">
            <v>635 TEMPLO ADULAM</v>
          </cell>
          <cell r="E1079">
            <v>86</v>
          </cell>
        </row>
        <row r="1080">
          <cell r="A1080" t="str">
            <v>470-FU IGLESIA MONTE SANTO</v>
          </cell>
          <cell r="D1080">
            <v>18</v>
          </cell>
        </row>
        <row r="1081">
          <cell r="A1081" t="str">
            <v>687 - FU FUNDACION ARCA DE JESUS</v>
          </cell>
          <cell r="E1081">
            <v>62</v>
          </cell>
        </row>
        <row r="1082">
          <cell r="A1082" t="str">
            <v>218 ED - LOS PREFERIDOS DEL SEÑOR (CENTRO2)</v>
          </cell>
          <cell r="C1082">
            <v>164</v>
          </cell>
        </row>
        <row r="1083">
          <cell r="A1083" t="str">
            <v>187 IG - IGLESIA DE DIOS DE LA PROFECÍA</v>
          </cell>
          <cell r="D1083">
            <v>315</v>
          </cell>
        </row>
        <row r="1084">
          <cell r="A1084" t="str">
            <v>321-IG IGLESIA DIOS ES MI PROVEEDOR Y SUSTENTO</v>
          </cell>
          <cell r="D1084">
            <v>199</v>
          </cell>
        </row>
        <row r="1085">
          <cell r="A1085" t="str">
            <v>111 FU - FUNDACIÓN NUESTRA SEÑORA DEL CAMINO</v>
          </cell>
          <cell r="J1085">
            <v>13</v>
          </cell>
        </row>
        <row r="1086">
          <cell r="A1086" t="str">
            <v>694 - FU MINISTERIO BERAKHAH INTERNACIONAL TOCUMEN #2</v>
          </cell>
          <cell r="D1086">
            <v>8</v>
          </cell>
        </row>
        <row r="1087">
          <cell r="A1087" t="str">
            <v>695 - FU MINISTERIO BERAKHAH INTERNACIONAL 24 DIC</v>
          </cell>
          <cell r="D1087">
            <v>24</v>
          </cell>
        </row>
        <row r="1088">
          <cell r="A1088" t="str">
            <v>703 - FU MINISTERIO BERAKHAH INTERNACIONAL FELIPILLO #3</v>
          </cell>
          <cell r="D1088">
            <v>3</v>
          </cell>
        </row>
        <row r="1089">
          <cell r="A1089" t="str">
            <v>444-FU MINISTERIO BERAKHAH INTERNACIONAL COMEDOR LAS GARZAS #1</v>
          </cell>
          <cell r="D1089">
            <v>4</v>
          </cell>
        </row>
        <row r="1090">
          <cell r="A1090" t="str">
            <v>366-FU CENTRO MISIONERO EL SHADAI (ESTE)</v>
          </cell>
          <cell r="D1090">
            <v>237</v>
          </cell>
        </row>
        <row r="1091">
          <cell r="A1091" t="str">
            <v>498-FU COMEDOR NIÑOS DE BENDICION</v>
          </cell>
          <cell r="E1091">
            <v>103</v>
          </cell>
        </row>
        <row r="1092">
          <cell r="A1092" t="str">
            <v>288 IG MINISTERIO EVANGELISTICO DE SANACION Y RESTAURACION, SENALES, MILAGROS Y MARAVILLAS (ESTE)</v>
          </cell>
          <cell r="D1092">
            <v>14</v>
          </cell>
        </row>
        <row r="1093">
          <cell r="A1093" t="str">
            <v>373-FU MINISTERIO INTERNACIONAL BOANERGES</v>
          </cell>
          <cell r="I1093">
            <v>1.25</v>
          </cell>
        </row>
        <row r="1094">
          <cell r="A1094" t="str">
            <v>197 FU FUNDACION SOCIAL CULTURAL Y AMBIENTAL DE VERACRUZ (OESTE)</v>
          </cell>
          <cell r="E1094">
            <v>55</v>
          </cell>
        </row>
        <row r="1095">
          <cell r="A1095" t="str">
            <v>183 ED - BELÉN CASA DE PAN (ESTE)</v>
          </cell>
          <cell r="D1095">
            <v>64</v>
          </cell>
        </row>
        <row r="1096">
          <cell r="A1096" t="str">
            <v>431-IG IGLESIA ADVENTISTA DISTRITO 8</v>
          </cell>
          <cell r="D1096">
            <v>29</v>
          </cell>
        </row>
        <row r="1097">
          <cell r="A1097" t="str">
            <v>643 - IG TEMPLO PUERTA DEL CIELO (CHIRIQUI)</v>
          </cell>
          <cell r="J1097">
            <v>2</v>
          </cell>
        </row>
        <row r="1098">
          <cell r="A1098" t="str">
            <v>51 PA - PARROQUIA SAN PIO DE PIETRELCINA (ESTE)</v>
          </cell>
          <cell r="D1098">
            <v>0.75</v>
          </cell>
        </row>
        <row r="1099">
          <cell r="A1099" t="str">
            <v>368-FU MINISTERIO PACTO DE SANTIDAD</v>
          </cell>
          <cell r="C1099">
            <v>13</v>
          </cell>
        </row>
        <row r="1100">
          <cell r="A1100" t="str">
            <v>654 - IG M.I.A.F NUEVA JERUSALEN PANAMA (ESTE)</v>
          </cell>
          <cell r="D1100">
            <v>3</v>
          </cell>
        </row>
        <row r="1101">
          <cell r="A1101" t="str">
            <v>363-FU FUNDACION MINISTERIO DEL EVANGELIO ETERNO DEL REINO (NORTE)</v>
          </cell>
          <cell r="G1101">
            <v>1.5</v>
          </cell>
        </row>
        <row r="1102">
          <cell r="A1102" t="str">
            <v>487-FU FUNDACION CASA AVE MARIA</v>
          </cell>
          <cell r="E1102">
            <v>214</v>
          </cell>
        </row>
        <row r="1103">
          <cell r="A1103" t="str">
            <v>284 - IG MINISTERIO PAN DE VIDA</v>
          </cell>
          <cell r="J1103">
            <v>6</v>
          </cell>
        </row>
        <row r="1104">
          <cell r="A1104" t="str">
            <v>2 PA - PARROQUIA SAN JUAN MARIA VIANNEY (NORTE)</v>
          </cell>
          <cell r="I1104">
            <v>4.5</v>
          </cell>
        </row>
        <row r="1105">
          <cell r="A1105" t="str">
            <v>696 - FU MINISTERIO BERAKHAH INTERNACIONAL CHEPO #1</v>
          </cell>
          <cell r="D1105">
            <v>5.5</v>
          </cell>
        </row>
        <row r="1106">
          <cell r="A1106" t="str">
            <v>472-FU FUNDACION TALITA CUMI</v>
          </cell>
          <cell r="D1106">
            <v>0.25</v>
          </cell>
        </row>
        <row r="1107">
          <cell r="A1107" t="str">
            <v>222 ED - MISERICORDIAR</v>
          </cell>
          <cell r="D1107">
            <v>96</v>
          </cell>
        </row>
        <row r="1108">
          <cell r="A1108" t="str">
            <v>259 IG - ALCANCE VICTORIA PANAMÁ</v>
          </cell>
          <cell r="C1108">
            <v>8.75</v>
          </cell>
        </row>
        <row r="1109">
          <cell r="A1109" t="str">
            <v>668 - FU FUNDACION CRISTIANA LA FE EN MARCHA</v>
          </cell>
          <cell r="J1109">
            <v>26</v>
          </cell>
        </row>
        <row r="1110">
          <cell r="A1110" t="str">
            <v>379-FU Fundacion Ministerio Apostolico Manantial de Vida</v>
          </cell>
          <cell r="H1110">
            <v>111</v>
          </cell>
        </row>
        <row r="1111">
          <cell r="A1111" t="str">
            <v>644 - IG TEMPLO SENDA DE VIDA (CHIRIQUÍ)</v>
          </cell>
          <cell r="J1111">
            <v>2</v>
          </cell>
        </row>
        <row r="1112">
          <cell r="A1112" t="str">
            <v>387-AS Asociacion ODSSAR-OBC</v>
          </cell>
          <cell r="D1112">
            <v>12</v>
          </cell>
        </row>
        <row r="1113">
          <cell r="A1113" t="str">
            <v>300 ED - BENEFICIARIOS</v>
          </cell>
          <cell r="D1113">
            <v>33</v>
          </cell>
        </row>
        <row r="1114">
          <cell r="A1114" t="str">
            <v>657 - FU CENTRO COMUNITARIO MONTAÑAS DE ESPERANZA (RETIRO EN EL BAP)</v>
          </cell>
          <cell r="D1114">
            <v>2</v>
          </cell>
        </row>
        <row r="1115">
          <cell r="A1115" t="str">
            <v>630-IG MIN.INTL.DE CRISTO PAZ DE DIOS</v>
          </cell>
          <cell r="C1115">
            <v>270.5</v>
          </cell>
        </row>
        <row r="1116">
          <cell r="A1116" t="str">
            <v>260 IG - IGLESIA MISIONERA DE RESTAURACIÓN</v>
          </cell>
          <cell r="D1116">
            <v>25</v>
          </cell>
        </row>
        <row r="1117">
          <cell r="A1117" t="str">
            <v>397-FU FUNDACION SHALOM PANAMA</v>
          </cell>
          <cell r="E1117">
            <v>41.5</v>
          </cell>
        </row>
        <row r="1118">
          <cell r="A1118" t="str">
            <v>697 - FU MINISTERIO BERAKHAH INTERNACIONAL CHEPO #2</v>
          </cell>
          <cell r="D1118">
            <v>7</v>
          </cell>
        </row>
        <row r="1119">
          <cell r="A1119" t="str">
            <v>195 ED - JUNTOS PODEMOS</v>
          </cell>
          <cell r="C1119">
            <v>2.0699999999999998</v>
          </cell>
        </row>
        <row r="1120">
          <cell r="A1120" t="str">
            <v>709 - FU FUNRECRISTO</v>
          </cell>
          <cell r="D1120">
            <v>27.07</v>
          </cell>
        </row>
        <row r="1121">
          <cell r="A1121" t="str">
            <v>670 - FU FUNDACION MINISTERIIO CRISTIANO EL REINO DE DIOS (ESTE)</v>
          </cell>
          <cell r="D1121">
            <v>32</v>
          </cell>
        </row>
        <row r="1122">
          <cell r="A1122" t="str">
            <v>450-FU MINISTERIO DE RESTAURACION EFESIOS 4 (ESTE)</v>
          </cell>
          <cell r="D1122">
            <v>13</v>
          </cell>
        </row>
        <row r="1123">
          <cell r="A1123" t="str">
            <v>235 FU - FUNDACION GRUPO ENVIADOS</v>
          </cell>
          <cell r="D1123">
            <v>70</v>
          </cell>
        </row>
        <row r="1124">
          <cell r="A1124" t="str">
            <v>380-ED COMEDOR COMUNITARIO CASA DEL ALFARERO</v>
          </cell>
          <cell r="D1124">
            <v>4</v>
          </cell>
        </row>
        <row r="1125">
          <cell r="A1125" t="str">
            <v>202 FU - FUNDACIÓN HOGAR SAN JOSÉ (ESTE)</v>
          </cell>
          <cell r="D1125">
            <v>16</v>
          </cell>
        </row>
        <row r="1126">
          <cell r="A1126" t="str">
            <v>116 AS - ASOCIACIÓN IGLESIA DE CRISTO ESTRELLA CRECIENTE</v>
          </cell>
          <cell r="D1126">
            <v>23</v>
          </cell>
        </row>
        <row r="1127">
          <cell r="A1127" t="str">
            <v>469-FU MINISTERIO CRISTIANO EL SHADAI</v>
          </cell>
          <cell r="D1127">
            <v>1</v>
          </cell>
        </row>
        <row r="1128">
          <cell r="A1128" t="str">
            <v>597- IG MINISTERIO APOSTOLICO NEMUEL INTERNACIONAL</v>
          </cell>
          <cell r="D1128">
            <v>16</v>
          </cell>
        </row>
        <row r="1129">
          <cell r="A1129" t="str">
            <v>647 - IG CRISTO REY CAMBIANDO VIDAS (ESTE)</v>
          </cell>
          <cell r="D1129">
            <v>54</v>
          </cell>
        </row>
        <row r="1130">
          <cell r="A1130" t="str">
            <v>417-AS CLUB DE LEONES DE PEDREGAL (ESTE)</v>
          </cell>
          <cell r="D1130">
            <v>69</v>
          </cell>
        </row>
        <row r="1131">
          <cell r="A1131" t="str">
            <v>144 OR - HERMANAS DE SAN JOSÉ DE LA APARICIÓN (RETIRA EN EL BANCO)</v>
          </cell>
          <cell r="D1131">
            <v>173</v>
          </cell>
        </row>
        <row r="1132">
          <cell r="A1132" t="str">
            <v>270 FU - FUNDACIÓN MISERICORDIA DE DON BOSCO (OESTE)</v>
          </cell>
          <cell r="E1132">
            <v>0.5</v>
          </cell>
        </row>
        <row r="1133">
          <cell r="A1133" t="str">
            <v>381-FU FUNDAMIDOM</v>
          </cell>
          <cell r="E1133">
            <v>0.5</v>
          </cell>
        </row>
        <row r="1134">
          <cell r="A1134" t="str">
            <v>681 - FU FUNDACION NUEVA SOCIEDAD (NORTE)</v>
          </cell>
          <cell r="I1134">
            <v>12.25</v>
          </cell>
        </row>
        <row r="1135">
          <cell r="A1135" t="str">
            <v>94 OR - HOGAR SAN FRANCISCO DE ASÍS</v>
          </cell>
          <cell r="J1135">
            <v>14</v>
          </cell>
        </row>
        <row r="1136">
          <cell r="A1136" t="str">
            <v>671 - PA DIOCESIS DE PENONOME (COCLE)</v>
          </cell>
          <cell r="K1136">
            <v>2</v>
          </cell>
        </row>
        <row r="1137">
          <cell r="A1137" t="str">
            <v>377-FU CENTRO CRISTIANO CASA DE DIOS PANAMA</v>
          </cell>
          <cell r="G1137">
            <v>0.25</v>
          </cell>
        </row>
        <row r="1138">
          <cell r="A1138" t="str">
            <v>Retiro de Merma</v>
          </cell>
          <cell r="B1138">
            <v>243.07999999999998</v>
          </cell>
        </row>
        <row r="1139">
          <cell r="A1139" t="str">
            <v>415-AS CLUB DE LEONES DE CHITRE</v>
          </cell>
          <cell r="L1139">
            <v>22</v>
          </cell>
        </row>
        <row r="1140">
          <cell r="A1140" t="str">
            <v>656 - FU FUNDACION COCINA DEL REINO Y AMIGOS (CENTRO 1)</v>
          </cell>
          <cell r="C1140">
            <v>18</v>
          </cell>
        </row>
        <row r="1141">
          <cell r="A1141" t="str">
            <v>364-IG COMEDOR SHEKINA</v>
          </cell>
          <cell r="K1141">
            <v>110</v>
          </cell>
        </row>
        <row r="1142">
          <cell r="A1142" t="str">
            <v>595-FU CENTRO DE LA MUJER Y LA NIÑEZ</v>
          </cell>
          <cell r="C1142">
            <v>1</v>
          </cell>
        </row>
        <row r="1143">
          <cell r="A1143" t="str">
            <v>672 - FU FUNDACION NUEVO PACTO POR LA NIÑEZ</v>
          </cell>
          <cell r="C1143">
            <v>8</v>
          </cell>
        </row>
        <row r="1144">
          <cell r="A1144" t="str">
            <v>360-IG IGLESIA CRISTIANA CASA DE REUNION</v>
          </cell>
          <cell r="G1144">
            <v>8.75</v>
          </cell>
        </row>
        <row r="1145">
          <cell r="A1145" t="str">
            <v>263 IG TABERNÁCULO DE DIOS DE SAN MIGUEL DEL EXQUISITO</v>
          </cell>
          <cell r="J1145">
            <v>65</v>
          </cell>
        </row>
        <row r="1146">
          <cell r="A1146" t="str">
            <v>54 FU - FUNDACIÓN CASA HOGAR EL BUEN SAMARITANO</v>
          </cell>
          <cell r="D1146">
            <v>104</v>
          </cell>
        </row>
        <row r="1147">
          <cell r="A1147" t="str">
            <v>710 - AS CLUB DE LEONES DE SONA</v>
          </cell>
          <cell r="M1147">
            <v>50</v>
          </cell>
        </row>
        <row r="1148">
          <cell r="A1148" t="str">
            <v>684 - FU FUNDACION CASA DEL REY JESUS (CENTRO 2)</v>
          </cell>
          <cell r="C1148">
            <v>213</v>
          </cell>
        </row>
        <row r="1149">
          <cell r="A1149" t="str">
            <v>596 IG- IGLESIA EVANGELICA TRINITARIA DIOS FUENTE DE PODER</v>
          </cell>
          <cell r="C1149">
            <v>7.07</v>
          </cell>
        </row>
        <row r="1150">
          <cell r="A1150" t="str">
            <v>707 - FU MINISTERIO BERAKHAH INTERNACIONAL CAIMITILLO</v>
          </cell>
          <cell r="I1150">
            <v>8.57</v>
          </cell>
        </row>
        <row r="1151">
          <cell r="A1151" t="str">
            <v>229 PA - PARROQUIA SAN CRISTOBAL DE CHEPO</v>
          </cell>
          <cell r="D1151">
            <v>111.75</v>
          </cell>
        </row>
        <row r="1152">
          <cell r="A1152" t="str">
            <v>166 FU - FUNDACION CURAME</v>
          </cell>
          <cell r="C1152">
            <v>30</v>
          </cell>
        </row>
        <row r="1153">
          <cell r="A1153" t="str">
            <v>390-FU FUNDACION CRISTIANA FAMILIAR EL TALLER DEL MAESTRO (CENTRO1)</v>
          </cell>
          <cell r="C1153">
            <v>4</v>
          </cell>
        </row>
        <row r="1154">
          <cell r="A1154" t="str">
            <v>730-FU SOLIDARIDAD Y DESARROLLO DE PANAMA (VERAGUAS)</v>
          </cell>
          <cell r="M1154">
            <v>4</v>
          </cell>
        </row>
        <row r="1155">
          <cell r="A1155" t="str">
            <v>737- ASOCIACION CRISTIANA EBEN-EZER (ESTE)</v>
          </cell>
          <cell r="D1155">
            <v>13</v>
          </cell>
        </row>
        <row r="1156">
          <cell r="A1156" t="str">
            <v>738- IG MINISTERIO DIOS CON NOSOTROS EMANUEL</v>
          </cell>
          <cell r="D1156">
            <v>8</v>
          </cell>
        </row>
        <row r="1157">
          <cell r="A1157" t="str">
            <v>745-FU CASA DE MISERICORDIA</v>
          </cell>
          <cell r="C1157">
            <v>8</v>
          </cell>
        </row>
        <row r="1158">
          <cell r="A1158" t="str">
            <v>741-IG BUNKER DE ESPERANZA</v>
          </cell>
          <cell r="D1158">
            <v>179</v>
          </cell>
        </row>
        <row r="1159">
          <cell r="A1159" t="str">
            <v>749-IG Ministerio Tabernáculo de Santidad Internación (Guararé)</v>
          </cell>
          <cell r="M1159">
            <v>6.1999999999999993</v>
          </cell>
        </row>
        <row r="1160">
          <cell r="A1160" t="str">
            <v>750-IG MTSI Santiago</v>
          </cell>
          <cell r="M1160">
            <v>50</v>
          </cell>
        </row>
        <row r="1161">
          <cell r="A1161" t="str">
            <v>613-FU FUNDACION INMARE</v>
          </cell>
          <cell r="K1161">
            <v>45.000000000000007</v>
          </cell>
        </row>
        <row r="1162">
          <cell r="A1162" t="str">
            <v>275 IG CONCILIO GENERAL DE LAS ASAMBLEAS DE DIOS DE PANAMÁ</v>
          </cell>
          <cell r="C1162">
            <v>61</v>
          </cell>
        </row>
        <row r="1163">
          <cell r="A1163" t="str">
            <v>752-IG Ministerio Tabernáculo De Santidad Internacional (Chitre)</v>
          </cell>
          <cell r="L1163">
            <v>22</v>
          </cell>
        </row>
        <row r="1164">
          <cell r="A1164" t="str">
            <v>758-FU RESTAURANDO EL PRIMER AMOR</v>
          </cell>
          <cell r="I1164">
            <v>8</v>
          </cell>
        </row>
        <row r="1165">
          <cell r="A1165" t="str">
            <v>201 OR - MISIONERAS MADRE LAURA</v>
          </cell>
          <cell r="C1165">
            <v>13</v>
          </cell>
        </row>
        <row r="1166">
          <cell r="A1166" t="str">
            <v>765-IG EXPANSION MISIONERA RIOS DE AGUA VIVA</v>
          </cell>
          <cell r="L1166">
            <v>59</v>
          </cell>
        </row>
        <row r="1167">
          <cell r="A1167" t="str">
            <v>766-IG MINISTERIO BET-EL</v>
          </cell>
          <cell r="O1167">
            <v>24</v>
          </cell>
        </row>
        <row r="1168">
          <cell r="A1168" t="str">
            <v>785-FU FUNDACION GOTAS DE ESPERANZA</v>
          </cell>
          <cell r="E1168">
            <v>30.5</v>
          </cell>
        </row>
        <row r="1169">
          <cell r="A1169" t="str">
            <v>394-IG IGLESIA ESCUADRONES DEL EJERCITO DE DIOS (CENTRO2)</v>
          </cell>
          <cell r="C1169">
            <v>62</v>
          </cell>
        </row>
        <row r="1170">
          <cell r="A1170" t="str">
            <v>789-FU Fundación Rescate de Alimentos</v>
          </cell>
          <cell r="C1170">
            <v>24</v>
          </cell>
        </row>
        <row r="1171">
          <cell r="A1171" t="str">
            <v>793-FU Fundación Príncipes de Jehová</v>
          </cell>
          <cell r="I1171">
            <v>4</v>
          </cell>
        </row>
        <row r="1172">
          <cell r="A1172" t="str">
            <v>791-FU FUNDACION DIVINO NINO JESUS DE MI CORAZON</v>
          </cell>
          <cell r="D1172">
            <v>30</v>
          </cell>
        </row>
        <row r="1173">
          <cell r="A1173" t="str">
            <v>598- IG IGLESIA GLORIA TRANSFORMADORA SHEKINAH</v>
          </cell>
          <cell r="E1173">
            <v>16</v>
          </cell>
        </row>
        <row r="1174">
          <cell r="A1174" t="str">
            <v>138 OR - HERMANAS FRANCISCANAS DE MARIA INMACULADALA</v>
          </cell>
          <cell r="H1174">
            <v>0.5</v>
          </cell>
        </row>
        <row r="1175">
          <cell r="A1175" t="str">
            <v>3 IG - IGLESIA DEL NAZARENO</v>
          </cell>
          <cell r="E1175">
            <v>8</v>
          </cell>
        </row>
        <row r="1176">
          <cell r="A1176" t="str">
            <v>232 IG MINISTERIO TIEMPO DE COSECHA</v>
          </cell>
          <cell r="I1176">
            <v>27</v>
          </cell>
        </row>
        <row r="1177">
          <cell r="A1177" t="str">
            <v>8 PA - PARROQUIA SAN JUAN DE MACARACAS</v>
          </cell>
          <cell r="B1177">
            <v>12</v>
          </cell>
        </row>
        <row r="1178">
          <cell r="A1178" t="str">
            <v>240 PA - PARROQUIA SAN JOSÉ - PESE</v>
          </cell>
          <cell r="L1178">
            <v>87</v>
          </cell>
        </row>
        <row r="1179">
          <cell r="A1179" t="str">
            <v>253 FU - FUNDACIÓN PARA EL BIENESTAR SOCIAL (CENTRO2)</v>
          </cell>
          <cell r="C1179">
            <v>82</v>
          </cell>
        </row>
        <row r="1180">
          <cell r="A1180" t="str">
            <v>650 - IG ASOCIACION CRISTIANA EBEN - EZER #27 (ESTE)</v>
          </cell>
          <cell r="D1180">
            <v>2</v>
          </cell>
        </row>
        <row r="1181">
          <cell r="A1181" t="str">
            <v>802-IG IGLESIA INTERNACIONAL DEL EVANGELIO CUADRANGULAR DE PANAMÁ</v>
          </cell>
          <cell r="C1181">
            <v>18</v>
          </cell>
        </row>
        <row r="1182">
          <cell r="A1182" t="str">
            <v>227 FU - AID FOR AIDS PANAMÁ</v>
          </cell>
          <cell r="C1182">
            <v>4</v>
          </cell>
        </row>
        <row r="1183">
          <cell r="A1183" t="str">
            <v>814-IG Templo Morada Santa</v>
          </cell>
          <cell r="F1183">
            <v>6</v>
          </cell>
        </row>
        <row r="1184">
          <cell r="A1184" t="str">
            <v>392-FU Fundacion Jerusalen Trono de Jehova III</v>
          </cell>
          <cell r="E1184">
            <v>28</v>
          </cell>
        </row>
        <row r="1185">
          <cell r="A1185" t="str">
            <v>471-FU FUNDACION BUSCANDO UNA OPORTUNIDAD</v>
          </cell>
          <cell r="E1185">
            <v>24</v>
          </cell>
        </row>
        <row r="1186">
          <cell r="A1186" t="str">
            <v>5 AS - ASOCIACIÓN DAME UNA OPORTUNIDAD</v>
          </cell>
          <cell r="C1186">
            <v>32</v>
          </cell>
        </row>
        <row r="1187">
          <cell r="A1187" t="str">
            <v>756-FU Fundación Nuevas Rutas</v>
          </cell>
          <cell r="J1187">
            <v>110</v>
          </cell>
        </row>
        <row r="1188">
          <cell r="A1188" t="str">
            <v>828-IG IDN LAS TINAJAS</v>
          </cell>
          <cell r="J1188">
            <v>27</v>
          </cell>
        </row>
        <row r="1189">
          <cell r="A1189" t="str">
            <v>770-IG CENTRO CRISTIANO NUEVA VIDA</v>
          </cell>
          <cell r="K1189">
            <v>6</v>
          </cell>
        </row>
        <row r="1190">
          <cell r="A1190" t="str">
            <v>728-FU ANCEC SANTIAGO</v>
          </cell>
          <cell r="M1190">
            <v>24</v>
          </cell>
        </row>
        <row r="1191">
          <cell r="A1191" t="str">
            <v>731-FU CENTRO DE NIÑOS DOWN</v>
          </cell>
          <cell r="L1191">
            <v>2</v>
          </cell>
        </row>
        <row r="1192">
          <cell r="A1192" t="str">
            <v>245-FU MINISTERIO BERAKHAH INTERNACIONAL CUENTA PRINCIPAL</v>
          </cell>
          <cell r="D1192">
            <v>18</v>
          </cell>
        </row>
        <row r="1193">
          <cell r="A1193" t="str">
            <v>827-FU Fundación Transformemos mi comunidad</v>
          </cell>
          <cell r="E1193">
            <v>32</v>
          </cell>
        </row>
        <row r="1194">
          <cell r="A1194" t="str">
            <v>Vima Foods Panamá S.A.</v>
          </cell>
          <cell r="C1194">
            <v>9</v>
          </cell>
          <cell r="D1194">
            <v>15</v>
          </cell>
          <cell r="E1194">
            <v>8</v>
          </cell>
          <cell r="F1194">
            <v>4</v>
          </cell>
          <cell r="G1194">
            <v>1</v>
          </cell>
          <cell r="I1194">
            <v>2</v>
          </cell>
        </row>
        <row r="1195">
          <cell r="A1195" t="str">
            <v>662-IG MINISTERIO EVANGELICO EL APOSENTO ALTO (CENTRO 1)</v>
          </cell>
          <cell r="C1195">
            <v>5</v>
          </cell>
        </row>
        <row r="1196">
          <cell r="A1196" t="str">
            <v>298-FU - MINISTERIO FUENTE DE VIDA PARA EL PERDIDO</v>
          </cell>
          <cell r="F1196">
            <v>4</v>
          </cell>
        </row>
        <row r="1197">
          <cell r="A1197" t="str">
            <v>479-IG IGLESIA NUEVA ESPERANZA</v>
          </cell>
          <cell r="D1197">
            <v>2</v>
          </cell>
        </row>
        <row r="1198">
          <cell r="A1198" t="str">
            <v>104 AS - ASOCIACIÓN HOGAR FELICIDAD</v>
          </cell>
          <cell r="E1198">
            <v>2</v>
          </cell>
        </row>
        <row r="1199">
          <cell r="A1199" t="str">
            <v>178 IG - TEMPLO ZURIEL EL REFUGIO</v>
          </cell>
          <cell r="G1199">
            <v>1</v>
          </cell>
        </row>
        <row r="1200">
          <cell r="A1200" t="str">
            <v>288 IG MINISTERIO EVANGELISTICO DE SANACION Y RESTAURACION, SENALES, MILAGROS Y MARAVILLAS (ESTE)</v>
          </cell>
          <cell r="D1200">
            <v>2</v>
          </cell>
        </row>
        <row r="1201">
          <cell r="A1201" t="str">
            <v>654 - IG M.I.A.F NUEVA JERUSALEN PANAMA (ESTE)</v>
          </cell>
          <cell r="D1201">
            <v>1</v>
          </cell>
        </row>
        <row r="1202">
          <cell r="A1202" t="str">
            <v>709 - FU FUNRECRISTO</v>
          </cell>
          <cell r="D1202">
            <v>1</v>
          </cell>
        </row>
        <row r="1203">
          <cell r="A1203" t="str">
            <v>597- IG MINISTERIO APOSTOLICO NEMUEL INTERNACIONAL</v>
          </cell>
          <cell r="D1203">
            <v>4</v>
          </cell>
        </row>
        <row r="1204">
          <cell r="A1204" t="str">
            <v>417-AS CLUB DE LEONES DE PEDREGAL (ESTE)</v>
          </cell>
          <cell r="D1204">
            <v>2</v>
          </cell>
        </row>
        <row r="1205">
          <cell r="A1205" t="str">
            <v>381-FU FUNDAMIDOM</v>
          </cell>
          <cell r="E1205">
            <v>4</v>
          </cell>
        </row>
        <row r="1206">
          <cell r="A1206" t="str">
            <v>723 ASOCIACION AQUI ESTOY</v>
          </cell>
          <cell r="E1206">
            <v>1</v>
          </cell>
        </row>
        <row r="1207">
          <cell r="A1207" t="str">
            <v>229 PA - PARROQUIA SAN CRISTOBAL DE CHEPO</v>
          </cell>
          <cell r="D1207">
            <v>1</v>
          </cell>
        </row>
        <row r="1208">
          <cell r="A1208" t="str">
            <v>738- IG MINISTERIO DIOS CON NOSOTROS EMANUEL</v>
          </cell>
          <cell r="D1208">
            <v>1</v>
          </cell>
        </row>
        <row r="1209">
          <cell r="A1209" t="str">
            <v>759-FU SOLO ES CUESTION DE FE</v>
          </cell>
          <cell r="D1209">
            <v>1</v>
          </cell>
        </row>
        <row r="1210">
          <cell r="A1210" t="str">
            <v>785-FU FUNDACION GOTAS DE ESPERANZA</v>
          </cell>
          <cell r="E1210">
            <v>1</v>
          </cell>
        </row>
        <row r="1211">
          <cell r="A1211" t="str">
            <v>394-IG IGLESIA ESCUADRONES DEL EJERCITO DE DIOS (CENTRO2)</v>
          </cell>
          <cell r="C1211">
            <v>1</v>
          </cell>
        </row>
        <row r="1212">
          <cell r="A1212" t="str">
            <v>793-FU Fundación Príncipes de Jehová</v>
          </cell>
          <cell r="I1212">
            <v>2</v>
          </cell>
        </row>
        <row r="1213">
          <cell r="A1213" t="str">
            <v>185 FU - FUNDACIÓN ABIA YALA</v>
          </cell>
          <cell r="C1213">
            <v>3</v>
          </cell>
        </row>
        <row r="1214">
          <cell r="A1214" t="str">
            <v>PRODUCTOS KIENER</v>
          </cell>
          <cell r="C1214">
            <v>243</v>
          </cell>
          <cell r="D1214">
            <v>314</v>
          </cell>
          <cell r="E1214">
            <v>74</v>
          </cell>
          <cell r="F1214">
            <v>32</v>
          </cell>
          <cell r="G1214">
            <v>38</v>
          </cell>
          <cell r="H1214">
            <v>18</v>
          </cell>
          <cell r="I1214">
            <v>52</v>
          </cell>
          <cell r="J1214">
            <v>2</v>
          </cell>
        </row>
        <row r="1215">
          <cell r="A1215" t="str">
            <v>702 - FU MINISTERIO BERAKHAH INTERNACIONAL ARRAIJAN</v>
          </cell>
          <cell r="E1215">
            <v>8</v>
          </cell>
        </row>
        <row r="1216">
          <cell r="A1216" t="str">
            <v>298-FU - MINISTERIO FUENTE DE VIDA PARA EL PERDIDO</v>
          </cell>
          <cell r="F1216">
            <v>18</v>
          </cell>
        </row>
        <row r="1217">
          <cell r="A1217" t="str">
            <v>479-IG IGLESIA NUEVA ESPERANZA</v>
          </cell>
          <cell r="D1217">
            <v>4</v>
          </cell>
        </row>
        <row r="1218">
          <cell r="A1218" t="str">
            <v>175 AS - ASOCIACIÓN RESTAURANDO VIDAS</v>
          </cell>
          <cell r="D1218">
            <v>12</v>
          </cell>
        </row>
        <row r="1219">
          <cell r="A1219" t="str">
            <v>178 IG - TEMPLO ZURIEL EL REFUGIO</v>
          </cell>
          <cell r="G1219">
            <v>12</v>
          </cell>
        </row>
        <row r="1220">
          <cell r="A1220" t="str">
            <v>207 IG - IGLESIA CENTRO DE VIDA CRISTIANA</v>
          </cell>
          <cell r="D1220">
            <v>2</v>
          </cell>
        </row>
        <row r="1221">
          <cell r="A1221" t="str">
            <v>493-FU Comedor Jesús es mi Pastor</v>
          </cell>
          <cell r="D1221">
            <v>4</v>
          </cell>
        </row>
        <row r="1222">
          <cell r="A1222" t="str">
            <v>636- FU JAH - LIVE (JAHL) - COLON</v>
          </cell>
          <cell r="H1222">
            <v>10</v>
          </cell>
        </row>
        <row r="1223">
          <cell r="A1223" t="str">
            <v>365-IG COMEDOR HEFZIBA</v>
          </cell>
          <cell r="I1223">
            <v>8</v>
          </cell>
        </row>
        <row r="1224">
          <cell r="A1224" t="str">
            <v>635 TEMPLO ADULAM</v>
          </cell>
          <cell r="E1224">
            <v>4</v>
          </cell>
        </row>
        <row r="1225">
          <cell r="A1225" t="str">
            <v>470-FU IGLESIA MONTE SANTO</v>
          </cell>
          <cell r="D1225">
            <v>14</v>
          </cell>
        </row>
        <row r="1226">
          <cell r="A1226" t="str">
            <v>687 - FU FUNDACION ARCA DE JESUS</v>
          </cell>
          <cell r="E1226">
            <v>8</v>
          </cell>
        </row>
        <row r="1227">
          <cell r="A1227" t="str">
            <v>218 ED - LOS PREFERIDOS DEL SEÑOR (CENTRO2)</v>
          </cell>
          <cell r="C1227">
            <v>62</v>
          </cell>
        </row>
        <row r="1228">
          <cell r="A1228" t="str">
            <v>187 IG - IGLESIA DE DIOS DE LA PROFECÍA</v>
          </cell>
          <cell r="D1228">
            <v>26</v>
          </cell>
        </row>
        <row r="1229">
          <cell r="A1229" t="str">
            <v>321-IG IGLESIA DIOS ES MI PROVEEDOR Y SUSTENTO</v>
          </cell>
          <cell r="D1229">
            <v>18</v>
          </cell>
        </row>
        <row r="1230">
          <cell r="A1230" t="str">
            <v>694 - FU MINISTERIO BERAKHAH INTERNACIONAL TOCUMEN #2</v>
          </cell>
          <cell r="D1230">
            <v>8</v>
          </cell>
        </row>
        <row r="1231">
          <cell r="A1231" t="str">
            <v>695 - FU MINISTERIO BERAKHAH INTERNACIONAL 24 DIC</v>
          </cell>
          <cell r="D1231">
            <v>6</v>
          </cell>
        </row>
        <row r="1232">
          <cell r="A1232" t="str">
            <v>703 - FU MINISTERIO BERAKHAH INTERNACIONAL FELIPILLO #3</v>
          </cell>
          <cell r="D1232">
            <v>4</v>
          </cell>
        </row>
        <row r="1233">
          <cell r="A1233" t="str">
            <v>444-FU MINISTERIO BERAKHAH INTERNACIONAL COMEDOR LAS GARZAS #1</v>
          </cell>
          <cell r="D1233">
            <v>4</v>
          </cell>
        </row>
        <row r="1234">
          <cell r="A1234" t="str">
            <v>366-FU CENTRO MISIONERO EL SHADAI (ESTE)</v>
          </cell>
          <cell r="D1234">
            <v>14</v>
          </cell>
        </row>
        <row r="1235">
          <cell r="A1235" t="str">
            <v>498-FU COMEDOR NIÑOS DE BENDICION</v>
          </cell>
          <cell r="E1235">
            <v>8</v>
          </cell>
        </row>
        <row r="1236">
          <cell r="A1236" t="str">
            <v>288 IG MINISTERIO EVANGELISTICO DE SANACION Y RESTAURACION, SENALES, MILAGROS Y MARAVILLAS (ESTE)</v>
          </cell>
          <cell r="D1236">
            <v>8</v>
          </cell>
        </row>
        <row r="1237">
          <cell r="A1237" t="str">
            <v>373-FU MINISTERIO INTERNACIONAL BOANERGES</v>
          </cell>
          <cell r="I1237">
            <v>10</v>
          </cell>
        </row>
        <row r="1238">
          <cell r="A1238" t="str">
            <v>197 FU FUNDACION SOCIAL CULTURAL Y AMBIENTAL DE VERACRUZ (OESTE)</v>
          </cell>
          <cell r="E1238">
            <v>8</v>
          </cell>
        </row>
        <row r="1239">
          <cell r="A1239" t="str">
            <v>183 ED - BELÉN CASA DE PAN (ESTE)</v>
          </cell>
          <cell r="D1239">
            <v>4</v>
          </cell>
        </row>
        <row r="1240">
          <cell r="A1240" t="str">
            <v>691 - AR CARITAS ARQUIDIOCESANA</v>
          </cell>
          <cell r="C1240">
            <v>2</v>
          </cell>
        </row>
        <row r="1241">
          <cell r="A1241" t="str">
            <v>431-IG IGLESIA ADVENTISTA DISTRITO 8</v>
          </cell>
          <cell r="D1241">
            <v>2</v>
          </cell>
        </row>
        <row r="1242">
          <cell r="A1242" t="str">
            <v>211 IG - IGLESIA CRISTIANA KADOSH</v>
          </cell>
          <cell r="C1242">
            <v>2</v>
          </cell>
        </row>
        <row r="1243">
          <cell r="A1243" t="str">
            <v>368-FU MINISTERIO PACTO DE SANTIDAD</v>
          </cell>
          <cell r="C1243">
            <v>6</v>
          </cell>
        </row>
        <row r="1244">
          <cell r="A1244" t="str">
            <v>2 PA - PARROQUIA SAN JUAN MARIA VIANNEY (NORTE)</v>
          </cell>
          <cell r="I1244">
            <v>2</v>
          </cell>
        </row>
        <row r="1245">
          <cell r="A1245" t="str">
            <v>696 - FU MINISTERIO BERAKHAH INTERNACIONAL CHEPO #1</v>
          </cell>
          <cell r="D1245">
            <v>4</v>
          </cell>
        </row>
        <row r="1246">
          <cell r="A1246" t="str">
            <v>472-FU FUNDACION TALITA CUMI</v>
          </cell>
          <cell r="D1246">
            <v>4</v>
          </cell>
        </row>
        <row r="1247">
          <cell r="A1247" t="str">
            <v>222 ED - MISERICORDIAR</v>
          </cell>
          <cell r="D1247">
            <v>38</v>
          </cell>
        </row>
        <row r="1248">
          <cell r="A1248" t="str">
            <v>259 IG - ALCANCE VICTORIA PANAMÁ</v>
          </cell>
          <cell r="C1248">
            <v>6</v>
          </cell>
        </row>
        <row r="1249">
          <cell r="A1249" t="str">
            <v>668 - FU FUNDACION CRISTIANA LA FE EN MARCHA</v>
          </cell>
          <cell r="J1249">
            <v>2</v>
          </cell>
        </row>
        <row r="1250">
          <cell r="A1250" t="str">
            <v>379-FU Fundacion Ministerio Apostolico Manantial de Vida</v>
          </cell>
          <cell r="H1250">
            <v>8</v>
          </cell>
        </row>
        <row r="1251">
          <cell r="A1251" t="str">
            <v>387-AS Asociacion ODSSAR-OBC</v>
          </cell>
          <cell r="D1251">
            <v>2</v>
          </cell>
        </row>
        <row r="1252">
          <cell r="A1252" t="str">
            <v>300 ED - BENEFICIARIOS</v>
          </cell>
          <cell r="D1252">
            <v>18</v>
          </cell>
        </row>
        <row r="1253">
          <cell r="A1253" t="str">
            <v>630-IG MIN.INTL.DE CRISTO PAZ DE DIOS</v>
          </cell>
          <cell r="C1253">
            <v>18</v>
          </cell>
        </row>
        <row r="1254">
          <cell r="A1254" t="str">
            <v>397-FU FUNDACION SHALOM PANAMA</v>
          </cell>
          <cell r="E1254">
            <v>2</v>
          </cell>
        </row>
        <row r="1255">
          <cell r="A1255" t="str">
            <v>697 - FU MINISTERIO BERAKHAH INTERNACIONAL CHEPO #2</v>
          </cell>
          <cell r="D1255">
            <v>10</v>
          </cell>
        </row>
        <row r="1256">
          <cell r="A1256" t="str">
            <v>195 ED - JUNTOS PODEMOS</v>
          </cell>
          <cell r="C1256">
            <v>26</v>
          </cell>
        </row>
        <row r="1257">
          <cell r="A1257" t="str">
            <v>653 - FU FUNDACION LUIS CARLOS DIAZ (OESTE)</v>
          </cell>
          <cell r="E1257">
            <v>6</v>
          </cell>
        </row>
        <row r="1258">
          <cell r="A1258" t="str">
            <v>450-FU MINISTERIO DE RESTAURACION EFESIOS 4 (ESTE)</v>
          </cell>
          <cell r="D1258">
            <v>4</v>
          </cell>
        </row>
        <row r="1259">
          <cell r="A1259" t="str">
            <v>235 FU - FUNDACION GRUPO ENVIADOS</v>
          </cell>
          <cell r="D1259">
            <v>4</v>
          </cell>
        </row>
        <row r="1260">
          <cell r="A1260" t="str">
            <v>380-ED COMEDOR COMUNITARIO CASA DEL ALFARERO</v>
          </cell>
          <cell r="D1260">
            <v>2</v>
          </cell>
        </row>
        <row r="1261">
          <cell r="A1261" t="str">
            <v>202 FU - FUNDACIÓN HOGAR SAN JOSÉ (ESTE)</v>
          </cell>
          <cell r="D1261">
            <v>2</v>
          </cell>
        </row>
        <row r="1262">
          <cell r="A1262" t="str">
            <v>451-IG IGLESIA MANANTIAL DE VIDA (ESTE)</v>
          </cell>
          <cell r="D1262">
            <v>4</v>
          </cell>
        </row>
        <row r="1263">
          <cell r="A1263" t="str">
            <v>597- IG MINISTERIO APOSTOLICO NEMUEL INTERNACIONAL</v>
          </cell>
          <cell r="D1263">
            <v>12</v>
          </cell>
        </row>
        <row r="1264">
          <cell r="A1264" t="str">
            <v>252 IG - MINISTERIO INTERNACIONAL DE AMISTADES CRISTIANAS</v>
          </cell>
          <cell r="D1264">
            <v>8</v>
          </cell>
        </row>
        <row r="1265">
          <cell r="A1265" t="str">
            <v>144 OR - HERMANAS DE SAN JOSÉ DE LA APARICIÓN (RETIRA EN EL BANCO)</v>
          </cell>
          <cell r="D1265">
            <v>8</v>
          </cell>
        </row>
        <row r="1266">
          <cell r="A1266" t="str">
            <v>270 FU - FUNDACIÓN MISERICORDIA DE DON BOSCO (OESTE)</v>
          </cell>
          <cell r="E1266">
            <v>4</v>
          </cell>
        </row>
        <row r="1267">
          <cell r="A1267" t="str">
            <v>381-FU FUNDAMIDOM</v>
          </cell>
          <cell r="E1267">
            <v>2</v>
          </cell>
        </row>
        <row r="1268">
          <cell r="A1268" t="str">
            <v>491-FU Fundación Aleluya</v>
          </cell>
          <cell r="G1268">
            <v>4</v>
          </cell>
        </row>
        <row r="1269">
          <cell r="A1269" t="str">
            <v>681 - FU FUNDACION NUEVA SOCIEDAD (NORTE)</v>
          </cell>
          <cell r="I1269">
            <v>4</v>
          </cell>
        </row>
        <row r="1270">
          <cell r="A1270" t="str">
            <v>377-FU CENTRO CRISTIANO CASA DE DIOS PANAMA</v>
          </cell>
          <cell r="G1270">
            <v>12</v>
          </cell>
        </row>
        <row r="1271">
          <cell r="A1271" t="str">
            <v>656 - FU FUNDACION COCINA DEL REINO Y AMIGOS (CENTRO 1)</v>
          </cell>
          <cell r="C1271">
            <v>4</v>
          </cell>
        </row>
        <row r="1272">
          <cell r="A1272" t="str">
            <v>595-FU CENTRO DE LA MUJER Y LA NIÑEZ</v>
          </cell>
          <cell r="C1272">
            <v>4</v>
          </cell>
        </row>
        <row r="1273">
          <cell r="A1273" t="str">
            <v>360-IG IGLESIA CRISTIANA CASA DE REUNION</v>
          </cell>
          <cell r="G1273">
            <v>8</v>
          </cell>
        </row>
        <row r="1274">
          <cell r="A1274" t="str">
            <v>719 FU FUNDACION VIDA NUEVA EL SHADDAI</v>
          </cell>
          <cell r="G1274">
            <v>2</v>
          </cell>
        </row>
        <row r="1275">
          <cell r="A1275" t="str">
            <v>54 FU - FUNDACIÓN CASA HOGAR EL BUEN SAMARITANO</v>
          </cell>
          <cell r="D1275">
            <v>30</v>
          </cell>
        </row>
        <row r="1276">
          <cell r="A1276" t="str">
            <v>684 - FU FUNDACION CASA DEL REY JESUS (CENTRO 2)</v>
          </cell>
          <cell r="C1276">
            <v>19</v>
          </cell>
        </row>
        <row r="1277">
          <cell r="A1277" t="str">
            <v>723 ASOCIACION AQUI ESTOY</v>
          </cell>
          <cell r="E1277">
            <v>6</v>
          </cell>
        </row>
        <row r="1278">
          <cell r="A1278" t="str">
            <v>229 PA - PARROQUIA SAN CRISTOBAL DE CHEPO</v>
          </cell>
          <cell r="D1278">
            <v>6</v>
          </cell>
        </row>
        <row r="1279">
          <cell r="A1279" t="str">
            <v>166 FU - FUNDACION CURAME</v>
          </cell>
          <cell r="C1279">
            <v>4</v>
          </cell>
        </row>
        <row r="1280">
          <cell r="A1280" t="str">
            <v>390-FU FUNDACION CRISTIANA FAMILIAR EL TALLER DEL MAESTRO (CENTRO1)</v>
          </cell>
          <cell r="C1280">
            <v>6</v>
          </cell>
        </row>
        <row r="1281">
          <cell r="A1281" t="str">
            <v>737- ASOCIACION CRISTIANA EBEN-EZER (ESTE)</v>
          </cell>
          <cell r="D1281">
            <v>4</v>
          </cell>
        </row>
        <row r="1282">
          <cell r="A1282" t="str">
            <v>733-IG LA ORACION FUERTE AL ESPIRITU SANTO</v>
          </cell>
          <cell r="C1282">
            <v>4</v>
          </cell>
        </row>
        <row r="1283">
          <cell r="A1283" t="str">
            <v>745-FU CASA DE MISERICORDIA</v>
          </cell>
          <cell r="C1283">
            <v>2</v>
          </cell>
        </row>
        <row r="1284">
          <cell r="A1284" t="str">
            <v>748-IG MINISTERIO JESUCRISTO ES EL PAN DE VIDA</v>
          </cell>
          <cell r="I1284">
            <v>2</v>
          </cell>
        </row>
        <row r="1285">
          <cell r="A1285" t="str">
            <v>741-IG BUNKER DE ESPERANZA</v>
          </cell>
          <cell r="D1285">
            <v>6</v>
          </cell>
        </row>
        <row r="1286">
          <cell r="A1286" t="str">
            <v>760-FU AYUDAME A VIVIR</v>
          </cell>
          <cell r="I1286">
            <v>4</v>
          </cell>
        </row>
        <row r="1287">
          <cell r="A1287" t="str">
            <v>759-FU SOLO ES CUESTION DE FE</v>
          </cell>
          <cell r="D1287">
            <v>2</v>
          </cell>
        </row>
        <row r="1288">
          <cell r="A1288" t="str">
            <v>275 IG CONCILIO GENERAL DE LAS ASAMBLEAS DE DIOS DE PANAMÁ</v>
          </cell>
          <cell r="C1288">
            <v>6</v>
          </cell>
        </row>
        <row r="1289">
          <cell r="A1289" t="str">
            <v>758-FU RESTAURANDO EL PRIMER AMOR</v>
          </cell>
          <cell r="I1289">
            <v>4</v>
          </cell>
        </row>
        <row r="1290">
          <cell r="A1290" t="str">
            <v>201 OR - MISIONERAS MADRE LAURA</v>
          </cell>
          <cell r="C1290">
            <v>2</v>
          </cell>
        </row>
        <row r="1291">
          <cell r="A1291" t="str">
            <v>785-FU FUNDACION GOTAS DE ESPERANZA</v>
          </cell>
          <cell r="E1291">
            <v>6</v>
          </cell>
        </row>
        <row r="1292">
          <cell r="A1292" t="str">
            <v>394-IG IGLESIA ESCUADRONES DEL EJERCITO DE DIOS (CENTRO2)</v>
          </cell>
          <cell r="C1292">
            <v>20</v>
          </cell>
        </row>
        <row r="1293">
          <cell r="A1293" t="str">
            <v>789-FU Fundación Rescate de Alimentos</v>
          </cell>
          <cell r="C1293">
            <v>22</v>
          </cell>
        </row>
        <row r="1294">
          <cell r="A1294" t="str">
            <v>793-FU Fundación Príncipes de Jehová</v>
          </cell>
          <cell r="I1294">
            <v>12</v>
          </cell>
        </row>
        <row r="1295">
          <cell r="A1295" t="str">
            <v>791-FU FUNDACION DIVINO NINO JESUS DE MI CORAZON</v>
          </cell>
          <cell r="D1295">
            <v>2</v>
          </cell>
        </row>
        <row r="1296">
          <cell r="A1296" t="str">
            <v>598- IG IGLESIA GLORIA TRANSFORMADORA SHEKINAH</v>
          </cell>
          <cell r="E1296">
            <v>2</v>
          </cell>
        </row>
        <row r="1297">
          <cell r="A1297" t="str">
            <v>3 IG - IGLESIA DEL NAZARENO</v>
          </cell>
          <cell r="E1297">
            <v>2</v>
          </cell>
        </row>
        <row r="1298">
          <cell r="A1298" t="str">
            <v>804-IG Templo Misionero Eclesiastés</v>
          </cell>
          <cell r="I1298">
            <v>2</v>
          </cell>
        </row>
        <row r="1299">
          <cell r="A1299" t="str">
            <v>661 - FU FUNDACION MAS INTEGRADOS (DARIEN)</v>
          </cell>
          <cell r="F1299">
            <v>14</v>
          </cell>
        </row>
        <row r="1300">
          <cell r="A1300" t="str">
            <v>253 FU - FUNDACIÓN PARA EL BIENESTAR SOCIAL (CENTRO2)</v>
          </cell>
          <cell r="C1300">
            <v>4</v>
          </cell>
        </row>
        <row r="1301">
          <cell r="A1301" t="str">
            <v>463-FU MINISTERIO BERAKHAH INTERNACIONAL COMEDOR OASIS DE ESPERANZA (ESTE)</v>
          </cell>
          <cell r="D1301">
            <v>4</v>
          </cell>
        </row>
        <row r="1302">
          <cell r="A1302" t="str">
            <v>650 - IG ASOCIACION CRISTIANA EBEN - EZER #27 (ESTE)</v>
          </cell>
          <cell r="D1302">
            <v>8</v>
          </cell>
        </row>
        <row r="1303">
          <cell r="A1303" t="str">
            <v>375-FU Ministerio a Dios sea la Gloria</v>
          </cell>
          <cell r="C1303">
            <v>8</v>
          </cell>
        </row>
        <row r="1304">
          <cell r="A1304" t="str">
            <v>802-IG IGLESIA INTERNACIONAL DEL EVANGELIO CUADRANGULAR DE PANAMÁ</v>
          </cell>
          <cell r="C1304">
            <v>4</v>
          </cell>
        </row>
        <row r="1305">
          <cell r="A1305" t="str">
            <v>786-FU ACADEMIA DE FUTBOL ROMAN TORRES</v>
          </cell>
          <cell r="C1305">
            <v>6</v>
          </cell>
        </row>
        <row r="1306">
          <cell r="A1306" t="str">
            <v>734-FU MINISTERIO DE SALVACION EL CAMINO DE DIOS</v>
          </cell>
          <cell r="I1306">
            <v>4</v>
          </cell>
        </row>
        <row r="1307">
          <cell r="A1307" t="str">
            <v>392-FU Fundacion Jerusalen Trono de Jehova III</v>
          </cell>
          <cell r="E1307">
            <v>2</v>
          </cell>
        </row>
        <row r="1308">
          <cell r="A1308" t="str">
            <v>641 - IG IGLESIA EVANGELICA QUIRIAT SALEM (ESTE)</v>
          </cell>
          <cell r="D1308">
            <v>2</v>
          </cell>
        </row>
        <row r="1309">
          <cell r="A1309" t="str">
            <v>471-FU FUNDACION BUSCANDO UNA OPORTUNIDAD</v>
          </cell>
          <cell r="E1309">
            <v>2</v>
          </cell>
        </row>
        <row r="1310">
          <cell r="A1310" t="str">
            <v>5 AS - ASOCIACIÓN DAME UNA OPORTUNIDAD</v>
          </cell>
          <cell r="C1310">
            <v>6</v>
          </cell>
        </row>
        <row r="1311">
          <cell r="A1311" t="str">
            <v>827-FU Fundación Transformemos mi comunidad</v>
          </cell>
          <cell r="E1311">
            <v>4</v>
          </cell>
        </row>
        <row r="1312">
          <cell r="A1312" t="str">
            <v>SALVA - MAR,</v>
          </cell>
          <cell r="C1312">
            <v>120</v>
          </cell>
          <cell r="D1312">
            <v>304</v>
          </cell>
          <cell r="E1312">
            <v>104</v>
          </cell>
          <cell r="G1312">
            <v>8</v>
          </cell>
          <cell r="H1312">
            <v>96</v>
          </cell>
          <cell r="I1312">
            <v>24</v>
          </cell>
          <cell r="J1312">
            <v>153</v>
          </cell>
          <cell r="K1312">
            <v>65</v>
          </cell>
          <cell r="L1312">
            <v>15</v>
          </cell>
          <cell r="M1312">
            <v>70</v>
          </cell>
          <cell r="O1312">
            <v>8</v>
          </cell>
        </row>
        <row r="1313">
          <cell r="A1313" t="str">
            <v>479-IG IGLESIA NUEVA ESPERANZA</v>
          </cell>
          <cell r="D1313">
            <v>8</v>
          </cell>
        </row>
        <row r="1314">
          <cell r="A1314" t="str">
            <v>178 IG - TEMPLO ZURIEL EL REFUGIO</v>
          </cell>
          <cell r="G1314">
            <v>8</v>
          </cell>
        </row>
        <row r="1315">
          <cell r="A1315" t="str">
            <v>636- FU JAH - LIVE (JAHL) - COLON</v>
          </cell>
          <cell r="H1315">
            <v>88</v>
          </cell>
        </row>
        <row r="1316">
          <cell r="A1316" t="str">
            <v>365-IG COMEDOR HEFZIBA</v>
          </cell>
          <cell r="I1316">
            <v>16</v>
          </cell>
        </row>
        <row r="1317">
          <cell r="A1317" t="str">
            <v>635 TEMPLO ADULAM</v>
          </cell>
          <cell r="E1317">
            <v>16</v>
          </cell>
        </row>
        <row r="1318">
          <cell r="A1318" t="str">
            <v>687 - FU FUNDACION ARCA DE JESUS</v>
          </cell>
          <cell r="E1318">
            <v>24</v>
          </cell>
        </row>
        <row r="1319">
          <cell r="A1319" t="str">
            <v>187 IG - IGLESIA DE DIOS DE LA PROFECÍA</v>
          </cell>
          <cell r="D1319">
            <v>40</v>
          </cell>
        </row>
        <row r="1320">
          <cell r="A1320" t="str">
            <v>111 FU - FUNDACIÓN NUESTRA SEÑORA DEL CAMINO</v>
          </cell>
          <cell r="J1320">
            <v>66</v>
          </cell>
        </row>
        <row r="1321">
          <cell r="A1321" t="str">
            <v>695 - FU MINISTERIO BERAKHAH INTERNACIONAL 24 DIC</v>
          </cell>
          <cell r="D1321">
            <v>8</v>
          </cell>
        </row>
        <row r="1322">
          <cell r="A1322" t="str">
            <v>366-FU CENTRO MISIONERO EL SHADAI (ESTE)</v>
          </cell>
          <cell r="D1322">
            <v>24</v>
          </cell>
        </row>
        <row r="1323">
          <cell r="A1323" t="str">
            <v>498-FU COMEDOR NIÑOS DE BENDICION</v>
          </cell>
          <cell r="E1323">
            <v>8</v>
          </cell>
        </row>
        <row r="1324">
          <cell r="A1324" t="str">
            <v>288 IG MINISTERIO EVANGELISTICO DE SANACION Y RESTAURACION, SENALES, MILAGROS Y MARAVILLAS (ESTE)</v>
          </cell>
          <cell r="D1324">
            <v>16</v>
          </cell>
        </row>
        <row r="1325">
          <cell r="A1325" t="str">
            <v>197 FU FUNDACION SOCIAL CULTURAL Y AMBIENTAL DE VERACRUZ (OESTE)</v>
          </cell>
          <cell r="E1325">
            <v>8</v>
          </cell>
        </row>
        <row r="1326">
          <cell r="A1326" t="str">
            <v>51 PA - PARROQUIA SAN PIO DE PIETRELCINA (ESTE)</v>
          </cell>
          <cell r="D1326">
            <v>16</v>
          </cell>
        </row>
        <row r="1327">
          <cell r="A1327" t="str">
            <v>487-FU FUNDACION CASA AVE MARIA</v>
          </cell>
          <cell r="E1327">
            <v>32</v>
          </cell>
        </row>
        <row r="1328">
          <cell r="A1328" t="str">
            <v>2 PA - PARROQUIA SAN JUAN MARIA VIANNEY (NORTE)</v>
          </cell>
          <cell r="I1328">
            <v>8</v>
          </cell>
        </row>
        <row r="1329">
          <cell r="A1329" t="str">
            <v>379-FU Fundacion Ministerio Apostolico Manantial de Vida</v>
          </cell>
          <cell r="H1329">
            <v>8</v>
          </cell>
        </row>
        <row r="1330">
          <cell r="A1330" t="str">
            <v>644 - IG TEMPLO SENDA DE VIDA (CHIRIQUÍ)</v>
          </cell>
          <cell r="J1330">
            <v>16</v>
          </cell>
        </row>
        <row r="1331">
          <cell r="A1331" t="str">
            <v>387-AS Asociacion ODSSAR-OBC</v>
          </cell>
          <cell r="D1331">
            <v>8</v>
          </cell>
        </row>
        <row r="1332">
          <cell r="A1332" t="str">
            <v>300 ED - BENEFICIARIOS</v>
          </cell>
          <cell r="D1332">
            <v>40</v>
          </cell>
        </row>
        <row r="1333">
          <cell r="A1333" t="str">
            <v>630-IG MIN.INTL.DE CRISTO PAZ DE DIOS</v>
          </cell>
          <cell r="C1333">
            <v>40</v>
          </cell>
        </row>
        <row r="1334">
          <cell r="A1334" t="str">
            <v>397-FU FUNDACION SHALOM PANAMA</v>
          </cell>
          <cell r="E1334">
            <v>8</v>
          </cell>
        </row>
        <row r="1335">
          <cell r="A1335" t="str">
            <v>450-FU MINISTERIO DE RESTAURACION EFESIOS 4 (ESTE)</v>
          </cell>
          <cell r="D1335">
            <v>8</v>
          </cell>
        </row>
        <row r="1336">
          <cell r="A1336" t="str">
            <v>202 FU - FUNDACIÓN HOGAR SAN JOSÉ (ESTE)</v>
          </cell>
          <cell r="D1336">
            <v>16</v>
          </cell>
        </row>
        <row r="1337">
          <cell r="A1337" t="str">
            <v>417-AS CLUB DE LEONES DE PEDREGAL (ESTE)</v>
          </cell>
          <cell r="D1337">
            <v>16</v>
          </cell>
        </row>
        <row r="1338">
          <cell r="A1338" t="str">
            <v>144 OR - HERMANAS DE SAN JOSÉ DE LA APARICIÓN (RETIRA EN EL BANCO)</v>
          </cell>
          <cell r="D1338">
            <v>32</v>
          </cell>
        </row>
        <row r="1339">
          <cell r="A1339" t="str">
            <v>94 OR - HOGAR SAN FRANCISCO DE ASÍS</v>
          </cell>
          <cell r="J1339">
            <v>71</v>
          </cell>
        </row>
        <row r="1340">
          <cell r="A1340" t="str">
            <v>656 - FU FUNDACION COCINA DEL REINO Y AMIGOS (CENTRO 1)</v>
          </cell>
          <cell r="C1340">
            <v>8</v>
          </cell>
        </row>
        <row r="1341">
          <cell r="A1341" t="str">
            <v>364-IG COMEDOR SHEKINA</v>
          </cell>
          <cell r="K1341">
            <v>30</v>
          </cell>
        </row>
        <row r="1342">
          <cell r="A1342" t="str">
            <v>54 FU - FUNDACIÓN CASA HOGAR EL BUEN SAMARITANO</v>
          </cell>
          <cell r="D1342">
            <v>40</v>
          </cell>
        </row>
        <row r="1343">
          <cell r="A1343" t="str">
            <v>710 - AS CLUB DE LEONES DE SONA</v>
          </cell>
          <cell r="M1343">
            <v>20</v>
          </cell>
        </row>
        <row r="1344">
          <cell r="A1344" t="str">
            <v>684 - FU FUNDACION CASA DEL REY JESUS (CENTRO 2)</v>
          </cell>
          <cell r="C1344">
            <v>40</v>
          </cell>
        </row>
        <row r="1345">
          <cell r="A1345" t="str">
            <v>737- ASOCIACION CRISTIANA EBEN-EZER (ESTE)</v>
          </cell>
          <cell r="D1345">
            <v>8</v>
          </cell>
        </row>
        <row r="1346">
          <cell r="A1346" t="str">
            <v>738- IG MINISTERIO DIOS CON NOSOTROS EMANUEL</v>
          </cell>
          <cell r="D1346">
            <v>8</v>
          </cell>
        </row>
        <row r="1347">
          <cell r="A1347" t="str">
            <v>750-IG MTSI Santiago</v>
          </cell>
          <cell r="M1347">
            <v>30</v>
          </cell>
        </row>
        <row r="1348">
          <cell r="A1348" t="str">
            <v>613-FU FUNDACION INMARE</v>
          </cell>
          <cell r="K1348">
            <v>15</v>
          </cell>
        </row>
        <row r="1349">
          <cell r="A1349" t="str">
            <v>766-IG MINISTERIO BET-EL</v>
          </cell>
          <cell r="O1349">
            <v>8</v>
          </cell>
        </row>
        <row r="1350">
          <cell r="A1350" t="str">
            <v>240 PA - PARROQUIA SAN JOSÉ - PESE</v>
          </cell>
          <cell r="L1350">
            <v>15</v>
          </cell>
        </row>
        <row r="1351">
          <cell r="A1351" t="str">
            <v>253 FU - FUNDACIÓN PARA EL BIENESTAR SOCIAL (CENTRO2)</v>
          </cell>
          <cell r="C1351">
            <v>16</v>
          </cell>
        </row>
        <row r="1352">
          <cell r="A1352" t="str">
            <v>375-FU Ministerio a Dios sea la Gloria</v>
          </cell>
          <cell r="C1352">
            <v>8</v>
          </cell>
        </row>
        <row r="1353">
          <cell r="A1353" t="str">
            <v>802-IG IGLESIA INTERNACIONAL DEL EVANGELIO CUADRANGULAR DE PANAMÁ</v>
          </cell>
          <cell r="C1353">
            <v>8</v>
          </cell>
        </row>
        <row r="1354">
          <cell r="A1354" t="str">
            <v>392-FU Fundacion Jerusalen Trono de Jehova III</v>
          </cell>
          <cell r="E1354">
            <v>8</v>
          </cell>
        </row>
        <row r="1355">
          <cell r="A1355" t="str">
            <v>641 - IG IGLESIA EVANGELICA QUIRIAT SALEM (ESTE)</v>
          </cell>
          <cell r="D1355">
            <v>8</v>
          </cell>
        </row>
        <row r="1356">
          <cell r="A1356" t="str">
            <v>813-IG Comedor Centro De Esperanza Elohim</v>
          </cell>
          <cell r="K1356">
            <v>15</v>
          </cell>
        </row>
        <row r="1357">
          <cell r="A1357" t="str">
            <v>770-IG CENTRO CRISTIANO NUEVA VIDA</v>
          </cell>
          <cell r="K1357">
            <v>5</v>
          </cell>
        </row>
        <row r="1358">
          <cell r="A1358" t="str">
            <v>728-FU ANCEC SANTIAGO</v>
          </cell>
          <cell r="M1358">
            <v>20</v>
          </cell>
        </row>
        <row r="1359">
          <cell r="A1359" t="str">
            <v>245-FU MINISTERIO BERAKHAH INTERNACIONAL CUENTA PRINCIPAL</v>
          </cell>
          <cell r="D1359">
            <v>8</v>
          </cell>
        </row>
        <row r="1360">
          <cell r="A1360" t="str">
            <v>IMPORTADORA FRUTA INTERNACIONAL PANAMÁ, S.A.</v>
          </cell>
          <cell r="C1360">
            <v>632</v>
          </cell>
          <cell r="D1360">
            <v>1292</v>
          </cell>
          <cell r="E1360">
            <v>380</v>
          </cell>
          <cell r="H1360">
            <v>520</v>
          </cell>
          <cell r="I1360">
            <v>240</v>
          </cell>
          <cell r="J1360">
            <v>40</v>
          </cell>
        </row>
        <row r="1361">
          <cell r="A1361" t="str">
            <v>493-FU Comedor Jesús es mi Pastor</v>
          </cell>
          <cell r="D1361">
            <v>20</v>
          </cell>
        </row>
        <row r="1362">
          <cell r="A1362" t="str">
            <v>636- FU JAH - LIVE (JAHL) - COLON</v>
          </cell>
          <cell r="H1362">
            <v>360</v>
          </cell>
        </row>
        <row r="1363">
          <cell r="A1363" t="str">
            <v>365-IG COMEDOR HEFZIBA</v>
          </cell>
          <cell r="I1363">
            <v>140</v>
          </cell>
        </row>
        <row r="1364">
          <cell r="A1364" t="str">
            <v>635 TEMPLO ADULAM</v>
          </cell>
          <cell r="E1364">
            <v>60</v>
          </cell>
        </row>
        <row r="1365">
          <cell r="A1365" t="str">
            <v>687 - FU FUNDACION ARCA DE JESUS</v>
          </cell>
          <cell r="E1365">
            <v>80</v>
          </cell>
        </row>
        <row r="1366">
          <cell r="A1366" t="str">
            <v>218 ED - LOS PREFERIDOS DEL SEÑOR (CENTRO2)</v>
          </cell>
          <cell r="C1366">
            <v>156</v>
          </cell>
        </row>
        <row r="1367">
          <cell r="A1367" t="str">
            <v>187 IG - IGLESIA DE DIOS DE LA PROFECÍA</v>
          </cell>
          <cell r="D1367">
            <v>120</v>
          </cell>
        </row>
        <row r="1368">
          <cell r="A1368" t="str">
            <v>321-IG IGLESIA DIOS ES MI PROVEEDOR Y SUSTENTO</v>
          </cell>
          <cell r="D1368">
            <v>340</v>
          </cell>
        </row>
        <row r="1369">
          <cell r="A1369" t="str">
            <v>695 - FU MINISTERIO BERAKHAH INTERNACIONAL 24 DIC</v>
          </cell>
          <cell r="D1369">
            <v>20</v>
          </cell>
        </row>
        <row r="1370">
          <cell r="A1370" t="str">
            <v>366-FU CENTRO MISIONERO EL SHADAI (ESTE)</v>
          </cell>
          <cell r="D1370">
            <v>140</v>
          </cell>
        </row>
        <row r="1371">
          <cell r="A1371" t="str">
            <v>498-FU COMEDOR NIÑOS DE BENDICION</v>
          </cell>
          <cell r="E1371">
            <v>60</v>
          </cell>
        </row>
        <row r="1372">
          <cell r="A1372" t="str">
            <v>288 IG MINISTERIO EVANGELISTICO DE SANACION Y RESTAURACION, SENALES, MILAGROS Y MARAVILLAS (ESTE)</v>
          </cell>
          <cell r="D1372">
            <v>40</v>
          </cell>
        </row>
        <row r="1373">
          <cell r="A1373" t="str">
            <v>197 FU FUNDACION SOCIAL CULTURAL Y AMBIENTAL DE VERACRUZ (OESTE)</v>
          </cell>
          <cell r="E1373">
            <v>20</v>
          </cell>
        </row>
        <row r="1374">
          <cell r="A1374" t="str">
            <v>183 ED - BELÉN CASA DE PAN (ESTE)</v>
          </cell>
          <cell r="D1374">
            <v>20</v>
          </cell>
        </row>
        <row r="1375">
          <cell r="A1375" t="str">
            <v>654 - IG M.I.A.F NUEVA JERUSALEN PANAMA (ESTE)</v>
          </cell>
          <cell r="D1375">
            <v>40</v>
          </cell>
        </row>
        <row r="1376">
          <cell r="A1376" t="str">
            <v>487-FU FUNDACION CASA AVE MARIA</v>
          </cell>
          <cell r="E1376">
            <v>140</v>
          </cell>
        </row>
        <row r="1377">
          <cell r="A1377" t="str">
            <v>259 IG - ALCANCE VICTORIA PANAMÁ</v>
          </cell>
          <cell r="C1377">
            <v>20</v>
          </cell>
        </row>
        <row r="1378">
          <cell r="A1378" t="str">
            <v>668 - FU FUNDACION CRISTIANA LA FE EN MARCHA</v>
          </cell>
          <cell r="J1378">
            <v>40</v>
          </cell>
        </row>
        <row r="1379">
          <cell r="A1379" t="str">
            <v>379-FU Fundacion Ministerio Apostolico Manantial de Vida</v>
          </cell>
          <cell r="H1379">
            <v>140</v>
          </cell>
        </row>
        <row r="1380">
          <cell r="A1380" t="str">
            <v>630-IG MIN.INTL.DE CRISTO PAZ DE DIOS</v>
          </cell>
          <cell r="C1380">
            <v>80</v>
          </cell>
        </row>
        <row r="1381">
          <cell r="A1381" t="str">
            <v>260 IG - IGLESIA MISIONERA DE RESTAURACIÓN</v>
          </cell>
          <cell r="D1381">
            <v>60</v>
          </cell>
        </row>
        <row r="1382">
          <cell r="A1382" t="str">
            <v>709 - FU FUNRECRISTO</v>
          </cell>
          <cell r="D1382">
            <v>60</v>
          </cell>
        </row>
        <row r="1383">
          <cell r="A1383" t="str">
            <v>235 FU - FUNDACION GRUPO ENVIADOS</v>
          </cell>
          <cell r="D1383">
            <v>20</v>
          </cell>
        </row>
        <row r="1384">
          <cell r="A1384" t="str">
            <v>202 FU - FUNDACIÓN HOGAR SAN JOSÉ (ESTE)</v>
          </cell>
          <cell r="D1384">
            <v>120</v>
          </cell>
        </row>
        <row r="1385">
          <cell r="A1385" t="str">
            <v>469-FU MINISTERIO CRISTIANO EL SHADAI</v>
          </cell>
          <cell r="D1385">
            <v>16</v>
          </cell>
        </row>
        <row r="1386">
          <cell r="A1386" t="str">
            <v>597- IG MINISTERIO APOSTOLICO NEMUEL INTERNACIONAL</v>
          </cell>
          <cell r="D1386">
            <v>20</v>
          </cell>
        </row>
        <row r="1387">
          <cell r="A1387" t="str">
            <v>417-AS CLUB DE LEONES DE PEDREGAL (ESTE)</v>
          </cell>
          <cell r="D1387">
            <v>60</v>
          </cell>
        </row>
        <row r="1388">
          <cell r="A1388" t="str">
            <v>144 OR - HERMANAS DE SAN JOSÉ DE LA APARICIÓN (RETIRA EN EL BANCO)</v>
          </cell>
          <cell r="D1388">
            <v>40</v>
          </cell>
        </row>
        <row r="1389">
          <cell r="A1389" t="str">
            <v>684 - FU FUNDACION CASA DEL REY JESUS (CENTRO 2)</v>
          </cell>
          <cell r="C1389">
            <v>100</v>
          </cell>
        </row>
        <row r="1390">
          <cell r="A1390" t="str">
            <v>229 PA - PARROQUIA SAN CRISTOBAL DE CHEPO</v>
          </cell>
          <cell r="D1390">
            <v>40</v>
          </cell>
        </row>
        <row r="1391">
          <cell r="A1391" t="str">
            <v>738- IG MINISTERIO DIOS CON NOSOTROS EMANUEL</v>
          </cell>
          <cell r="D1391">
            <v>56</v>
          </cell>
        </row>
        <row r="1392">
          <cell r="A1392" t="str">
            <v>743- ED CLUB FAMILIA DEPORTIVA</v>
          </cell>
          <cell r="C1392">
            <v>40</v>
          </cell>
        </row>
        <row r="1393">
          <cell r="A1393" t="str">
            <v>741-IG BUNKER DE ESPERANZA</v>
          </cell>
          <cell r="D1393">
            <v>20</v>
          </cell>
        </row>
        <row r="1394">
          <cell r="A1394" t="str">
            <v>281-FU FUNDACIÓN CAMBIO CREATIVO</v>
          </cell>
          <cell r="H1394">
            <v>20</v>
          </cell>
        </row>
        <row r="1395">
          <cell r="A1395" t="str">
            <v>394-IG IGLESIA ESCUADRONES DEL EJERCITO DE DIOS (CENTRO2)</v>
          </cell>
          <cell r="C1395">
            <v>56</v>
          </cell>
        </row>
        <row r="1396">
          <cell r="A1396" t="str">
            <v>789-FU Fundación Rescate de Alimentos</v>
          </cell>
          <cell r="C1396">
            <v>20</v>
          </cell>
        </row>
        <row r="1397">
          <cell r="A1397" t="str">
            <v>232 IG MINISTERIO TIEMPO DE COSECHA</v>
          </cell>
          <cell r="I1397">
            <v>60</v>
          </cell>
        </row>
        <row r="1398">
          <cell r="A1398" t="str">
            <v>804-IG Templo Misionero Eclesiastés</v>
          </cell>
          <cell r="I1398">
            <v>20</v>
          </cell>
        </row>
        <row r="1399">
          <cell r="A1399" t="str">
            <v>253 FU - FUNDACIÓN PARA EL BIENESTAR SOCIAL (CENTRO2)</v>
          </cell>
          <cell r="C1399">
            <v>80</v>
          </cell>
        </row>
        <row r="1400">
          <cell r="A1400" t="str">
            <v>375-FU Ministerio a Dios sea la Gloria</v>
          </cell>
          <cell r="C1400">
            <v>20</v>
          </cell>
        </row>
        <row r="1401">
          <cell r="A1401" t="str">
            <v>802-IG IGLESIA INTERNACIONAL DEL EVANGELIO CUADRANGULAR DE PANAMÁ</v>
          </cell>
          <cell r="C1401">
            <v>60</v>
          </cell>
        </row>
        <row r="1402">
          <cell r="A1402" t="str">
            <v>734-FU MINISTERIO DE SALVACION EL CAMINO DE DIOS</v>
          </cell>
          <cell r="I1402">
            <v>20</v>
          </cell>
        </row>
        <row r="1403">
          <cell r="A1403" t="str">
            <v>392-FU Fundacion Jerusalen Trono de Jehova III</v>
          </cell>
          <cell r="E1403">
            <v>20</v>
          </cell>
        </row>
        <row r="1404">
          <cell r="A1404" t="str">
            <v>641 - IG IGLESIA EVANGELICA QUIRIAT SALEM (ESTE)</v>
          </cell>
          <cell r="D1404">
            <v>40</v>
          </cell>
        </row>
        <row r="1405">
          <cell r="A1405" t="str">
            <v>MERCA PANAMA</v>
          </cell>
          <cell r="B1405">
            <v>452</v>
          </cell>
          <cell r="C1405">
            <v>3341</v>
          </cell>
          <cell r="D1405">
            <v>4440</v>
          </cell>
          <cell r="E1405">
            <v>1290</v>
          </cell>
          <cell r="F1405">
            <v>20</v>
          </cell>
          <cell r="G1405">
            <v>150</v>
          </cell>
          <cell r="H1405">
            <v>800</v>
          </cell>
          <cell r="I1405">
            <v>350</v>
          </cell>
          <cell r="J1405">
            <v>70</v>
          </cell>
          <cell r="K1405">
            <v>20</v>
          </cell>
        </row>
        <row r="1406">
          <cell r="A1406" t="str">
            <v>209 IG - TEMPLO MISIONERO CRISTO TE LLAMA</v>
          </cell>
          <cell r="D1406">
            <v>120</v>
          </cell>
        </row>
        <row r="1407">
          <cell r="A1407" t="str">
            <v>178 IG - TEMPLO ZURIEL EL REFUGIO</v>
          </cell>
          <cell r="G1407">
            <v>150</v>
          </cell>
        </row>
        <row r="1408">
          <cell r="A1408" t="str">
            <v>207 IG - IGLESIA CENTRO DE VIDA CRISTIANA</v>
          </cell>
          <cell r="D1408">
            <v>120</v>
          </cell>
        </row>
        <row r="1409">
          <cell r="A1409" t="str">
            <v>493-FU Comedor Jesús es mi Pastor</v>
          </cell>
          <cell r="D1409">
            <v>20</v>
          </cell>
        </row>
        <row r="1410">
          <cell r="A1410" t="str">
            <v>636- FU JAH - LIVE (JAHL) - COLON</v>
          </cell>
          <cell r="H1410">
            <v>600</v>
          </cell>
        </row>
        <row r="1411">
          <cell r="A1411" t="str">
            <v>365-IG COMEDOR HEFZIBA</v>
          </cell>
          <cell r="I1411">
            <v>300</v>
          </cell>
        </row>
        <row r="1412">
          <cell r="A1412" t="str">
            <v>635 TEMPLO ADULAM</v>
          </cell>
          <cell r="E1412">
            <v>250</v>
          </cell>
        </row>
        <row r="1413">
          <cell r="A1413" t="str">
            <v>470-FU IGLESIA MONTE SANTO</v>
          </cell>
          <cell r="D1413">
            <v>50</v>
          </cell>
        </row>
        <row r="1414">
          <cell r="A1414" t="str">
            <v>687 - FU FUNDACION ARCA DE JESUS</v>
          </cell>
          <cell r="E1414">
            <v>200</v>
          </cell>
        </row>
        <row r="1415">
          <cell r="A1415" t="str">
            <v>218 ED - LOS PREFERIDOS DEL SEÑOR (CENTRO2)</v>
          </cell>
          <cell r="C1415">
            <v>590</v>
          </cell>
        </row>
        <row r="1416">
          <cell r="A1416" t="str">
            <v>187 IG - IGLESIA DE DIOS DE LA PROFECÍA</v>
          </cell>
          <cell r="D1416">
            <v>860</v>
          </cell>
        </row>
        <row r="1417">
          <cell r="A1417" t="str">
            <v>321-IG IGLESIA DIOS ES MI PROVEEDOR Y SUSTENTO</v>
          </cell>
          <cell r="D1417">
            <v>440</v>
          </cell>
        </row>
        <row r="1418">
          <cell r="A1418" t="str">
            <v>694 - FU MINISTERIO BERAKHAH INTERNACIONAL TOCUMEN #2</v>
          </cell>
          <cell r="D1418">
            <v>40</v>
          </cell>
        </row>
        <row r="1419">
          <cell r="A1419" t="str">
            <v>695 - FU MINISTERIO BERAKHAH INTERNACIONAL 24 DIC</v>
          </cell>
          <cell r="D1419">
            <v>30</v>
          </cell>
        </row>
        <row r="1420">
          <cell r="A1420" t="str">
            <v>366-FU CENTRO MISIONERO EL SHADAI (ESTE)</v>
          </cell>
          <cell r="D1420">
            <v>430</v>
          </cell>
        </row>
        <row r="1421">
          <cell r="A1421" t="str">
            <v>498-FU COMEDOR NIÑOS DE BENDICION</v>
          </cell>
          <cell r="E1421">
            <v>190</v>
          </cell>
        </row>
        <row r="1422">
          <cell r="A1422" t="str">
            <v>197 FU FUNDACION SOCIAL CULTURAL Y AMBIENTAL DE VERACRUZ (OESTE)</v>
          </cell>
          <cell r="E1422">
            <v>220</v>
          </cell>
        </row>
        <row r="1423">
          <cell r="A1423" t="str">
            <v>183 ED - BELÉN CASA DE PAN (ESTE)</v>
          </cell>
          <cell r="D1423">
            <v>160</v>
          </cell>
        </row>
        <row r="1424">
          <cell r="A1424" t="str">
            <v>431-IG IGLESIA ADVENTISTA DISTRITO 8</v>
          </cell>
          <cell r="D1424">
            <v>80</v>
          </cell>
        </row>
        <row r="1425">
          <cell r="A1425" t="str">
            <v>368-FU MINISTERIO PACTO DE SANTIDAD</v>
          </cell>
          <cell r="C1425">
            <v>20</v>
          </cell>
        </row>
        <row r="1426">
          <cell r="A1426" t="str">
            <v>487-FU FUNDACION CASA AVE MARIA</v>
          </cell>
          <cell r="E1426">
            <v>130</v>
          </cell>
        </row>
        <row r="1427">
          <cell r="A1427" t="str">
            <v>222 ED - MISERICORDIAR</v>
          </cell>
          <cell r="D1427">
            <v>260</v>
          </cell>
        </row>
        <row r="1428">
          <cell r="A1428" t="str">
            <v>668 - FU FUNDACION CRISTIANA LA FE EN MARCHA</v>
          </cell>
          <cell r="J1428">
            <v>50</v>
          </cell>
        </row>
        <row r="1429">
          <cell r="A1429" t="str">
            <v>379-FU Fundacion Ministerio Apostolico Manantial de Vida</v>
          </cell>
          <cell r="H1429">
            <v>200</v>
          </cell>
        </row>
        <row r="1430">
          <cell r="A1430" t="str">
            <v>300 ED - BENEFICIARIOS</v>
          </cell>
          <cell r="D1430">
            <v>20</v>
          </cell>
        </row>
        <row r="1431">
          <cell r="A1431" t="str">
            <v>630-IG MIN.INTL.DE CRISTO PAZ DE DIOS</v>
          </cell>
          <cell r="C1431">
            <v>570</v>
          </cell>
        </row>
        <row r="1432">
          <cell r="A1432" t="str">
            <v>260 IG - IGLESIA MISIONERA DE RESTAURACIÓN</v>
          </cell>
          <cell r="D1432">
            <v>50</v>
          </cell>
        </row>
        <row r="1433">
          <cell r="A1433" t="str">
            <v>397-FU FUNDACION SHALOM PANAMA</v>
          </cell>
          <cell r="E1433">
            <v>30</v>
          </cell>
        </row>
        <row r="1434">
          <cell r="A1434" t="str">
            <v>670 - FU FUNDACION MINISTERIIO CRISTIANO EL REINO DE DIOS (ESTE)</v>
          </cell>
          <cell r="D1434">
            <v>20</v>
          </cell>
        </row>
        <row r="1435">
          <cell r="A1435" t="str">
            <v>450-FU MINISTERIO DE RESTAURACION EFESIOS 4 (ESTE)</v>
          </cell>
          <cell r="D1435">
            <v>120</v>
          </cell>
        </row>
        <row r="1436">
          <cell r="A1436" t="str">
            <v>235 FU - FUNDACION GRUPO ENVIADOS</v>
          </cell>
          <cell r="D1436">
            <v>140</v>
          </cell>
        </row>
        <row r="1437">
          <cell r="A1437" t="str">
            <v>202 FU - FUNDACIÓN HOGAR SAN JOSÉ (ESTE)</v>
          </cell>
          <cell r="D1437">
            <v>110</v>
          </cell>
        </row>
        <row r="1438">
          <cell r="A1438" t="str">
            <v>116 AS - ASOCIACIÓN IGLESIA DE CRISTO ESTRELLA CRECIENTE</v>
          </cell>
          <cell r="D1438">
            <v>10</v>
          </cell>
        </row>
        <row r="1439">
          <cell r="A1439" t="str">
            <v>469-FU MINISTERIO CRISTIANO EL SHADAI</v>
          </cell>
          <cell r="D1439">
            <v>50</v>
          </cell>
        </row>
        <row r="1440">
          <cell r="A1440" t="str">
            <v>597- IG MINISTERIO APOSTOLICO NEMUEL INTERNACIONAL</v>
          </cell>
          <cell r="D1440">
            <v>50</v>
          </cell>
        </row>
        <row r="1441">
          <cell r="A1441" t="str">
            <v>647 - IG CRISTO REY CAMBIANDO VIDAS (ESTE)</v>
          </cell>
          <cell r="D1441">
            <v>50</v>
          </cell>
        </row>
        <row r="1442">
          <cell r="A1442" t="str">
            <v>417-AS CLUB DE LEONES DE PEDREGAL (ESTE)</v>
          </cell>
          <cell r="D1442">
            <v>140</v>
          </cell>
        </row>
        <row r="1443">
          <cell r="A1443" t="str">
            <v>144 OR - HERMANAS DE SAN JOSÉ DE LA APARICIÓN (RETIRA EN EL BANCO)</v>
          </cell>
          <cell r="D1443">
            <v>360</v>
          </cell>
        </row>
        <row r="1444">
          <cell r="A1444" t="str">
            <v>681 - FU FUNDACION NUEVA SOCIEDAD (NORTE)</v>
          </cell>
          <cell r="I1444">
            <v>50</v>
          </cell>
        </row>
        <row r="1445">
          <cell r="A1445" t="str">
            <v>94 OR - HOGAR SAN FRANCISCO DE ASÍS</v>
          </cell>
          <cell r="J1445">
            <v>20</v>
          </cell>
        </row>
        <row r="1446">
          <cell r="A1446" t="str">
            <v>622-NV BENEFICIARIOS NV</v>
          </cell>
          <cell r="C1446">
            <v>20</v>
          </cell>
        </row>
        <row r="1447">
          <cell r="A1447" t="str">
            <v>Retiro de Merma</v>
          </cell>
          <cell r="B1447">
            <v>452</v>
          </cell>
        </row>
        <row r="1448">
          <cell r="A1448" t="str">
            <v>656 - FU FUNDACION COCINA DEL REINO Y AMIGOS (CENTRO 1)</v>
          </cell>
          <cell r="C1448">
            <v>200</v>
          </cell>
        </row>
        <row r="1449">
          <cell r="A1449" t="str">
            <v>672 - FU FUNDACION NUEVO PACTO POR LA NIÑEZ</v>
          </cell>
          <cell r="C1449">
            <v>40</v>
          </cell>
        </row>
        <row r="1450">
          <cell r="A1450" t="str">
            <v>54 FU - FUNDACIÓN CASA HOGAR EL BUEN SAMARITANO</v>
          </cell>
          <cell r="D1450">
            <v>50</v>
          </cell>
        </row>
        <row r="1451">
          <cell r="A1451" t="str">
            <v>684 - FU FUNDACION CASA DEL REY JESUS (CENTRO 2)</v>
          </cell>
          <cell r="C1451">
            <v>520</v>
          </cell>
        </row>
        <row r="1452">
          <cell r="A1452" t="str">
            <v>229 PA - PARROQUIA SAN CRISTOBAL DE CHEPO</v>
          </cell>
          <cell r="D1452">
            <v>60</v>
          </cell>
        </row>
        <row r="1453">
          <cell r="A1453" t="str">
            <v>166 FU - FUNDACION CURAME</v>
          </cell>
          <cell r="C1453">
            <v>40</v>
          </cell>
        </row>
        <row r="1454">
          <cell r="A1454" t="str">
            <v>737- ASOCIACION CRISTIANA EBEN-EZER (ESTE)</v>
          </cell>
          <cell r="D1454">
            <v>150</v>
          </cell>
        </row>
        <row r="1455">
          <cell r="A1455" t="str">
            <v>738- IG MINISTERIO DIOS CON NOSOTROS EMANUEL</v>
          </cell>
          <cell r="D1455">
            <v>40</v>
          </cell>
        </row>
        <row r="1456">
          <cell r="A1456" t="str">
            <v>741-IG BUNKER DE ESPERANZA</v>
          </cell>
          <cell r="D1456">
            <v>40</v>
          </cell>
        </row>
        <row r="1457">
          <cell r="A1457" t="str">
            <v>613-FU FUNDACION INMARE</v>
          </cell>
          <cell r="K1457">
            <v>20</v>
          </cell>
        </row>
        <row r="1458">
          <cell r="A1458" t="str">
            <v>759-FU SOLO ES CUESTION DE FE</v>
          </cell>
          <cell r="D1458">
            <v>50</v>
          </cell>
        </row>
        <row r="1459">
          <cell r="A1459" t="str">
            <v>275 IG CONCILIO GENERAL DE LAS ASAMBLEAS DE DIOS DE PANAMÁ</v>
          </cell>
          <cell r="C1459">
            <v>50</v>
          </cell>
        </row>
        <row r="1460">
          <cell r="A1460" t="str">
            <v>201 OR - MISIONERAS MADRE LAURA</v>
          </cell>
          <cell r="C1460">
            <v>90</v>
          </cell>
        </row>
        <row r="1461">
          <cell r="A1461" t="str">
            <v>394-IG IGLESIA ESCUADRONES DEL EJERCITO DE DIOS (CENTRO2)</v>
          </cell>
          <cell r="C1461">
            <v>50</v>
          </cell>
        </row>
        <row r="1462">
          <cell r="A1462" t="str">
            <v>789-FU Fundación Rescate de Alimentos</v>
          </cell>
          <cell r="C1462">
            <v>30</v>
          </cell>
        </row>
        <row r="1463">
          <cell r="A1463" t="str">
            <v>791-FU FUNDACION DIVINO NINO JESUS DE MI CORAZON</v>
          </cell>
          <cell r="D1463">
            <v>70</v>
          </cell>
        </row>
        <row r="1464">
          <cell r="A1464" t="str">
            <v>598- IG IGLESIA GLORIA TRANSFORMADORA SHEKINAH</v>
          </cell>
          <cell r="E1464">
            <v>50</v>
          </cell>
        </row>
        <row r="1465">
          <cell r="A1465" t="str">
            <v>3 IG - IGLESIA DEL NAZARENO</v>
          </cell>
          <cell r="E1465">
            <v>50</v>
          </cell>
        </row>
        <row r="1466">
          <cell r="A1466" t="str">
            <v>20 FU - REMAR (CENTRO1)</v>
          </cell>
          <cell r="C1466">
            <v>991</v>
          </cell>
        </row>
        <row r="1467">
          <cell r="A1467" t="str">
            <v>253 FU - FUNDACIÓN PARA EL BIENESTAR SOCIAL (CENTRO2)</v>
          </cell>
          <cell r="C1467">
            <v>90</v>
          </cell>
        </row>
        <row r="1468">
          <cell r="A1468" t="str">
            <v>650 - IG ASOCIACION CRISTIANA EBEN - EZER #27 (ESTE)</v>
          </cell>
          <cell r="D1468">
            <v>100</v>
          </cell>
        </row>
        <row r="1469">
          <cell r="A1469" t="str">
            <v>802-IG IGLESIA INTERNACIONAL DEL EVANGELIO CUADRANGULAR DE PANAMÁ</v>
          </cell>
          <cell r="C1469">
            <v>40</v>
          </cell>
        </row>
        <row r="1470">
          <cell r="A1470" t="str">
            <v>814-IG Templo Morada Santa</v>
          </cell>
          <cell r="F1470">
            <v>20</v>
          </cell>
        </row>
        <row r="1471">
          <cell r="A1471" t="str">
            <v>392-FU Fundacion Jerusalen Trono de Jehova III</v>
          </cell>
          <cell r="E1471">
            <v>80</v>
          </cell>
        </row>
        <row r="1472">
          <cell r="A1472" t="str">
            <v>641 - IG IGLESIA EVANGELICA QUIRIAT SALEM (ESTE)</v>
          </cell>
          <cell r="D1472">
            <v>100</v>
          </cell>
        </row>
        <row r="1473">
          <cell r="A1473" t="str">
            <v>471-FU FUNDACION BUSCANDO UNA OPORTUNIDAD</v>
          </cell>
          <cell r="E1473">
            <v>70</v>
          </cell>
        </row>
        <row r="1474">
          <cell r="A1474" t="str">
            <v>245-FU MINISTERIO BERAKHAH INTERNACIONAL CUENTA PRINCIPAL</v>
          </cell>
          <cell r="D1474">
            <v>50</v>
          </cell>
        </row>
        <row r="1475">
          <cell r="A1475" t="str">
            <v>827-FU Fundación Transformemos mi comunidad</v>
          </cell>
          <cell r="E1475">
            <v>20</v>
          </cell>
        </row>
        <row r="1476">
          <cell r="A1476" t="str">
            <v>PROGRAMA KILOS DE ESPERANZA</v>
          </cell>
          <cell r="C1476">
            <v>135.6</v>
          </cell>
          <cell r="D1476">
            <v>147.88</v>
          </cell>
          <cell r="E1476">
            <v>127.84</v>
          </cell>
          <cell r="F1476">
            <v>6</v>
          </cell>
          <cell r="G1476">
            <v>17</v>
          </cell>
          <cell r="H1476">
            <v>69</v>
          </cell>
          <cell r="I1476">
            <v>22</v>
          </cell>
        </row>
        <row r="1477">
          <cell r="A1477" t="str">
            <v>662-IG MINISTERIO EVANGELICO EL APOSENTO ALTO (CENTRO 1)</v>
          </cell>
          <cell r="C1477">
            <v>3</v>
          </cell>
        </row>
        <row r="1478">
          <cell r="A1478" t="str">
            <v>298-FU - MINISTERIO FUENTE DE VIDA PARA EL PERDIDO</v>
          </cell>
          <cell r="F1478">
            <v>6</v>
          </cell>
        </row>
        <row r="1479">
          <cell r="A1479" t="str">
            <v>479-IG IGLESIA NUEVA ESPERANZA</v>
          </cell>
          <cell r="D1479">
            <v>9.9600000000000009</v>
          </cell>
        </row>
        <row r="1480">
          <cell r="A1480" t="str">
            <v>104 AS - ASOCIACIÓN HOGAR FELICIDAD</v>
          </cell>
          <cell r="E1480">
            <v>26.84</v>
          </cell>
        </row>
        <row r="1481">
          <cell r="A1481" t="str">
            <v>175 AS - ASOCIACIÓN RESTAURANDO VIDAS</v>
          </cell>
          <cell r="D1481">
            <v>2</v>
          </cell>
        </row>
        <row r="1482">
          <cell r="A1482" t="str">
            <v>178 IG - TEMPLO ZURIEL EL REFUGIO</v>
          </cell>
          <cell r="G1482">
            <v>3</v>
          </cell>
        </row>
        <row r="1483">
          <cell r="A1483" t="str">
            <v>493-FU Comedor Jesús es mi Pastor</v>
          </cell>
          <cell r="D1483">
            <v>8</v>
          </cell>
        </row>
        <row r="1484">
          <cell r="A1484" t="str">
            <v>636- FU JAH - LIVE (JAHL) - COLON</v>
          </cell>
          <cell r="H1484">
            <v>63</v>
          </cell>
        </row>
        <row r="1485">
          <cell r="A1485" t="str">
            <v>365-IG COMEDOR HEFZIBA</v>
          </cell>
          <cell r="I1485">
            <v>3</v>
          </cell>
        </row>
        <row r="1486">
          <cell r="A1486" t="str">
            <v>407-IG ASOCIACION CRISTIANA INTERNACIONAL EBEN-EZER (OESTE)</v>
          </cell>
          <cell r="E1486">
            <v>9</v>
          </cell>
        </row>
        <row r="1487">
          <cell r="A1487" t="str">
            <v>470-FU IGLESIA MONTE SANTO</v>
          </cell>
          <cell r="D1487">
            <v>9.9600000000000009</v>
          </cell>
        </row>
        <row r="1488">
          <cell r="A1488" t="str">
            <v>687 - FU FUNDACION ARCA DE JESUS</v>
          </cell>
          <cell r="E1488">
            <v>9</v>
          </cell>
        </row>
        <row r="1489">
          <cell r="A1489" t="str">
            <v>218 ED - LOS PREFERIDOS DEL SEÑOR (CENTRO2)</v>
          </cell>
          <cell r="C1489">
            <v>48</v>
          </cell>
        </row>
        <row r="1490">
          <cell r="A1490" t="str">
            <v>187 IG - IGLESIA DE DIOS DE LA PROFECÍA</v>
          </cell>
          <cell r="D1490">
            <v>3</v>
          </cell>
        </row>
        <row r="1491">
          <cell r="A1491" t="str">
            <v>321-IG IGLESIA DIOS ES MI PROVEEDOR Y SUSTENTO</v>
          </cell>
          <cell r="D1491">
            <v>3</v>
          </cell>
        </row>
        <row r="1492">
          <cell r="A1492" t="str">
            <v>694 - FU MINISTERIO BERAKHAH INTERNACIONAL TOCUMEN #2</v>
          </cell>
          <cell r="D1492">
            <v>9</v>
          </cell>
        </row>
        <row r="1493">
          <cell r="A1493" t="str">
            <v>695 - FU MINISTERIO BERAKHAH INTERNACIONAL 24 DIC</v>
          </cell>
          <cell r="D1493">
            <v>15</v>
          </cell>
        </row>
        <row r="1494">
          <cell r="A1494" t="str">
            <v>498-FU COMEDOR NIÑOS DE BENDICION</v>
          </cell>
          <cell r="E1494">
            <v>6</v>
          </cell>
        </row>
        <row r="1495">
          <cell r="A1495" t="str">
            <v>373-FU MINISTERIO INTERNACIONAL BOANERGES</v>
          </cell>
          <cell r="I1495">
            <v>6</v>
          </cell>
        </row>
        <row r="1496">
          <cell r="A1496" t="str">
            <v>368-FU MINISTERIO PACTO DE SANTIDAD</v>
          </cell>
          <cell r="C1496">
            <v>8</v>
          </cell>
        </row>
        <row r="1497">
          <cell r="A1497" t="str">
            <v>654 - IG M.I.A.F NUEVA JERUSALEN PANAMA (ESTE)</v>
          </cell>
          <cell r="D1497">
            <v>3</v>
          </cell>
        </row>
        <row r="1498">
          <cell r="A1498" t="str">
            <v>487-FU FUNDACION CASA AVE MARIA</v>
          </cell>
          <cell r="E1498">
            <v>52</v>
          </cell>
        </row>
        <row r="1499">
          <cell r="A1499" t="str">
            <v>2 PA - PARROQUIA SAN JUAN MARIA VIANNEY (NORTE)</v>
          </cell>
          <cell r="I1499">
            <v>5</v>
          </cell>
        </row>
        <row r="1500">
          <cell r="A1500" t="str">
            <v>696 - FU MINISTERIO BERAKHAH INTERNACIONAL CHEPO #1</v>
          </cell>
          <cell r="D1500">
            <v>2</v>
          </cell>
        </row>
        <row r="1501">
          <cell r="A1501" t="str">
            <v>222 ED - MISERICORDIAR</v>
          </cell>
          <cell r="D1501">
            <v>21</v>
          </cell>
        </row>
        <row r="1502">
          <cell r="A1502" t="str">
            <v>259 IG - ALCANCE VICTORIA PANAMÁ</v>
          </cell>
          <cell r="C1502">
            <v>3</v>
          </cell>
        </row>
        <row r="1503">
          <cell r="A1503" t="str">
            <v>379-FU Fundacion Ministerio Apostolico Manantial de Vida</v>
          </cell>
          <cell r="H1503">
            <v>3</v>
          </cell>
        </row>
        <row r="1504">
          <cell r="A1504" t="str">
            <v>387-AS Asociacion ODSSAR-OBC</v>
          </cell>
          <cell r="D1504">
            <v>5</v>
          </cell>
        </row>
        <row r="1505">
          <cell r="A1505" t="str">
            <v>630-IG MIN.INTL.DE CRISTO PAZ DE DIOS</v>
          </cell>
          <cell r="C1505">
            <v>2</v>
          </cell>
        </row>
        <row r="1506">
          <cell r="A1506" t="str">
            <v>260 IG - IGLESIA MISIONERA DE RESTAURACIÓN</v>
          </cell>
          <cell r="D1506">
            <v>15</v>
          </cell>
        </row>
        <row r="1507">
          <cell r="A1507" t="str">
            <v>397-FU FUNDACION SHALOM PANAMA</v>
          </cell>
          <cell r="E1507">
            <v>3</v>
          </cell>
        </row>
        <row r="1508">
          <cell r="A1508" t="str">
            <v>195 ED - JUNTOS PODEMOS</v>
          </cell>
          <cell r="C1508">
            <v>6</v>
          </cell>
        </row>
        <row r="1509">
          <cell r="A1509" t="str">
            <v>450-FU MINISTERIO DE RESTAURACION EFESIOS 4 (ESTE)</v>
          </cell>
          <cell r="D1509">
            <v>3</v>
          </cell>
        </row>
        <row r="1510">
          <cell r="A1510" t="str">
            <v>380-ED COMEDOR COMUNITARIO CASA DEL ALFARERO</v>
          </cell>
          <cell r="D1510">
            <v>6</v>
          </cell>
        </row>
        <row r="1511">
          <cell r="A1511" t="str">
            <v>597- IG MINISTERIO APOSTOLICO NEMUEL INTERNACIONAL</v>
          </cell>
          <cell r="D1511">
            <v>9</v>
          </cell>
        </row>
        <row r="1512">
          <cell r="A1512" t="str">
            <v>339-AS ASOCIACION RESIDENCIA LISBETH</v>
          </cell>
          <cell r="D1512">
            <v>12.96</v>
          </cell>
        </row>
        <row r="1513">
          <cell r="A1513" t="str">
            <v>381-FU FUNDAMIDOM</v>
          </cell>
          <cell r="E1513">
            <v>14</v>
          </cell>
        </row>
        <row r="1514">
          <cell r="A1514" t="str">
            <v>377-FU CENTRO CRISTIANO CASA DE DIOS PANAMA</v>
          </cell>
          <cell r="G1514">
            <v>3</v>
          </cell>
        </row>
        <row r="1515">
          <cell r="A1515" t="str">
            <v>595-FU CENTRO DE LA MUJER Y LA NIÑEZ</v>
          </cell>
          <cell r="C1515">
            <v>6</v>
          </cell>
        </row>
        <row r="1516">
          <cell r="A1516" t="str">
            <v>360-IG IGLESIA CRISTIANA CASA DE REUNION</v>
          </cell>
          <cell r="G1516">
            <v>8</v>
          </cell>
        </row>
        <row r="1517">
          <cell r="A1517" t="str">
            <v>719 FU FUNDACION VIDA NUEVA EL SHADDAI</v>
          </cell>
          <cell r="G1517">
            <v>3</v>
          </cell>
        </row>
        <row r="1518">
          <cell r="A1518" t="str">
            <v>684 - FU FUNDACION CASA DEL REY JESUS (CENTRO 2)</v>
          </cell>
          <cell r="C1518">
            <v>30.599999999999998</v>
          </cell>
        </row>
        <row r="1519">
          <cell r="A1519" t="str">
            <v>723 ASOCIACION AQUI ESTOY</v>
          </cell>
          <cell r="E1519">
            <v>3</v>
          </cell>
        </row>
        <row r="1520">
          <cell r="A1520" t="str">
            <v>229 PA - PARROQUIA SAN CRISTOBAL DE CHEPO</v>
          </cell>
          <cell r="D1520">
            <v>8</v>
          </cell>
        </row>
        <row r="1521">
          <cell r="A1521" t="str">
            <v>737- ASOCIACION CRISTIANA EBEN-EZER (ESTE)</v>
          </cell>
          <cell r="D1521">
            <v>3</v>
          </cell>
        </row>
        <row r="1522">
          <cell r="A1522" t="str">
            <v>733-IG LA ORACION FUERTE AL ESPIRITU SANTO</v>
          </cell>
          <cell r="C1522">
            <v>2</v>
          </cell>
        </row>
        <row r="1523">
          <cell r="A1523" t="str">
            <v>745-FU CASA DE MISERICORDIA</v>
          </cell>
          <cell r="C1523">
            <v>6</v>
          </cell>
        </row>
        <row r="1524">
          <cell r="A1524" t="str">
            <v>275 IG CONCILIO GENERAL DE LAS ASAMBLEAS DE DIOS DE PANAMÁ</v>
          </cell>
          <cell r="C1524">
            <v>6</v>
          </cell>
        </row>
        <row r="1525">
          <cell r="A1525" t="str">
            <v>785-FU FUNDACION GOTAS DE ESPERANZA</v>
          </cell>
          <cell r="E1525">
            <v>2</v>
          </cell>
        </row>
        <row r="1526">
          <cell r="A1526" t="str">
            <v>394-IG IGLESIA ESCUADRONES DEL EJERCITO DE DIOS (CENTRO2)</v>
          </cell>
          <cell r="C1526">
            <v>3</v>
          </cell>
        </row>
        <row r="1527">
          <cell r="A1527" t="str">
            <v>789-FU Fundación Rescate de Alimentos</v>
          </cell>
          <cell r="C1527">
            <v>6</v>
          </cell>
        </row>
        <row r="1528">
          <cell r="A1528" t="str">
            <v>793-FU Fundación Príncipes de Jehová</v>
          </cell>
          <cell r="I1528">
            <v>5</v>
          </cell>
        </row>
        <row r="1529">
          <cell r="A1529" t="str">
            <v>138 OR - HERMANAS FRANCISCANAS DE MARIA INMACULADALA</v>
          </cell>
          <cell r="H1529">
            <v>3</v>
          </cell>
        </row>
        <row r="1530">
          <cell r="A1530" t="str">
            <v>3 IG - IGLESIA DEL NAZARENO</v>
          </cell>
          <cell r="E1530">
            <v>3</v>
          </cell>
        </row>
        <row r="1531">
          <cell r="A1531" t="str">
            <v>232 IG MINISTERIO TIEMPO DE COSECHA</v>
          </cell>
          <cell r="I1531">
            <v>3</v>
          </cell>
        </row>
        <row r="1532">
          <cell r="A1532" t="str">
            <v>253 FU - FUNDACIÓN PARA EL BIENESTAR SOCIAL (CENTRO2)</v>
          </cell>
          <cell r="C1532">
            <v>3</v>
          </cell>
        </row>
        <row r="1533">
          <cell r="A1533" t="str">
            <v>375-FU Ministerio a Dios sea la Gloria</v>
          </cell>
          <cell r="C1533">
            <v>3</v>
          </cell>
        </row>
        <row r="1534">
          <cell r="A1534" t="str">
            <v>CONGREGACION DE HERMANDAD KOL SHEARITH ISRAEL</v>
          </cell>
          <cell r="C1534">
            <v>28</v>
          </cell>
          <cell r="D1534">
            <v>32</v>
          </cell>
          <cell r="E1534">
            <v>263</v>
          </cell>
          <cell r="F1534">
            <v>12</v>
          </cell>
          <cell r="G1534">
            <v>8</v>
          </cell>
          <cell r="H1534">
            <v>4</v>
          </cell>
          <cell r="I1534">
            <v>24</v>
          </cell>
        </row>
        <row r="1535">
          <cell r="A1535" t="str">
            <v>298-FU - MINISTERIO FUENTE DE VIDA PARA EL PERDIDO</v>
          </cell>
          <cell r="F1535">
            <v>12</v>
          </cell>
        </row>
        <row r="1536">
          <cell r="A1536" t="str">
            <v>104 AS - ASOCIACIÓN HOGAR FELICIDAD</v>
          </cell>
          <cell r="E1536">
            <v>12</v>
          </cell>
        </row>
        <row r="1537">
          <cell r="A1537" t="str">
            <v>693 - FU MINISTERIO BERAKHAH INTERNACIONAL TOCUMEN #1</v>
          </cell>
          <cell r="D1537">
            <v>8</v>
          </cell>
        </row>
        <row r="1538">
          <cell r="A1538" t="str">
            <v>373-FU MINISTERIO INTERNACIONAL BOANERGES</v>
          </cell>
          <cell r="I1538">
            <v>8</v>
          </cell>
        </row>
        <row r="1539">
          <cell r="A1539" t="str">
            <v>487-FU FUNDACION CASA AVE MARIA</v>
          </cell>
          <cell r="E1539">
            <v>4</v>
          </cell>
        </row>
        <row r="1540">
          <cell r="A1540" t="str">
            <v>2 PA - PARROQUIA SAN JUAN MARIA VIANNEY (NORTE)</v>
          </cell>
          <cell r="I1540">
            <v>16</v>
          </cell>
        </row>
        <row r="1541">
          <cell r="A1541" t="str">
            <v>259 IG - ALCANCE VICTORIA PANAMÁ</v>
          </cell>
          <cell r="C1541">
            <v>8</v>
          </cell>
        </row>
        <row r="1542">
          <cell r="A1542" t="str">
            <v>379-FU Fundacion Ministerio Apostolico Manantial de Vida</v>
          </cell>
          <cell r="H1542">
            <v>4</v>
          </cell>
        </row>
        <row r="1543">
          <cell r="A1543" t="str">
            <v>397-FU FUNDACION SHALOM PANAMA</v>
          </cell>
          <cell r="E1543">
            <v>4</v>
          </cell>
        </row>
        <row r="1544">
          <cell r="A1544" t="str">
            <v>195 ED - JUNTOS PODEMOS</v>
          </cell>
          <cell r="C1544">
            <v>4</v>
          </cell>
        </row>
        <row r="1545">
          <cell r="A1545" t="str">
            <v>597- IG MINISTERIO APOSTOLICO NEMUEL INTERNACIONAL</v>
          </cell>
          <cell r="D1545">
            <v>4</v>
          </cell>
        </row>
        <row r="1546">
          <cell r="A1546" t="str">
            <v>339-AS ASOCIACION RESIDENCIA LISBETH</v>
          </cell>
          <cell r="D1546">
            <v>8</v>
          </cell>
        </row>
        <row r="1547">
          <cell r="A1547" t="str">
            <v>144 OR - HERMANAS DE SAN JOSÉ DE LA APARICIÓN (RETIRA EN EL BANCO)</v>
          </cell>
          <cell r="D1547">
            <v>4</v>
          </cell>
        </row>
        <row r="1548">
          <cell r="A1548" t="str">
            <v>270 FU - FUNDACIÓN MISERICORDIA DE DON BOSCO (OESTE)</v>
          </cell>
          <cell r="E1548">
            <v>4</v>
          </cell>
        </row>
        <row r="1549">
          <cell r="A1549" t="str">
            <v>381-FU FUNDAMIDOM</v>
          </cell>
          <cell r="E1549">
            <v>8</v>
          </cell>
        </row>
        <row r="1550">
          <cell r="A1550" t="str">
            <v>491-FU Fundación Aleluya</v>
          </cell>
          <cell r="G1550">
            <v>4</v>
          </cell>
        </row>
        <row r="1551">
          <cell r="A1551" t="str">
            <v>642 - IG IGLESIA VIDA (CENTRO 1)</v>
          </cell>
          <cell r="C1551">
            <v>4</v>
          </cell>
        </row>
        <row r="1552">
          <cell r="A1552" t="str">
            <v>360-IG IGLESIA CRISTIANA CASA DE REUNION</v>
          </cell>
          <cell r="G1552">
            <v>4</v>
          </cell>
        </row>
        <row r="1553">
          <cell r="A1553" t="str">
            <v>723 ASOCIACION AQUI ESTOY</v>
          </cell>
          <cell r="E1553">
            <v>4</v>
          </cell>
        </row>
        <row r="1554">
          <cell r="A1554" t="str">
            <v>229 PA - PARROQUIA SAN CRISTOBAL DE CHEPO</v>
          </cell>
          <cell r="D1554">
            <v>8</v>
          </cell>
        </row>
        <row r="1555">
          <cell r="A1555" t="str">
            <v>745-FU CASA DE MISERICORDIA</v>
          </cell>
          <cell r="C1555">
            <v>4</v>
          </cell>
        </row>
        <row r="1556">
          <cell r="A1556" t="str">
            <v>394-IG IGLESIA ESCUADRONES DEL EJERCITO DE DIOS (CENTRO2)</v>
          </cell>
          <cell r="C1556">
            <v>8</v>
          </cell>
        </row>
        <row r="1557">
          <cell r="A1557" t="str">
            <v>488-FU FUNDACION EDUCATIVA SAN PEDRO NOLASCO</v>
          </cell>
          <cell r="E1557">
            <v>227</v>
          </cell>
        </row>
        <row r="1558">
          <cell r="A1558" t="str">
            <v>CAMPAÑA NUTRIENDO VIDAS</v>
          </cell>
          <cell r="B1558">
            <v>506.99</v>
          </cell>
          <cell r="C1558">
            <v>3629.3599999999992</v>
          </cell>
          <cell r="D1558">
            <v>3584.0099999999993</v>
          </cell>
          <cell r="E1558">
            <v>6022.05</v>
          </cell>
          <cell r="F1558">
            <v>274.57000000000005</v>
          </cell>
          <cell r="G1558">
            <v>826.48</v>
          </cell>
          <cell r="H1558">
            <v>2506.3700000000003</v>
          </cell>
          <cell r="I1558">
            <v>3720.8000000000006</v>
          </cell>
          <cell r="J1558">
            <v>757.88</v>
          </cell>
          <cell r="K1558">
            <v>274.57000000000005</v>
          </cell>
          <cell r="M1558">
            <v>17001.64</v>
          </cell>
          <cell r="N1558">
            <v>1434.48</v>
          </cell>
        </row>
        <row r="1559">
          <cell r="A1559" t="str">
            <v>622-NV BENEFICIARIOS NV</v>
          </cell>
          <cell r="C1559">
            <v>1169.2599999999986</v>
          </cell>
        </row>
        <row r="1560">
          <cell r="A1560" t="str">
            <v>550-NV HOGAR BOLIVAR</v>
          </cell>
          <cell r="C1560">
            <v>66.5</v>
          </cell>
        </row>
        <row r="1561">
          <cell r="A1561" t="str">
            <v>552-NV FUNDACION REMAR DE PANAMÁ</v>
          </cell>
          <cell r="C1561">
            <v>137.20000000000002</v>
          </cell>
        </row>
        <row r="1562">
          <cell r="A1562" t="str">
            <v>525-NV PQUIA SAN NICOLAS DE BARI</v>
          </cell>
          <cell r="E1562">
            <v>689.28</v>
          </cell>
        </row>
        <row r="1563">
          <cell r="A1563" t="str">
            <v>516-NV PQUIA SAN LUCAS PASTORAL SOCIAL</v>
          </cell>
          <cell r="C1563">
            <v>109.68999999999998</v>
          </cell>
        </row>
        <row r="1564">
          <cell r="A1564" t="str">
            <v>532-NV UNA LUZ EN MI CAMINO</v>
          </cell>
          <cell r="E1564">
            <v>82.350000000000009</v>
          </cell>
        </row>
        <row r="1565">
          <cell r="A1565" t="str">
            <v>561-NV FUNDACION MISERICORDIA DE DON BOSCO</v>
          </cell>
          <cell r="E1565">
            <v>68.650000000000006</v>
          </cell>
        </row>
        <row r="1566">
          <cell r="A1566" t="str">
            <v>548-NV PARROQUIA INMACULADA CONCEPCION DE CHORRERA</v>
          </cell>
          <cell r="E1566">
            <v>2344.56</v>
          </cell>
        </row>
        <row r="1567">
          <cell r="A1567" t="str">
            <v>583-NV IGLESIA GLORIA TRANSFORMADORA SHEKINA</v>
          </cell>
          <cell r="E1567">
            <v>619.72</v>
          </cell>
        </row>
        <row r="1568">
          <cell r="A1568" t="str">
            <v>519-NV PQUIA SAN LUCAS-PATRIA NUEVA</v>
          </cell>
          <cell r="I1568">
            <v>1101.8600000000001</v>
          </cell>
        </row>
        <row r="1569">
          <cell r="A1569" t="str">
            <v>508-NV PQUIA NSTRA SRA DOLORES</v>
          </cell>
          <cell r="E1569">
            <v>619.2700000000001</v>
          </cell>
        </row>
        <row r="1570">
          <cell r="A1570" t="str">
            <v>528-NV ASOCIACION DAME UNA OPORTUNIDAD</v>
          </cell>
          <cell r="I1570">
            <v>137.20000000000002</v>
          </cell>
        </row>
        <row r="1571">
          <cell r="A1571" t="str">
            <v>502-NV CENTRO MARIE POUSSEPIN</v>
          </cell>
          <cell r="C1571">
            <v>274.57000000000005</v>
          </cell>
        </row>
        <row r="1572">
          <cell r="A1572" t="str">
            <v>530-NV LOS PREFERIDOS DEL SEÑOR</v>
          </cell>
          <cell r="C1572">
            <v>689.78</v>
          </cell>
        </row>
        <row r="1573">
          <cell r="A1573" t="str">
            <v>523-NV PQUIA DE LA SANTA CRUZ-CHILIBRE</v>
          </cell>
          <cell r="I1573">
            <v>964.67000000000007</v>
          </cell>
        </row>
        <row r="1574">
          <cell r="A1574" t="str">
            <v>714-NV FUNDACION EDUCATIVA SAN JUAN PABLO SEGUNDO</v>
          </cell>
          <cell r="B1574">
            <v>82.140000000000015</v>
          </cell>
        </row>
        <row r="1575">
          <cell r="A1575" t="str">
            <v>549-NV FUNDACION OFRECE UN HOGAR</v>
          </cell>
          <cell r="B1575">
            <v>137.05000000000004</v>
          </cell>
        </row>
        <row r="1576">
          <cell r="A1576" t="str">
            <v>505-NV ASOC. PRO NIÑEZ PANAMEÑA CERRO PLATA (EL BALE)</v>
          </cell>
          <cell r="M1576">
            <v>10446.700000000001</v>
          </cell>
        </row>
        <row r="1577">
          <cell r="A1577" t="str">
            <v>581-NV HOGAR LUISA</v>
          </cell>
          <cell r="C1577">
            <v>288.09000000000009</v>
          </cell>
        </row>
        <row r="1578">
          <cell r="A1578" t="str">
            <v>571-NV IGLESIA DE CRISTO ESTRELLA CRECIENTE</v>
          </cell>
          <cell r="D1578">
            <v>274.77000000000004</v>
          </cell>
        </row>
        <row r="1579">
          <cell r="A1579" t="str">
            <v>577-NV FUNDACIÓN CASA HOGAR EL BUEN SAMARITANO</v>
          </cell>
          <cell r="D1579">
            <v>2069.58</v>
          </cell>
        </row>
        <row r="1580">
          <cell r="A1580" t="str">
            <v>574-NV ASOCIACIÓN RESIDENCIA LISBETH</v>
          </cell>
          <cell r="D1580">
            <v>68.600000000000009</v>
          </cell>
        </row>
        <row r="1581">
          <cell r="A1581" t="str">
            <v>522-NV VICARIATO DE DARIEN</v>
          </cell>
          <cell r="F1581">
            <v>274.57000000000005</v>
          </cell>
        </row>
        <row r="1582">
          <cell r="A1582" t="str">
            <v>520-NV COMEDOR BELEN CASA DE PAN</v>
          </cell>
          <cell r="D1582">
            <v>344.58</v>
          </cell>
        </row>
        <row r="1583">
          <cell r="A1583" t="str">
            <v>527-NV CASITA DE MILAGROS -AURA CASTILLO</v>
          </cell>
          <cell r="E1583">
            <v>689.28</v>
          </cell>
        </row>
        <row r="1584">
          <cell r="A1584" t="str">
            <v>514-NV PQUIA JESUS BUEN PASTOR</v>
          </cell>
          <cell r="D1584">
            <v>689.28</v>
          </cell>
        </row>
        <row r="1585">
          <cell r="A1585" t="str">
            <v>507-NV COMEDOR INFANTIL SHEKINA PENONOMÉ</v>
          </cell>
          <cell r="K1585">
            <v>274.57000000000005</v>
          </cell>
        </row>
        <row r="1586">
          <cell r="A1586" t="str">
            <v>588-NV HNAS FRANCISCANAS DE LA PURISIMA CONCEPCIÓN PQUIA SAN JUAN BOSCO DAVID</v>
          </cell>
          <cell r="J1586">
            <v>689.28</v>
          </cell>
        </row>
        <row r="1587">
          <cell r="A1587" t="str">
            <v>513-NV PEQUEÑOS LUCHADORES</v>
          </cell>
          <cell r="G1587">
            <v>137.20000000000002</v>
          </cell>
        </row>
        <row r="1588">
          <cell r="A1588" t="str">
            <v>569-NV LUZ DE LAS NACIONES</v>
          </cell>
          <cell r="J1588">
            <v>68.600000000000009</v>
          </cell>
        </row>
        <row r="1589">
          <cell r="A1589" t="str">
            <v>540-NV FUNDACION EL ARCA</v>
          </cell>
          <cell r="C1589">
            <v>412.07000000000005</v>
          </cell>
        </row>
        <row r="1590">
          <cell r="A1590" t="str">
            <v>529-NV SOY PADRINO-HERMANOS DE EMAUS</v>
          </cell>
          <cell r="I1590">
            <v>1517.0700000000002</v>
          </cell>
        </row>
        <row r="1591">
          <cell r="A1591" t="str">
            <v>632-NV JAV LIVE</v>
          </cell>
          <cell r="H1591">
            <v>370.91000000000008</v>
          </cell>
        </row>
        <row r="1592">
          <cell r="A1592" t="str">
            <v>587-NV CLUB DE CIEGOS DE COLON</v>
          </cell>
          <cell r="H1592">
            <v>206.12</v>
          </cell>
        </row>
        <row r="1593">
          <cell r="A1593" t="str">
            <v>585-NV PQUIA SAN FRANCISCO JAVIER COLON</v>
          </cell>
          <cell r="H1593">
            <v>964.67000000000007</v>
          </cell>
        </row>
        <row r="1594">
          <cell r="A1594" t="str">
            <v>586-NV PQUIA SAN JOSE COLON</v>
          </cell>
          <cell r="H1594">
            <v>964.67000000000007</v>
          </cell>
        </row>
        <row r="1595">
          <cell r="A1595" t="str">
            <v>618-NV Club de Leones Panamá Virtual en Valores</v>
          </cell>
          <cell r="B1595">
            <v>27.380000000000003</v>
          </cell>
        </row>
        <row r="1596">
          <cell r="A1596" t="str">
            <v>573-NV CASA DE PODER INTERNACIONAL</v>
          </cell>
          <cell r="C1596">
            <v>413.6</v>
          </cell>
        </row>
        <row r="1597">
          <cell r="A1597" t="str">
            <v>716-NV PARROQUIA SAN AGUSTIN DE KANKINTU</v>
          </cell>
          <cell r="N1597">
            <v>1434.48</v>
          </cell>
        </row>
        <row r="1598">
          <cell r="A1598" t="str">
            <v>666-NV ESCUELA BEATO ROMERO</v>
          </cell>
          <cell r="D1598">
            <v>137.19999999999999</v>
          </cell>
        </row>
        <row r="1599">
          <cell r="A1599" t="str">
            <v>555-NV COMEDOR GRANDES PASOS DE AMOR</v>
          </cell>
          <cell r="B1599">
            <v>54.760000000000005</v>
          </cell>
        </row>
        <row r="1600">
          <cell r="A1600" t="str">
            <v>627-NV CLUB DE LEONES VILLA LUCRE</v>
          </cell>
          <cell r="C1600">
            <v>68.600000000000009</v>
          </cell>
        </row>
        <row r="1601">
          <cell r="A1601" t="str">
            <v>500-NV FUNDACION EDUCATIVA SAN PEDRO NOLASCO</v>
          </cell>
          <cell r="B1601">
            <v>13.700000000000001</v>
          </cell>
        </row>
        <row r="1602">
          <cell r="A1602" t="str">
            <v>725- NV CLUB KIWANIS LAS GARDENIAS</v>
          </cell>
          <cell r="B1602">
            <v>27.380000000000003</v>
          </cell>
        </row>
        <row r="1603">
          <cell r="A1603" t="str">
            <v>729-NV CEBG EL ÑAJÚ</v>
          </cell>
          <cell r="B1603">
            <v>137.20000000000002</v>
          </cell>
        </row>
        <row r="1604">
          <cell r="A1604" t="str">
            <v>744-NV CLUB DE LEONES DE ANCON</v>
          </cell>
          <cell r="B1604">
            <v>27.380000000000003</v>
          </cell>
        </row>
        <row r="1605">
          <cell r="A1605" t="str">
            <v>768-NV ANCEC SANTIAGO</v>
          </cell>
          <cell r="M1605">
            <v>191.95999999999998</v>
          </cell>
        </row>
        <row r="1606">
          <cell r="A1606" t="str">
            <v>790-NV Comedor Dios Es Nuestro Proveedor</v>
          </cell>
          <cell r="E1606">
            <v>219.65999999999997</v>
          </cell>
        </row>
        <row r="1607">
          <cell r="A1607" t="str">
            <v>810-NV PARROQUIA NUESTRA SEÑORA DEL ROSARIO</v>
          </cell>
          <cell r="G1607">
            <v>689.28</v>
          </cell>
        </row>
        <row r="1608">
          <cell r="A1608" t="str">
            <v>504-NV ASOC. PRO NIÑEZ PANAMEÑA CAÑAZAS</v>
          </cell>
          <cell r="M1608">
            <v>6362.9800000000005</v>
          </cell>
        </row>
        <row r="1609">
          <cell r="A1609" t="str">
            <v>517-NV IGLESIA EL NAZARENO</v>
          </cell>
          <cell r="E1609">
            <v>689.28</v>
          </cell>
        </row>
        <row r="1610">
          <cell r="A1610" t="str">
            <v>GENTILE - G &amp; H. S.A.</v>
          </cell>
          <cell r="D1610">
            <v>15</v>
          </cell>
        </row>
        <row r="1611">
          <cell r="A1611" t="str">
            <v>187 IG - IGLESIA DE DIOS DE LA PROFECÍA</v>
          </cell>
          <cell r="D1611">
            <v>4</v>
          </cell>
        </row>
        <row r="1612">
          <cell r="A1612" t="str">
            <v>321-IG IGLESIA DIOS ES MI PROVEEDOR Y SUSTENTO</v>
          </cell>
          <cell r="D1612">
            <v>9</v>
          </cell>
        </row>
        <row r="1613">
          <cell r="A1613" t="str">
            <v>417-AS CLUB DE LEONES DE PEDREGAL (ESTE)</v>
          </cell>
          <cell r="D1613">
            <v>2</v>
          </cell>
        </row>
        <row r="1614">
          <cell r="A1614" t="str">
            <v>FRANQUICIAS PANAMEÑAS</v>
          </cell>
          <cell r="C1614">
            <v>54</v>
          </cell>
          <cell r="D1614">
            <v>162</v>
          </cell>
          <cell r="E1614">
            <v>38</v>
          </cell>
          <cell r="F1614">
            <v>4</v>
          </cell>
          <cell r="G1614">
            <v>22</v>
          </cell>
          <cell r="H1614">
            <v>38</v>
          </cell>
          <cell r="I1614">
            <v>32</v>
          </cell>
        </row>
        <row r="1615">
          <cell r="A1615" t="str">
            <v>702 - FU MINISTERIO BERAKHAH INTERNACIONAL ARRAIJAN</v>
          </cell>
          <cell r="E1615">
            <v>2</v>
          </cell>
        </row>
        <row r="1616">
          <cell r="A1616" t="str">
            <v>298-FU - MINISTERIO FUENTE DE VIDA PARA EL PERDIDO</v>
          </cell>
          <cell r="F1616">
            <v>4</v>
          </cell>
        </row>
        <row r="1617">
          <cell r="A1617" t="str">
            <v>479-IG IGLESIA NUEVA ESPERANZA</v>
          </cell>
          <cell r="D1617">
            <v>2</v>
          </cell>
        </row>
        <row r="1618">
          <cell r="A1618" t="str">
            <v>175 AS - ASOCIACIÓN RESTAURANDO VIDAS</v>
          </cell>
          <cell r="D1618">
            <v>4</v>
          </cell>
        </row>
        <row r="1619">
          <cell r="A1619" t="str">
            <v>178 IG - TEMPLO ZURIEL EL REFUGIO</v>
          </cell>
          <cell r="G1619">
            <v>6</v>
          </cell>
        </row>
        <row r="1620">
          <cell r="A1620" t="str">
            <v>493-FU Comedor Jesús es mi Pastor</v>
          </cell>
          <cell r="D1620">
            <v>2</v>
          </cell>
        </row>
        <row r="1621">
          <cell r="A1621" t="str">
            <v>636- FU JAH - LIVE (JAHL) - COLON</v>
          </cell>
          <cell r="H1621">
            <v>26</v>
          </cell>
        </row>
        <row r="1622">
          <cell r="A1622" t="str">
            <v>365-IG COMEDOR HEFZIBA</v>
          </cell>
          <cell r="I1622">
            <v>4</v>
          </cell>
        </row>
        <row r="1623">
          <cell r="A1623" t="str">
            <v>635 TEMPLO ADULAM</v>
          </cell>
          <cell r="E1623">
            <v>6</v>
          </cell>
        </row>
        <row r="1624">
          <cell r="A1624" t="str">
            <v>687 - FU FUNDACION ARCA DE JESUS</v>
          </cell>
          <cell r="E1624">
            <v>8</v>
          </cell>
        </row>
        <row r="1625">
          <cell r="A1625" t="str">
            <v>218 ED - LOS PREFERIDOS DEL SEÑOR (CENTRO2)</v>
          </cell>
          <cell r="C1625">
            <v>6</v>
          </cell>
        </row>
        <row r="1626">
          <cell r="A1626" t="str">
            <v>187 IG - IGLESIA DE DIOS DE LA PROFECÍA</v>
          </cell>
          <cell r="D1626">
            <v>14</v>
          </cell>
        </row>
        <row r="1627">
          <cell r="A1627" t="str">
            <v>321-IG IGLESIA DIOS ES MI PROVEEDOR Y SUSTENTO</v>
          </cell>
          <cell r="D1627">
            <v>6</v>
          </cell>
        </row>
        <row r="1628">
          <cell r="A1628" t="str">
            <v>694 - FU MINISTERIO BERAKHAH INTERNACIONAL TOCUMEN #2</v>
          </cell>
          <cell r="D1628">
            <v>4</v>
          </cell>
        </row>
        <row r="1629">
          <cell r="A1629" t="str">
            <v>444-FU MINISTERIO BERAKHAH INTERNACIONAL COMEDOR LAS GARZAS #1</v>
          </cell>
          <cell r="D1629">
            <v>2</v>
          </cell>
        </row>
        <row r="1630">
          <cell r="A1630" t="str">
            <v>693 - FU MINISTERIO BERAKHAH INTERNACIONAL TOCUMEN #1</v>
          </cell>
          <cell r="D1630">
            <v>4</v>
          </cell>
        </row>
        <row r="1631">
          <cell r="A1631" t="str">
            <v>366-FU CENTRO MISIONERO EL SHADAI (ESTE)</v>
          </cell>
          <cell r="D1631">
            <v>8</v>
          </cell>
        </row>
        <row r="1632">
          <cell r="A1632" t="str">
            <v>498-FU COMEDOR NIÑOS DE BENDICION</v>
          </cell>
          <cell r="E1632">
            <v>6</v>
          </cell>
        </row>
        <row r="1633">
          <cell r="A1633" t="str">
            <v>373-FU MINISTERIO INTERNACIONAL BOANERGES</v>
          </cell>
          <cell r="I1633">
            <v>4</v>
          </cell>
        </row>
        <row r="1634">
          <cell r="A1634" t="str">
            <v>368-FU MINISTERIO PACTO DE SANTIDAD</v>
          </cell>
          <cell r="C1634">
            <v>2</v>
          </cell>
        </row>
        <row r="1635">
          <cell r="A1635" t="str">
            <v>654 - IG M.I.A.F NUEVA JERUSALEN PANAMA (ESTE)</v>
          </cell>
          <cell r="D1635">
            <v>6</v>
          </cell>
        </row>
        <row r="1636">
          <cell r="A1636" t="str">
            <v>103 IG - IGLESIA DE LA GRACIA DE DIOS</v>
          </cell>
          <cell r="I1636">
            <v>2</v>
          </cell>
        </row>
        <row r="1637">
          <cell r="A1637" t="str">
            <v>363-FU FUNDACION MINISTERIO DEL EVANGELIO ETERNO DEL REINO (NORTE)</v>
          </cell>
          <cell r="G1637">
            <v>2</v>
          </cell>
        </row>
        <row r="1638">
          <cell r="A1638" t="str">
            <v>2 PA - PARROQUIA SAN JUAN MARIA VIANNEY (NORTE)</v>
          </cell>
          <cell r="I1638">
            <v>4</v>
          </cell>
        </row>
        <row r="1639">
          <cell r="A1639" t="str">
            <v>696 - FU MINISTERIO BERAKHAH INTERNACIONAL CHEPO #1</v>
          </cell>
          <cell r="D1639">
            <v>2</v>
          </cell>
        </row>
        <row r="1640">
          <cell r="A1640" t="str">
            <v>472-FU FUNDACION TALITA CUMI</v>
          </cell>
          <cell r="D1640">
            <v>2</v>
          </cell>
        </row>
        <row r="1641">
          <cell r="A1641" t="str">
            <v>222 ED - MISERICORDIAR</v>
          </cell>
          <cell r="D1641">
            <v>54</v>
          </cell>
        </row>
        <row r="1642">
          <cell r="A1642" t="str">
            <v>259 IG - ALCANCE VICTORIA PANAMÁ</v>
          </cell>
          <cell r="C1642">
            <v>2</v>
          </cell>
        </row>
        <row r="1643">
          <cell r="A1643" t="str">
            <v>379-FU Fundacion Ministerio Apostolico Manantial de Vida</v>
          </cell>
          <cell r="H1643">
            <v>10</v>
          </cell>
        </row>
        <row r="1644">
          <cell r="A1644" t="str">
            <v>630-IG MIN.INTL.DE CRISTO PAZ DE DIOS</v>
          </cell>
          <cell r="C1644">
            <v>8</v>
          </cell>
        </row>
        <row r="1645">
          <cell r="A1645" t="str">
            <v>397-FU FUNDACION SHALOM PANAMA</v>
          </cell>
          <cell r="E1645">
            <v>2</v>
          </cell>
        </row>
        <row r="1646">
          <cell r="A1646" t="str">
            <v>697 - FU MINISTERIO BERAKHAH INTERNACIONAL CHEPO #2</v>
          </cell>
          <cell r="D1646">
            <v>4</v>
          </cell>
        </row>
        <row r="1647">
          <cell r="A1647" t="str">
            <v>195 ED - JUNTOS PODEMOS</v>
          </cell>
          <cell r="C1647">
            <v>4</v>
          </cell>
        </row>
        <row r="1648">
          <cell r="A1648" t="str">
            <v>653 - FU FUNDACION LUIS CARLOS DIAZ (OESTE)</v>
          </cell>
          <cell r="E1648">
            <v>2</v>
          </cell>
        </row>
        <row r="1649">
          <cell r="A1649" t="str">
            <v>709 - FU FUNRECRISTO</v>
          </cell>
          <cell r="D1649">
            <v>2</v>
          </cell>
        </row>
        <row r="1650">
          <cell r="A1650" t="str">
            <v>450-FU MINISTERIO DE RESTAURACION EFESIOS 4 (ESTE)</v>
          </cell>
          <cell r="D1650">
            <v>2</v>
          </cell>
        </row>
        <row r="1651">
          <cell r="A1651" t="str">
            <v>380-ED COMEDOR COMUNITARIO CASA DEL ALFARERO</v>
          </cell>
          <cell r="D1651">
            <v>2</v>
          </cell>
        </row>
        <row r="1652">
          <cell r="A1652" t="str">
            <v>116 AS - ASOCIACIÓN IGLESIA DE CRISTO ESTRELLA CRECIENTE</v>
          </cell>
          <cell r="D1652">
            <v>2</v>
          </cell>
        </row>
        <row r="1653">
          <cell r="A1653" t="str">
            <v>417-AS CLUB DE LEONES DE PEDREGAL (ESTE)</v>
          </cell>
          <cell r="D1653">
            <v>4</v>
          </cell>
        </row>
        <row r="1654">
          <cell r="A1654" t="str">
            <v>252 IG - MINISTERIO INTERNACIONAL DE AMISTADES CRISTIANAS</v>
          </cell>
          <cell r="D1654">
            <v>2</v>
          </cell>
        </row>
        <row r="1655">
          <cell r="A1655" t="str">
            <v>339-AS ASOCIACION RESIDENCIA LISBETH</v>
          </cell>
          <cell r="D1655">
            <v>4</v>
          </cell>
        </row>
        <row r="1656">
          <cell r="A1656" t="str">
            <v>144 OR - HERMANAS DE SAN JOSÉ DE LA APARICIÓN (RETIRA EN EL BANCO)</v>
          </cell>
          <cell r="D1656">
            <v>2</v>
          </cell>
        </row>
        <row r="1657">
          <cell r="A1657" t="str">
            <v>270 FU - FUNDACIÓN MISERICORDIA DE DON BOSCO (OESTE)</v>
          </cell>
          <cell r="E1657">
            <v>2</v>
          </cell>
        </row>
        <row r="1658">
          <cell r="A1658" t="str">
            <v>274 IG - AMIGOS DE JESÚS (CENTRO1)</v>
          </cell>
          <cell r="D1658">
            <v>2</v>
          </cell>
        </row>
        <row r="1659">
          <cell r="A1659" t="str">
            <v>698 - FU MINISTERIO BERAKHAH INTERNACIONAL PASO BLANCO</v>
          </cell>
          <cell r="D1659">
            <v>2</v>
          </cell>
        </row>
        <row r="1660">
          <cell r="A1660" t="str">
            <v>681 - FU FUNDACION NUEVA SOCIEDAD (NORTE)</v>
          </cell>
          <cell r="I1660">
            <v>4</v>
          </cell>
        </row>
        <row r="1661">
          <cell r="A1661" t="str">
            <v>377-FU CENTRO CRISTIANO CASA DE DIOS PANAMA</v>
          </cell>
          <cell r="G1661">
            <v>7</v>
          </cell>
        </row>
        <row r="1662">
          <cell r="A1662" t="str">
            <v>595-FU CENTRO DE LA MUJER Y LA NIÑEZ</v>
          </cell>
          <cell r="C1662">
            <v>2</v>
          </cell>
        </row>
        <row r="1663">
          <cell r="A1663" t="str">
            <v>669 - IG IGLESIA CAMINO DE SANTIDAD (COLON)</v>
          </cell>
          <cell r="H1663">
            <v>2</v>
          </cell>
        </row>
        <row r="1664">
          <cell r="A1664" t="str">
            <v>360-IG IGLESIA CRISTIANA CASA DE REUNION</v>
          </cell>
          <cell r="G1664">
            <v>5</v>
          </cell>
        </row>
        <row r="1665">
          <cell r="A1665" t="str">
            <v>719 FU FUNDACION VIDA NUEVA EL SHADDAI</v>
          </cell>
          <cell r="G1665">
            <v>2</v>
          </cell>
        </row>
        <row r="1666">
          <cell r="A1666" t="str">
            <v>684 - FU FUNDACION CASA DEL REY JESUS (CENTRO 2)</v>
          </cell>
          <cell r="C1666">
            <v>14</v>
          </cell>
        </row>
        <row r="1667">
          <cell r="A1667" t="str">
            <v>723 ASOCIACION AQUI ESTOY</v>
          </cell>
          <cell r="E1667">
            <v>2</v>
          </cell>
        </row>
        <row r="1668">
          <cell r="A1668" t="str">
            <v>596 IG- IGLESIA EVANGELICA TRINITARIA DIOS FUENTE DE PODER</v>
          </cell>
          <cell r="C1668">
            <v>2</v>
          </cell>
        </row>
        <row r="1669">
          <cell r="A1669" t="str">
            <v>707 - FU MINISTERIO BERAKHAH INTERNACIONAL CAIMITILLO</v>
          </cell>
          <cell r="I1669">
            <v>4</v>
          </cell>
        </row>
        <row r="1670">
          <cell r="A1670" t="str">
            <v>229 PA - PARROQUIA SAN CRISTOBAL DE CHEPO</v>
          </cell>
          <cell r="D1670">
            <v>2</v>
          </cell>
        </row>
        <row r="1671">
          <cell r="A1671" t="str">
            <v>738- IG MINISTERIO DIOS CON NOSOTROS EMANUEL</v>
          </cell>
          <cell r="D1671">
            <v>4</v>
          </cell>
        </row>
        <row r="1672">
          <cell r="A1672" t="str">
            <v>745-FU CASA DE MISERICORDIA</v>
          </cell>
          <cell r="C1672">
            <v>2</v>
          </cell>
        </row>
        <row r="1673">
          <cell r="A1673" t="str">
            <v>741-IG BUNKER DE ESPERANZA</v>
          </cell>
          <cell r="D1673">
            <v>8</v>
          </cell>
        </row>
        <row r="1674">
          <cell r="A1674" t="str">
            <v>760-FU AYUDAME A VIVIR</v>
          </cell>
          <cell r="I1674">
            <v>2</v>
          </cell>
        </row>
        <row r="1675">
          <cell r="A1675" t="str">
            <v>275 IG CONCILIO GENERAL DE LAS ASAMBLEAS DE DIOS DE PANAMÁ</v>
          </cell>
          <cell r="C1675">
            <v>2</v>
          </cell>
        </row>
        <row r="1676">
          <cell r="A1676" t="str">
            <v>785-FU FUNDACION GOTAS DE ESPERANZA</v>
          </cell>
          <cell r="E1676">
            <v>8</v>
          </cell>
        </row>
        <row r="1677">
          <cell r="A1677" t="str">
            <v>789-FU Fundación Rescate de Alimentos</v>
          </cell>
          <cell r="C1677">
            <v>2</v>
          </cell>
        </row>
        <row r="1678">
          <cell r="A1678" t="str">
            <v>793-FU Fundación Príncipes de Jehová</v>
          </cell>
          <cell r="I1678">
            <v>6</v>
          </cell>
        </row>
        <row r="1679">
          <cell r="A1679" t="str">
            <v>232 IG MINISTERIO TIEMPO DE COSECHA</v>
          </cell>
          <cell r="I1679">
            <v>2</v>
          </cell>
        </row>
        <row r="1680">
          <cell r="A1680" t="str">
            <v>253 FU - FUNDACIÓN PARA EL BIENESTAR SOCIAL (CENTRO2)</v>
          </cell>
          <cell r="C1680">
            <v>2</v>
          </cell>
        </row>
        <row r="1681">
          <cell r="A1681" t="str">
            <v>463-FU MINISTERIO BERAKHAH INTERNACIONAL COMEDOR OASIS DE ESPERANZA (ESTE)</v>
          </cell>
          <cell r="D1681">
            <v>6</v>
          </cell>
        </row>
        <row r="1682">
          <cell r="A1682" t="str">
            <v>375-FU Ministerio a Dios sea la Gloria</v>
          </cell>
          <cell r="C1682">
            <v>2</v>
          </cell>
        </row>
        <row r="1683">
          <cell r="A1683" t="str">
            <v>802-IG IGLESIA INTERNACIONAL DEL EVANGELIO CUADRANGULAR DE PANAMÁ</v>
          </cell>
          <cell r="C1683">
            <v>2</v>
          </cell>
        </row>
        <row r="1684">
          <cell r="A1684" t="str">
            <v>786-FU ACADEMIA DE FUTBOL ROMAN TORRES</v>
          </cell>
          <cell r="C1684">
            <v>2</v>
          </cell>
        </row>
        <row r="1685">
          <cell r="A1685" t="str">
            <v>245-FU MINISTERIO BERAKHAH INTERNACIONAL CUENTA PRINCIPAL</v>
          </cell>
          <cell r="D1685">
            <v>4</v>
          </cell>
        </row>
        <row r="1686">
          <cell r="A1686" t="str">
            <v>PEDERSEN FINE FOODS, S.A</v>
          </cell>
          <cell r="C1686">
            <v>35</v>
          </cell>
          <cell r="D1686">
            <v>20</v>
          </cell>
          <cell r="E1686">
            <v>20</v>
          </cell>
          <cell r="G1686">
            <v>10</v>
          </cell>
          <cell r="I1686">
            <v>45</v>
          </cell>
        </row>
        <row r="1687">
          <cell r="A1687" t="str">
            <v>702 - FU MINISTERIO BERAKHAH INTERNACIONAL ARRAIJAN</v>
          </cell>
          <cell r="E1687">
            <v>5</v>
          </cell>
        </row>
        <row r="1688">
          <cell r="A1688" t="str">
            <v>207 IG - IGLESIA CENTRO DE VIDA CRISTIANA</v>
          </cell>
          <cell r="D1688">
            <v>5</v>
          </cell>
        </row>
        <row r="1689">
          <cell r="A1689" t="str">
            <v>373-FU MINISTERIO INTERNACIONAL BOANERGES</v>
          </cell>
          <cell r="I1689">
            <v>10</v>
          </cell>
        </row>
        <row r="1690">
          <cell r="A1690" t="str">
            <v>696 - FU MINISTERIO BERAKHAH INTERNACIONAL CHEPO #1</v>
          </cell>
          <cell r="D1690">
            <v>5</v>
          </cell>
        </row>
        <row r="1691">
          <cell r="A1691" t="str">
            <v>697 - FU MINISTERIO BERAKHAH INTERNACIONAL CHEPO #2</v>
          </cell>
          <cell r="D1691">
            <v>5</v>
          </cell>
        </row>
        <row r="1692">
          <cell r="A1692" t="str">
            <v>195 ED - JUNTOS PODEMOS</v>
          </cell>
          <cell r="C1692">
            <v>15</v>
          </cell>
        </row>
        <row r="1693">
          <cell r="A1693" t="str">
            <v>423-FU FUNDACION CONSTRUYENDO VIDAS EN PANAMA</v>
          </cell>
          <cell r="E1693">
            <v>5</v>
          </cell>
        </row>
        <row r="1694">
          <cell r="A1694" t="str">
            <v>339-AS ASOCIACION RESIDENCIA LISBETH</v>
          </cell>
          <cell r="D1694">
            <v>5</v>
          </cell>
        </row>
        <row r="1695">
          <cell r="A1695" t="str">
            <v>491-FU Fundación Aleluya</v>
          </cell>
          <cell r="G1695">
            <v>5</v>
          </cell>
        </row>
        <row r="1696">
          <cell r="A1696" t="str">
            <v>360-IG IGLESIA CRISTIANA CASA DE REUNION</v>
          </cell>
          <cell r="G1696">
            <v>5</v>
          </cell>
        </row>
        <row r="1697">
          <cell r="A1697" t="str">
            <v>596 IG- IGLESIA EVANGELICA TRINITARIA DIOS FUENTE DE PODER</v>
          </cell>
          <cell r="C1697">
            <v>10</v>
          </cell>
        </row>
        <row r="1698">
          <cell r="A1698" t="str">
            <v>707 - FU MINISTERIO BERAKHAH INTERNACIONAL CAIMITILLO</v>
          </cell>
          <cell r="I1698">
            <v>5</v>
          </cell>
        </row>
        <row r="1699">
          <cell r="A1699" t="str">
            <v>166 FU - FUNDACION CURAME</v>
          </cell>
          <cell r="C1699">
            <v>5</v>
          </cell>
        </row>
        <row r="1700">
          <cell r="A1700" t="str">
            <v>748-IG MINISTERIO JESUCRISTO ES EL PAN DE VIDA</v>
          </cell>
          <cell r="I1700">
            <v>10</v>
          </cell>
        </row>
        <row r="1701">
          <cell r="A1701" t="str">
            <v>760-FU AYUDAME A VIVIR</v>
          </cell>
          <cell r="I1701">
            <v>15</v>
          </cell>
        </row>
        <row r="1702">
          <cell r="A1702" t="str">
            <v>785-FU FUNDACION GOTAS DE ESPERANZA</v>
          </cell>
          <cell r="E1702">
            <v>5</v>
          </cell>
        </row>
        <row r="1703">
          <cell r="A1703" t="str">
            <v>789-FU Fundación Rescate de Alimentos</v>
          </cell>
          <cell r="C1703">
            <v>5</v>
          </cell>
        </row>
        <row r="1704">
          <cell r="A1704" t="str">
            <v>793-FU Fundación Príncipes de Jehová</v>
          </cell>
          <cell r="I1704">
            <v>5</v>
          </cell>
        </row>
        <row r="1705">
          <cell r="A1705" t="str">
            <v>3 IG - IGLESIA DEL NAZARENO</v>
          </cell>
          <cell r="E1705">
            <v>5</v>
          </cell>
        </row>
        <row r="1706">
          <cell r="A1706" t="str">
            <v>PANASAL</v>
          </cell>
          <cell r="C1706">
            <v>19</v>
          </cell>
          <cell r="D1706">
            <v>18</v>
          </cell>
          <cell r="E1706">
            <v>2</v>
          </cell>
          <cell r="G1706">
            <v>1</v>
          </cell>
          <cell r="H1706">
            <v>10</v>
          </cell>
          <cell r="I1706">
            <v>6</v>
          </cell>
        </row>
        <row r="1707">
          <cell r="A1707" t="str">
            <v>636- FU JAH - LIVE (JAHL) - COLON</v>
          </cell>
          <cell r="H1707">
            <v>9</v>
          </cell>
        </row>
        <row r="1708">
          <cell r="A1708" t="str">
            <v>224 OR MISIONERAS DE LA CARIDAD DE COLON</v>
          </cell>
          <cell r="H1708">
            <v>1</v>
          </cell>
        </row>
        <row r="1709">
          <cell r="A1709" t="str">
            <v>694 - FU MINISTERIO BERAKHAH INTERNACIONAL TOCUMEN #2</v>
          </cell>
          <cell r="D1709">
            <v>2</v>
          </cell>
        </row>
        <row r="1710">
          <cell r="A1710" t="str">
            <v>498-FU COMEDOR NIÑOS DE BENDICION</v>
          </cell>
          <cell r="E1710">
            <v>1</v>
          </cell>
        </row>
        <row r="1711">
          <cell r="A1711" t="str">
            <v>701 - FU MINISTERIO BERAKHAH INTERNACIONAL LOS ANDES</v>
          </cell>
          <cell r="I1711">
            <v>3</v>
          </cell>
        </row>
        <row r="1712">
          <cell r="A1712" t="str">
            <v>691 - AR CARITAS ARQUIDIOCESANA</v>
          </cell>
          <cell r="C1712">
            <v>1</v>
          </cell>
        </row>
        <row r="1713">
          <cell r="A1713" t="str">
            <v>696 - FU MINISTERIO BERAKHAH INTERNACIONAL CHEPO #1</v>
          </cell>
          <cell r="D1713">
            <v>1</v>
          </cell>
        </row>
        <row r="1714">
          <cell r="A1714" t="str">
            <v>222 ED - MISERICORDIAR</v>
          </cell>
          <cell r="D1714">
            <v>4</v>
          </cell>
        </row>
        <row r="1715">
          <cell r="A1715" t="str">
            <v>259 IG - ALCANCE VICTORIA PANAMÁ</v>
          </cell>
          <cell r="C1715">
            <v>1</v>
          </cell>
        </row>
        <row r="1716">
          <cell r="A1716" t="str">
            <v>300 ED - BENEFICIARIOS</v>
          </cell>
          <cell r="D1716">
            <v>5</v>
          </cell>
        </row>
        <row r="1717">
          <cell r="A1717" t="str">
            <v>657 - FU CENTRO COMUNITARIO MONTAÑAS DE ESPERANZA (RETIRO EN EL BAP)</v>
          </cell>
          <cell r="D1717">
            <v>1</v>
          </cell>
        </row>
        <row r="1718">
          <cell r="A1718" t="str">
            <v>697 - FU MINISTERIO BERAKHAH INTERNACIONAL CHEPO #2</v>
          </cell>
          <cell r="D1718">
            <v>2</v>
          </cell>
        </row>
        <row r="1719">
          <cell r="A1719" t="str">
            <v>719 FU FUNDACION VIDA NUEVA EL SHADDAI</v>
          </cell>
          <cell r="G1719">
            <v>1</v>
          </cell>
        </row>
        <row r="1720">
          <cell r="A1720" t="str">
            <v>684 - FU FUNDACION CASA DEL REY JESUS (CENTRO 2)</v>
          </cell>
          <cell r="C1720">
            <v>5</v>
          </cell>
        </row>
        <row r="1721">
          <cell r="A1721" t="str">
            <v>723 ASOCIACION AQUI ESTOY</v>
          </cell>
          <cell r="E1721">
            <v>1</v>
          </cell>
        </row>
        <row r="1722">
          <cell r="A1722" t="str">
            <v>707 - FU MINISTERIO BERAKHAH INTERNACIONAL CAIMITILLO</v>
          </cell>
          <cell r="I1722">
            <v>1</v>
          </cell>
        </row>
        <row r="1723">
          <cell r="A1723" t="str">
            <v>741-IG BUNKER DE ESPERANZA</v>
          </cell>
          <cell r="D1723">
            <v>1</v>
          </cell>
        </row>
        <row r="1724">
          <cell r="A1724" t="str">
            <v>394-IG IGLESIA ESCUADRONES DEL EJERCITO DE DIOS (CENTRO2)</v>
          </cell>
          <cell r="C1724">
            <v>1</v>
          </cell>
        </row>
        <row r="1725">
          <cell r="A1725" t="str">
            <v>793-FU Fundación Príncipes de Jehová</v>
          </cell>
          <cell r="I1725">
            <v>1</v>
          </cell>
        </row>
        <row r="1726">
          <cell r="A1726" t="str">
            <v>804-IG Templo Misionero Eclesiastés</v>
          </cell>
          <cell r="I1726">
            <v>1</v>
          </cell>
        </row>
        <row r="1727">
          <cell r="A1727" t="str">
            <v>463-FU MINISTERIO BERAKHAH INTERNACIONAL COMEDOR OASIS DE ESPERANZA (ESTE)</v>
          </cell>
          <cell r="D1727">
            <v>2</v>
          </cell>
        </row>
        <row r="1728">
          <cell r="A1728" t="str">
            <v>802-IG IGLESIA INTERNACIONAL DEL EVANGELIO CUADRANGULAR DE PANAMÁ</v>
          </cell>
          <cell r="C1728">
            <v>1</v>
          </cell>
        </row>
        <row r="1729">
          <cell r="A1729" t="str">
            <v>496-AS CUERPO DE VOLUNTARIAS DEL HOSPITAL DEL NIÑO</v>
          </cell>
          <cell r="C1729">
            <v>10</v>
          </cell>
        </row>
        <row r="1730">
          <cell r="A1730" t="str">
            <v>Bienes y Raices Metalicas S.A.</v>
          </cell>
          <cell r="K1730">
            <v>3</v>
          </cell>
          <cell r="L1730">
            <v>3</v>
          </cell>
          <cell r="O1730">
            <v>3</v>
          </cell>
        </row>
        <row r="1731">
          <cell r="A1731" t="str">
            <v>613-FU FUNDACION INMARE</v>
          </cell>
          <cell r="K1731">
            <v>3</v>
          </cell>
        </row>
        <row r="1732">
          <cell r="A1732" t="str">
            <v>708 - FU MINISTERIO BERAKHAH INTERNACIONAL GUARARE</v>
          </cell>
          <cell r="O1732">
            <v>3</v>
          </cell>
        </row>
        <row r="1733">
          <cell r="A1733" t="str">
            <v>821-IG Ministerio de Adoracion Y Restauracion Guardadores del Pacto</v>
          </cell>
          <cell r="L1733">
            <v>3</v>
          </cell>
        </row>
        <row r="1734">
          <cell r="A1734" t="str">
            <v>H. TZANETATO INC</v>
          </cell>
          <cell r="C1734">
            <v>95.399999999999991</v>
          </cell>
          <cell r="D1734">
            <v>169.99999999999997</v>
          </cell>
          <cell r="E1734">
            <v>47.8</v>
          </cell>
          <cell r="F1734">
            <v>5</v>
          </cell>
          <cell r="G1734">
            <v>11.3</v>
          </cell>
          <cell r="H1734">
            <v>86</v>
          </cell>
          <cell r="I1734">
            <v>13.8</v>
          </cell>
          <cell r="J1734">
            <v>74</v>
          </cell>
          <cell r="K1734">
            <v>74</v>
          </cell>
          <cell r="L1734">
            <v>17</v>
          </cell>
          <cell r="M1734">
            <v>15</v>
          </cell>
          <cell r="O1734">
            <v>3</v>
          </cell>
        </row>
        <row r="1735">
          <cell r="A1735" t="str">
            <v>662-IG MINISTERIO EVANGELICO EL APOSENTO ALTO (CENTRO 1)</v>
          </cell>
          <cell r="C1735">
            <v>6.3</v>
          </cell>
        </row>
        <row r="1736">
          <cell r="A1736" t="str">
            <v>298-FU - MINISTERIO FUENTE DE VIDA PARA EL PERDIDO</v>
          </cell>
          <cell r="F1736">
            <v>5</v>
          </cell>
        </row>
        <row r="1737">
          <cell r="A1737" t="str">
            <v>178 IG - TEMPLO ZURIEL EL REFUGIO</v>
          </cell>
          <cell r="G1737">
            <v>5</v>
          </cell>
        </row>
        <row r="1738">
          <cell r="A1738" t="str">
            <v>207 IG - IGLESIA CENTRO DE VIDA CRISTIANA</v>
          </cell>
          <cell r="D1738">
            <v>11.4</v>
          </cell>
        </row>
        <row r="1739">
          <cell r="A1739" t="str">
            <v>493-FU Comedor Jesús es mi Pastor</v>
          </cell>
          <cell r="D1739">
            <v>3.9000000000000004</v>
          </cell>
        </row>
        <row r="1740">
          <cell r="A1740" t="str">
            <v>636- FU JAH - LIVE (JAHL) - COLON</v>
          </cell>
          <cell r="H1740">
            <v>81</v>
          </cell>
        </row>
        <row r="1741">
          <cell r="A1741" t="str">
            <v>224 OR MISIONERAS DE LA CARIDAD DE COLON</v>
          </cell>
          <cell r="H1741">
            <v>5</v>
          </cell>
        </row>
        <row r="1742">
          <cell r="A1742" t="str">
            <v>407-IG ASOCIACION CRISTIANA INTERNACIONAL EBEN-EZER (OESTE)</v>
          </cell>
          <cell r="E1742">
            <v>3.8</v>
          </cell>
        </row>
        <row r="1743">
          <cell r="A1743" t="str">
            <v>470-FU IGLESIA MONTE SANTO</v>
          </cell>
          <cell r="D1743">
            <v>5</v>
          </cell>
        </row>
        <row r="1744">
          <cell r="A1744" t="str">
            <v>687 - FU FUNDACION ARCA DE JESUS</v>
          </cell>
          <cell r="E1744">
            <v>5</v>
          </cell>
        </row>
        <row r="1745">
          <cell r="A1745" t="str">
            <v>187 IG - IGLESIA DE DIOS DE LA PROFECÍA</v>
          </cell>
          <cell r="D1745">
            <v>6.3</v>
          </cell>
        </row>
        <row r="1746">
          <cell r="A1746" t="str">
            <v>321-IG IGLESIA DIOS ES MI PROVEEDOR Y SUSTENTO</v>
          </cell>
          <cell r="D1746">
            <v>2.5</v>
          </cell>
        </row>
        <row r="1747">
          <cell r="A1747" t="str">
            <v>111 FU - FUNDACIÓN NUESTRA SEÑORA DEL CAMINO</v>
          </cell>
          <cell r="J1747">
            <v>2</v>
          </cell>
        </row>
        <row r="1748">
          <cell r="A1748" t="str">
            <v>694 - FU MINISTERIO BERAKHAH INTERNACIONAL TOCUMEN #2</v>
          </cell>
          <cell r="D1748">
            <v>5</v>
          </cell>
        </row>
        <row r="1749">
          <cell r="A1749" t="str">
            <v>695 - FU MINISTERIO BERAKHAH INTERNACIONAL 24 DIC</v>
          </cell>
          <cell r="D1749">
            <v>11.4</v>
          </cell>
        </row>
        <row r="1750">
          <cell r="A1750" t="str">
            <v>366-FU CENTRO MISIONERO EL SHADAI (ESTE)</v>
          </cell>
          <cell r="D1750">
            <v>6.3</v>
          </cell>
        </row>
        <row r="1751">
          <cell r="A1751" t="str">
            <v>288 IG MINISTERIO EVANGELISTICO DE SANACION Y RESTAURACION, SENALES, MILAGROS Y MARAVILLAS (ESTE)</v>
          </cell>
          <cell r="D1751">
            <v>7.5</v>
          </cell>
        </row>
        <row r="1752">
          <cell r="A1752" t="str">
            <v>183 ED - BELÉN CASA DE PAN (ESTE)</v>
          </cell>
          <cell r="D1752">
            <v>5</v>
          </cell>
        </row>
        <row r="1753">
          <cell r="A1753" t="str">
            <v>701 - FU MINISTERIO BERAKHAH INTERNACIONAL LOS ANDES</v>
          </cell>
          <cell r="I1753">
            <v>5</v>
          </cell>
        </row>
        <row r="1754">
          <cell r="A1754" t="str">
            <v>261 - AS ASOCIACIÓN MINISTERIO SIRVIENDO A LA COMUNIDAD PARA JESUCRISTO</v>
          </cell>
          <cell r="C1754">
            <v>2.5</v>
          </cell>
        </row>
        <row r="1755">
          <cell r="A1755" t="str">
            <v>211 IG - IGLESIA CRISTIANA KADOSH</v>
          </cell>
          <cell r="C1755">
            <v>1.3</v>
          </cell>
        </row>
        <row r="1756">
          <cell r="A1756" t="str">
            <v>368-FU MINISTERIO PACTO DE SANTIDAD</v>
          </cell>
          <cell r="C1756">
            <v>1.3</v>
          </cell>
        </row>
        <row r="1757">
          <cell r="A1757" t="str">
            <v>654 - IG M.I.A.F NUEVA JERUSALEN PANAMA (ESTE)</v>
          </cell>
          <cell r="D1757">
            <v>1.3</v>
          </cell>
        </row>
        <row r="1758">
          <cell r="A1758" t="str">
            <v>284 - IG MINISTERIO PAN DE VIDA</v>
          </cell>
          <cell r="J1758">
            <v>10</v>
          </cell>
        </row>
        <row r="1759">
          <cell r="A1759" t="str">
            <v>696 - FU MINISTERIO BERAKHAH INTERNACIONAL CHEPO #1</v>
          </cell>
          <cell r="D1759">
            <v>6.3</v>
          </cell>
        </row>
        <row r="1760">
          <cell r="A1760" t="str">
            <v>472-FU FUNDACION TALITA CUMI</v>
          </cell>
          <cell r="D1760">
            <v>2.5</v>
          </cell>
        </row>
        <row r="1761">
          <cell r="A1761" t="str">
            <v>222 ED - MISERICORDIAR</v>
          </cell>
          <cell r="D1761">
            <v>16.900000000000002</v>
          </cell>
        </row>
        <row r="1762">
          <cell r="A1762" t="str">
            <v>259 IG - ALCANCE VICTORIA PANAMÁ</v>
          </cell>
          <cell r="C1762">
            <v>30.3</v>
          </cell>
        </row>
        <row r="1763">
          <cell r="A1763" t="str">
            <v>668 - FU FUNDACION CRISTIANA LA FE EN MARCHA</v>
          </cell>
          <cell r="J1763">
            <v>4</v>
          </cell>
        </row>
        <row r="1764">
          <cell r="A1764" t="str">
            <v>644 - IG TEMPLO SENDA DE VIDA (CHIRIQUÍ)</v>
          </cell>
          <cell r="J1764">
            <v>14</v>
          </cell>
        </row>
        <row r="1765">
          <cell r="A1765" t="str">
            <v>387-AS Asociacion ODSSAR-OBC</v>
          </cell>
          <cell r="D1765">
            <v>5.0999999999999996</v>
          </cell>
        </row>
        <row r="1766">
          <cell r="A1766" t="str">
            <v>300 ED - BENEFICIARIOS</v>
          </cell>
          <cell r="D1766">
            <v>2</v>
          </cell>
        </row>
        <row r="1767">
          <cell r="A1767" t="str">
            <v>657 - FU CENTRO COMUNITARIO MONTAÑAS DE ESPERANZA (RETIRO EN EL BAP)</v>
          </cell>
          <cell r="D1767">
            <v>6.3</v>
          </cell>
        </row>
        <row r="1768">
          <cell r="A1768" t="str">
            <v>630-IG MIN.INTL.DE CRISTO PAZ DE DIOS</v>
          </cell>
          <cell r="C1768">
            <v>5</v>
          </cell>
        </row>
        <row r="1769">
          <cell r="A1769" t="str">
            <v>397-FU FUNDACION SHALOM PANAMA</v>
          </cell>
          <cell r="E1769">
            <v>10</v>
          </cell>
        </row>
        <row r="1770">
          <cell r="A1770" t="str">
            <v>697 - FU MINISTERIO BERAKHAH INTERNACIONAL CHEPO #2</v>
          </cell>
          <cell r="D1770">
            <v>1.3</v>
          </cell>
        </row>
        <row r="1771">
          <cell r="A1771" t="str">
            <v>195 ED - JUNTOS PODEMOS</v>
          </cell>
          <cell r="C1771">
            <v>13</v>
          </cell>
        </row>
        <row r="1772">
          <cell r="A1772" t="str">
            <v>670 - FU FUNDACION MINISTERIIO CRISTIANO EL REINO DE DIOS (ESTE)</v>
          </cell>
          <cell r="D1772">
            <v>1.3</v>
          </cell>
        </row>
        <row r="1773">
          <cell r="A1773" t="str">
            <v>380-ED COMEDOR COMUNITARIO CASA DEL ALFARERO</v>
          </cell>
          <cell r="D1773">
            <v>7.5</v>
          </cell>
        </row>
        <row r="1774">
          <cell r="A1774" t="str">
            <v>597- IG MINISTERIO APOSTOLICO NEMUEL INTERNACIONAL</v>
          </cell>
          <cell r="D1774">
            <v>6.3</v>
          </cell>
        </row>
        <row r="1775">
          <cell r="A1775" t="str">
            <v>647 - IG CRISTO REY CAMBIANDO VIDAS (ESTE)</v>
          </cell>
          <cell r="D1775">
            <v>6.3</v>
          </cell>
        </row>
        <row r="1776">
          <cell r="A1776" t="str">
            <v>252 IG - MINISTERIO INTERNACIONAL DE AMISTADES CRISTIANAS</v>
          </cell>
          <cell r="D1776">
            <v>10</v>
          </cell>
        </row>
        <row r="1777">
          <cell r="A1777" t="str">
            <v>339-AS ASOCIACION RESIDENCIA LISBETH</v>
          </cell>
          <cell r="D1777">
            <v>5</v>
          </cell>
        </row>
        <row r="1778">
          <cell r="A1778" t="str">
            <v>144 OR - HERMANAS DE SAN JOSÉ DE LA APARICIÓN (RETIRA EN EL BANCO)</v>
          </cell>
          <cell r="D1778">
            <v>5</v>
          </cell>
        </row>
        <row r="1779">
          <cell r="A1779" t="str">
            <v>270 FU - FUNDACIÓN MISERICORDIA DE DON BOSCO (OESTE)</v>
          </cell>
          <cell r="E1779">
            <v>2.5</v>
          </cell>
        </row>
        <row r="1780">
          <cell r="A1780" t="str">
            <v>698 - FU MINISTERIO BERAKHAH INTERNACIONAL PASO BLANCO</v>
          </cell>
          <cell r="D1780">
            <v>2.5</v>
          </cell>
        </row>
        <row r="1781">
          <cell r="A1781" t="str">
            <v>381-FU FUNDAMIDOM</v>
          </cell>
          <cell r="E1781">
            <v>7.6</v>
          </cell>
        </row>
        <row r="1782">
          <cell r="A1782" t="str">
            <v>327-PA - Parroquia la Santa Cruz</v>
          </cell>
          <cell r="I1782">
            <v>2.5</v>
          </cell>
        </row>
        <row r="1783">
          <cell r="A1783" t="str">
            <v>377-FU CENTRO CRISTIANO CASA DE DIOS PANAMA</v>
          </cell>
          <cell r="G1783">
            <v>1.3</v>
          </cell>
        </row>
        <row r="1784">
          <cell r="A1784" t="str">
            <v>595-FU CENTRO DE LA MUJER Y LA NIÑEZ</v>
          </cell>
          <cell r="C1784">
            <v>2.5</v>
          </cell>
        </row>
        <row r="1785">
          <cell r="A1785" t="str">
            <v>193 OR - FUNDACIÓN UNCIÓN FRESCA</v>
          </cell>
          <cell r="E1785">
            <v>2.6</v>
          </cell>
        </row>
        <row r="1786">
          <cell r="A1786" t="str">
            <v>719 FU FUNDACION VIDA NUEVA EL SHADDAI</v>
          </cell>
          <cell r="G1786">
            <v>5</v>
          </cell>
        </row>
        <row r="1787">
          <cell r="A1787" t="str">
            <v>684 - FU FUNDACION CASA DEL REY JESUS (CENTRO 2)</v>
          </cell>
          <cell r="C1787">
            <v>6.3</v>
          </cell>
        </row>
        <row r="1788">
          <cell r="A1788" t="str">
            <v>723 ASOCIACION AQUI ESTOY</v>
          </cell>
          <cell r="E1788">
            <v>2.5</v>
          </cell>
        </row>
        <row r="1789">
          <cell r="A1789" t="str">
            <v>596 IG- IGLESIA EVANGELICA TRINITARIA DIOS FUENTE DE PODER</v>
          </cell>
          <cell r="C1789">
            <v>3</v>
          </cell>
        </row>
        <row r="1790">
          <cell r="A1790" t="str">
            <v>707 - FU MINISTERIO BERAKHAH INTERNACIONAL CAIMITILLO</v>
          </cell>
          <cell r="I1790">
            <v>3.8</v>
          </cell>
        </row>
        <row r="1791">
          <cell r="A1791" t="str">
            <v>229 PA - PARROQUIA SAN CRISTOBAL DE CHEPO</v>
          </cell>
          <cell r="D1791">
            <v>7.6</v>
          </cell>
        </row>
        <row r="1792">
          <cell r="A1792" t="str">
            <v>738- IG MINISTERIO DIOS CON NOSOTROS EMANUEL</v>
          </cell>
          <cell r="D1792">
            <v>5</v>
          </cell>
        </row>
        <row r="1793">
          <cell r="A1793" t="str">
            <v>741-IG BUNKER DE ESPERANZA</v>
          </cell>
          <cell r="D1793">
            <v>5</v>
          </cell>
        </row>
        <row r="1794">
          <cell r="A1794" t="str">
            <v>749-IG Ministerio Tabernáculo de Santidad Internación (Guararé)</v>
          </cell>
          <cell r="M1794">
            <v>15</v>
          </cell>
        </row>
        <row r="1795">
          <cell r="A1795" t="str">
            <v>613-FU FUNDACION INMARE</v>
          </cell>
          <cell r="K1795">
            <v>74</v>
          </cell>
        </row>
        <row r="1796">
          <cell r="A1796" t="str">
            <v>275 IG CONCILIO GENERAL DE LAS ASAMBLEAS DE DIOS DE PANAMÁ</v>
          </cell>
          <cell r="C1796">
            <v>11.3</v>
          </cell>
        </row>
        <row r="1797">
          <cell r="A1797" t="str">
            <v>765-IG EXPANSION MISIONERA RIOS DE AGUA VIVA</v>
          </cell>
          <cell r="L1797">
            <v>17</v>
          </cell>
        </row>
        <row r="1798">
          <cell r="A1798" t="str">
            <v>766-IG MINISTERIO BET-EL</v>
          </cell>
          <cell r="O1798">
            <v>3</v>
          </cell>
        </row>
        <row r="1799">
          <cell r="A1799" t="str">
            <v>785-FU FUNDACION GOTAS DE ESPERANZA</v>
          </cell>
          <cell r="E1799">
            <v>12.5</v>
          </cell>
        </row>
        <row r="1800">
          <cell r="A1800" t="str">
            <v>394-IG IGLESIA ESCUADRONES DEL EJERCITO DE DIOS (CENTRO2)</v>
          </cell>
          <cell r="C1800">
            <v>7.6</v>
          </cell>
        </row>
        <row r="1801">
          <cell r="A1801" t="str">
            <v>789-FU Fundación Rescate de Alimentos</v>
          </cell>
          <cell r="C1801">
            <v>5</v>
          </cell>
        </row>
        <row r="1802">
          <cell r="A1802" t="str">
            <v>804-IG Templo Misionero Eclesiastés</v>
          </cell>
          <cell r="I1802">
            <v>2.5</v>
          </cell>
        </row>
        <row r="1803">
          <cell r="A1803" t="str">
            <v>463-FU MINISTERIO BERAKHAH INTERNACIONAL COMEDOR OASIS DE ESPERANZA (ESTE)</v>
          </cell>
          <cell r="D1803">
            <v>2.5</v>
          </cell>
        </row>
        <row r="1804">
          <cell r="A1804" t="str">
            <v>756-FU Fundación Nuevas Rutas</v>
          </cell>
          <cell r="J1804">
            <v>44</v>
          </cell>
        </row>
        <row r="1805">
          <cell r="A1805" t="str">
            <v>827-FU Fundación Transformemos mi comunidad</v>
          </cell>
          <cell r="E1805">
            <v>1.3</v>
          </cell>
        </row>
        <row r="1806">
          <cell r="A1806" t="str">
            <v>Colgate Palmolive (CENTRAL AMERICA) INC</v>
          </cell>
          <cell r="C1806">
            <v>161</v>
          </cell>
          <cell r="D1806">
            <v>173</v>
          </cell>
          <cell r="E1806">
            <v>84</v>
          </cell>
          <cell r="F1806">
            <v>14</v>
          </cell>
          <cell r="G1806">
            <v>14</v>
          </cell>
          <cell r="H1806">
            <v>29</v>
          </cell>
          <cell r="I1806">
            <v>38</v>
          </cell>
          <cell r="J1806">
            <v>34</v>
          </cell>
          <cell r="K1806">
            <v>40</v>
          </cell>
          <cell r="L1806">
            <v>14</v>
          </cell>
          <cell r="M1806">
            <v>6</v>
          </cell>
          <cell r="O1806">
            <v>24</v>
          </cell>
        </row>
        <row r="1807">
          <cell r="A1807" t="str">
            <v>702 - FU MINISTERIO BERAKHAH INTERNACIONAL ARRAIJAN</v>
          </cell>
          <cell r="E1807">
            <v>2</v>
          </cell>
        </row>
        <row r="1808">
          <cell r="A1808" t="str">
            <v>298-FU - MINISTERIO FUENTE DE VIDA PARA EL PERDIDO</v>
          </cell>
          <cell r="F1808">
            <v>8</v>
          </cell>
        </row>
        <row r="1809">
          <cell r="A1809" t="str">
            <v>104 AS - ASOCIACIÓN HOGAR FELICIDAD</v>
          </cell>
          <cell r="E1809">
            <v>28</v>
          </cell>
        </row>
        <row r="1810">
          <cell r="A1810" t="str">
            <v>175 AS - ASOCIACIÓN RESTAURANDO VIDAS</v>
          </cell>
          <cell r="D1810">
            <v>6</v>
          </cell>
        </row>
        <row r="1811">
          <cell r="A1811" t="str">
            <v>178 IG - TEMPLO ZURIEL EL REFUGIO</v>
          </cell>
          <cell r="G1811">
            <v>2</v>
          </cell>
        </row>
        <row r="1812">
          <cell r="A1812" t="str">
            <v>207 IG - IGLESIA CENTRO DE VIDA CRISTIANA</v>
          </cell>
          <cell r="D1812">
            <v>10</v>
          </cell>
        </row>
        <row r="1813">
          <cell r="A1813" t="str">
            <v>493-FU Comedor Jesús es mi Pastor</v>
          </cell>
          <cell r="D1813">
            <v>3</v>
          </cell>
        </row>
        <row r="1814">
          <cell r="A1814" t="str">
            <v>636- FU JAH - LIVE (JAHL) - COLON</v>
          </cell>
          <cell r="H1814">
            <v>29</v>
          </cell>
        </row>
        <row r="1815">
          <cell r="A1815" t="str">
            <v>365-IG COMEDOR HEFZIBA</v>
          </cell>
          <cell r="I1815">
            <v>1</v>
          </cell>
        </row>
        <row r="1816">
          <cell r="A1816" t="str">
            <v>187 IG - IGLESIA DE DIOS DE LA PROFECÍA</v>
          </cell>
          <cell r="D1816">
            <v>1</v>
          </cell>
        </row>
        <row r="1817">
          <cell r="A1817" t="str">
            <v>111 FU - FUNDACIÓN NUESTRA SEÑORA DEL CAMINO</v>
          </cell>
          <cell r="J1817">
            <v>4</v>
          </cell>
        </row>
        <row r="1818">
          <cell r="A1818" t="str">
            <v>443-FU MINISTERIO BERAKHAH INTERNACIONAL COMEDOR LAS GARZAS #2</v>
          </cell>
          <cell r="D1818">
            <v>9</v>
          </cell>
        </row>
        <row r="1819">
          <cell r="A1819" t="str">
            <v>694 - FU MINISTERIO BERAKHAH INTERNACIONAL TOCUMEN #2</v>
          </cell>
          <cell r="D1819">
            <v>25</v>
          </cell>
        </row>
        <row r="1820">
          <cell r="A1820" t="str">
            <v>695 - FU MINISTERIO BERAKHAH INTERNACIONAL 24 DIC</v>
          </cell>
          <cell r="D1820">
            <v>18</v>
          </cell>
        </row>
        <row r="1821">
          <cell r="A1821" t="str">
            <v>703 - FU MINISTERIO BERAKHAH INTERNACIONAL FELIPILLO #3</v>
          </cell>
          <cell r="D1821">
            <v>3</v>
          </cell>
        </row>
        <row r="1822">
          <cell r="A1822" t="str">
            <v>444-FU MINISTERIO BERAKHAH INTERNACIONAL COMEDOR LAS GARZAS #1</v>
          </cell>
          <cell r="D1822">
            <v>4</v>
          </cell>
        </row>
        <row r="1823">
          <cell r="A1823" t="str">
            <v>366-FU CENTRO MISIONERO EL SHADAI (ESTE)</v>
          </cell>
          <cell r="D1823">
            <v>8</v>
          </cell>
        </row>
        <row r="1824">
          <cell r="A1824" t="str">
            <v>288 IG MINISTERIO EVANGELISTICO DE SANACION Y RESTAURACION, SENALES, MILAGROS Y MARAVILLAS (ESTE)</v>
          </cell>
          <cell r="D1824">
            <v>6</v>
          </cell>
        </row>
        <row r="1825">
          <cell r="A1825" t="str">
            <v>373-FU MINISTERIO INTERNACIONAL BOANERGES</v>
          </cell>
          <cell r="I1825">
            <v>3</v>
          </cell>
        </row>
        <row r="1826">
          <cell r="A1826" t="str">
            <v>691 - AR CARITAS ARQUIDIOCESANA</v>
          </cell>
          <cell r="C1826">
            <v>3</v>
          </cell>
        </row>
        <row r="1827">
          <cell r="A1827" t="str">
            <v>643 - IG TEMPLO PUERTA DEL CIELO (CHIRIQUI)</v>
          </cell>
          <cell r="J1827">
            <v>6</v>
          </cell>
        </row>
        <row r="1828">
          <cell r="A1828" t="str">
            <v>368-FU MINISTERIO PACTO DE SANTIDAD</v>
          </cell>
          <cell r="C1828">
            <v>19</v>
          </cell>
        </row>
        <row r="1829">
          <cell r="A1829" t="str">
            <v>363-FU FUNDACION MINISTERIO DEL EVANGELIO ETERNO DEL REINO (NORTE)</v>
          </cell>
          <cell r="G1829">
            <v>3</v>
          </cell>
        </row>
        <row r="1830">
          <cell r="A1830" t="str">
            <v>487-FU FUNDACION CASA AVE MARIA</v>
          </cell>
          <cell r="E1830">
            <v>14</v>
          </cell>
        </row>
        <row r="1831">
          <cell r="A1831" t="str">
            <v>2 PA - PARROQUIA SAN JUAN MARIA VIANNEY (NORTE)</v>
          </cell>
          <cell r="I1831">
            <v>12</v>
          </cell>
        </row>
        <row r="1832">
          <cell r="A1832" t="str">
            <v>696 - FU MINISTERIO BERAKHAH INTERNACIONAL CHEPO #1</v>
          </cell>
          <cell r="D1832">
            <v>3</v>
          </cell>
        </row>
        <row r="1833">
          <cell r="A1833" t="str">
            <v>222 ED - MISERICORDIAR</v>
          </cell>
          <cell r="D1833">
            <v>1</v>
          </cell>
        </row>
        <row r="1834">
          <cell r="A1834" t="str">
            <v>259 IG - ALCANCE VICTORIA PANAMÁ</v>
          </cell>
          <cell r="C1834">
            <v>13</v>
          </cell>
        </row>
        <row r="1835">
          <cell r="A1835" t="str">
            <v>668 - FU FUNDACION CRISTIANA LA FE EN MARCHA</v>
          </cell>
          <cell r="J1835">
            <v>20</v>
          </cell>
        </row>
        <row r="1836">
          <cell r="A1836" t="str">
            <v>644 - IG TEMPLO SENDA DE VIDA (CHIRIQUÍ)</v>
          </cell>
          <cell r="J1836">
            <v>2</v>
          </cell>
        </row>
        <row r="1837">
          <cell r="A1837" t="str">
            <v>387-AS Asociacion ODSSAR-OBC</v>
          </cell>
          <cell r="D1837">
            <v>12</v>
          </cell>
        </row>
        <row r="1838">
          <cell r="A1838" t="str">
            <v>300 ED - BENEFICIARIOS</v>
          </cell>
          <cell r="D1838">
            <v>2</v>
          </cell>
        </row>
        <row r="1839">
          <cell r="A1839" t="str">
            <v>657 - FU CENTRO COMUNITARIO MONTAÑAS DE ESPERANZA (RETIRO EN EL BAP)</v>
          </cell>
          <cell r="D1839">
            <v>8</v>
          </cell>
        </row>
        <row r="1840">
          <cell r="A1840" t="str">
            <v>630-IG MIN.INTL.DE CRISTO PAZ DE DIOS</v>
          </cell>
          <cell r="C1840">
            <v>12</v>
          </cell>
        </row>
        <row r="1841">
          <cell r="A1841" t="str">
            <v>397-FU FUNDACION SHALOM PANAMA</v>
          </cell>
          <cell r="E1841">
            <v>10</v>
          </cell>
        </row>
        <row r="1842">
          <cell r="A1842" t="str">
            <v>697 - FU MINISTERIO BERAKHAH INTERNACIONAL CHEPO #2</v>
          </cell>
          <cell r="D1842">
            <v>3</v>
          </cell>
        </row>
        <row r="1843">
          <cell r="A1843" t="str">
            <v>653 - FU FUNDACION LUIS CARLOS DIAZ (OESTE)</v>
          </cell>
          <cell r="E1843">
            <v>4</v>
          </cell>
        </row>
        <row r="1844">
          <cell r="A1844" t="str">
            <v>423-FU FUNDACION CONSTRUYENDO VIDAS EN PANAMA</v>
          </cell>
          <cell r="E1844">
            <v>1</v>
          </cell>
        </row>
        <row r="1845">
          <cell r="A1845" t="str">
            <v>380-ED COMEDOR COMUNITARIO CASA DEL ALFARERO</v>
          </cell>
          <cell r="D1845">
            <v>7</v>
          </cell>
        </row>
        <row r="1846">
          <cell r="A1846" t="str">
            <v>116 AS - ASOCIACIÓN IGLESIA DE CRISTO ESTRELLA CRECIENTE</v>
          </cell>
          <cell r="D1846">
            <v>2</v>
          </cell>
        </row>
        <row r="1847">
          <cell r="A1847" t="str">
            <v>451-IG IGLESIA MANANTIAL DE VIDA (ESTE)</v>
          </cell>
          <cell r="D1847">
            <v>4</v>
          </cell>
        </row>
        <row r="1848">
          <cell r="A1848" t="str">
            <v>597- IG MINISTERIO APOSTOLICO NEMUEL INTERNACIONAL</v>
          </cell>
          <cell r="D1848">
            <v>10</v>
          </cell>
        </row>
        <row r="1849">
          <cell r="A1849" t="str">
            <v>339-AS ASOCIACION RESIDENCIA LISBETH</v>
          </cell>
          <cell r="D1849">
            <v>3</v>
          </cell>
        </row>
        <row r="1850">
          <cell r="A1850" t="str">
            <v>381-FU FUNDAMIDOM</v>
          </cell>
          <cell r="E1850">
            <v>2</v>
          </cell>
        </row>
        <row r="1851">
          <cell r="A1851" t="str">
            <v>327-PA - Parroquia la Santa Cruz</v>
          </cell>
          <cell r="I1851">
            <v>4</v>
          </cell>
        </row>
        <row r="1852">
          <cell r="A1852" t="str">
            <v>681 - FU FUNDACION NUEVA SOCIEDAD (NORTE)</v>
          </cell>
          <cell r="I1852">
            <v>13</v>
          </cell>
        </row>
        <row r="1853">
          <cell r="A1853" t="str">
            <v>377-FU CENTRO CRISTIANO CASA DE DIOS PANAMA</v>
          </cell>
          <cell r="G1853">
            <v>6</v>
          </cell>
        </row>
        <row r="1854">
          <cell r="A1854" t="str">
            <v>118 FU - FUNDACIÓN UN NUEVO AMANECER</v>
          </cell>
          <cell r="E1854">
            <v>8</v>
          </cell>
        </row>
        <row r="1855">
          <cell r="A1855" t="str">
            <v>360-IG IGLESIA CRISTIANA CASA DE REUNION</v>
          </cell>
          <cell r="G1855">
            <v>3</v>
          </cell>
        </row>
        <row r="1856">
          <cell r="A1856" t="str">
            <v>684 - FU FUNDACION CASA DEL REY JESUS (CENTRO 2)</v>
          </cell>
          <cell r="C1856">
            <v>71</v>
          </cell>
        </row>
        <row r="1857">
          <cell r="A1857" t="str">
            <v>723 ASOCIACION AQUI ESTOY</v>
          </cell>
          <cell r="E1857">
            <v>3</v>
          </cell>
        </row>
        <row r="1858">
          <cell r="A1858" t="str">
            <v>707 - FU MINISTERIO BERAKHAH INTERNACIONAL CAIMITILLO</v>
          </cell>
          <cell r="I1858">
            <v>2</v>
          </cell>
        </row>
        <row r="1859">
          <cell r="A1859" t="str">
            <v>229 PA - PARROQUIA SAN CRISTOBAL DE CHEPO</v>
          </cell>
          <cell r="D1859">
            <v>13</v>
          </cell>
        </row>
        <row r="1860">
          <cell r="A1860" t="str">
            <v>390-FU FUNDACION CRISTIANA FAMILIAR EL TALLER DEL MAESTRO (CENTRO1)</v>
          </cell>
          <cell r="C1860">
            <v>3</v>
          </cell>
        </row>
        <row r="1861">
          <cell r="A1861" t="str">
            <v>736-IG JESUS HACE MILAGROS</v>
          </cell>
          <cell r="J1861">
            <v>2</v>
          </cell>
        </row>
        <row r="1862">
          <cell r="A1862" t="str">
            <v>737- ASOCIACION CRISTIANA EBEN-EZER (ESTE)</v>
          </cell>
          <cell r="D1862">
            <v>4</v>
          </cell>
        </row>
        <row r="1863">
          <cell r="A1863" t="str">
            <v>738- IG MINISTERIO DIOS CON NOSOTROS EMANUEL</v>
          </cell>
          <cell r="D1863">
            <v>2</v>
          </cell>
        </row>
        <row r="1864">
          <cell r="A1864" t="str">
            <v>733-IG LA ORACION FUERTE AL ESPIRITU SANTO</v>
          </cell>
          <cell r="C1864">
            <v>10</v>
          </cell>
        </row>
        <row r="1865">
          <cell r="A1865" t="str">
            <v>745-FU CASA DE MISERICORDIA</v>
          </cell>
          <cell r="C1865">
            <v>12</v>
          </cell>
        </row>
        <row r="1866">
          <cell r="A1866" t="str">
            <v>749-IG Ministerio Tabernáculo de Santidad Internación (Guararé)</v>
          </cell>
          <cell r="M1866">
            <v>6</v>
          </cell>
        </row>
        <row r="1867">
          <cell r="A1867" t="str">
            <v>613-FU FUNDACION INMARE</v>
          </cell>
          <cell r="K1867">
            <v>40</v>
          </cell>
        </row>
        <row r="1868">
          <cell r="A1868" t="str">
            <v>765-IG EXPANSION MISIONERA RIOS DE AGUA VIVA</v>
          </cell>
          <cell r="L1868">
            <v>10</v>
          </cell>
        </row>
        <row r="1869">
          <cell r="A1869" t="str">
            <v>766-IG MINISTERIO BET-EL</v>
          </cell>
          <cell r="O1869">
            <v>22</v>
          </cell>
        </row>
        <row r="1870">
          <cell r="A1870" t="str">
            <v>785-FU FUNDACION GOTAS DE ESPERANZA</v>
          </cell>
          <cell r="E1870">
            <v>12</v>
          </cell>
        </row>
        <row r="1871">
          <cell r="A1871" t="str">
            <v>394-IG IGLESIA ESCUADRONES DEL EJERCITO DE DIOS (CENTRO2)</v>
          </cell>
          <cell r="C1871">
            <v>7</v>
          </cell>
        </row>
        <row r="1872">
          <cell r="A1872" t="str">
            <v>424-AS MINISTERIO EL PODER DE LA SANGRE QUE LIBERTA (ESTE)</v>
          </cell>
          <cell r="D1872">
            <v>6</v>
          </cell>
        </row>
        <row r="1873">
          <cell r="A1873" t="str">
            <v>804-IG Templo Misionero Eclesiastés</v>
          </cell>
          <cell r="I1873">
            <v>3</v>
          </cell>
        </row>
        <row r="1874">
          <cell r="A1874" t="str">
            <v>240 PA - PARROQUIA SAN JOSÉ - PESE</v>
          </cell>
          <cell r="L1874">
            <v>4</v>
          </cell>
        </row>
        <row r="1875">
          <cell r="A1875" t="str">
            <v>802-IG IGLESIA INTERNACIONAL DEL EVANGELIO CUADRANGULAR DE PANAMÁ</v>
          </cell>
          <cell r="C1875">
            <v>3</v>
          </cell>
        </row>
        <row r="1876">
          <cell r="A1876" t="str">
            <v>227 FU - AID FOR AIDS PANAMÁ</v>
          </cell>
          <cell r="C1876">
            <v>5</v>
          </cell>
        </row>
        <row r="1877">
          <cell r="A1877" t="str">
            <v>814-IG Templo Morada Santa</v>
          </cell>
          <cell r="F1877">
            <v>6</v>
          </cell>
        </row>
        <row r="1878">
          <cell r="A1878" t="str">
            <v>496-AS CUERPO DE VOLUNTARIAS DEL HOSPITAL DEL NIÑO</v>
          </cell>
          <cell r="C1878">
            <v>3</v>
          </cell>
        </row>
        <row r="1879">
          <cell r="A1879" t="str">
            <v>708 - FU MINISTERIO BERAKHAH INTERNACIONAL GUARARE</v>
          </cell>
          <cell r="O1879">
            <v>2</v>
          </cell>
        </row>
        <row r="1880">
          <cell r="A1880" t="str">
            <v>PRODUCTOS LUX, S.A ( Proluxa)</v>
          </cell>
          <cell r="B1880">
            <v>32.39</v>
          </cell>
          <cell r="C1880">
            <v>155.06</v>
          </cell>
          <cell r="D1880">
            <v>178.76000000000002</v>
          </cell>
          <cell r="E1880">
            <v>100.35</v>
          </cell>
          <cell r="F1880">
            <v>26.56</v>
          </cell>
          <cell r="G1880">
            <v>6.7799999999999994</v>
          </cell>
          <cell r="H1880">
            <v>112.67</v>
          </cell>
          <cell r="I1880">
            <v>21.34</v>
          </cell>
          <cell r="J1880">
            <v>14</v>
          </cell>
          <cell r="K1880">
            <v>8</v>
          </cell>
          <cell r="M1880">
            <v>2</v>
          </cell>
          <cell r="O1880">
            <v>10</v>
          </cell>
        </row>
        <row r="1881">
          <cell r="A1881" t="str">
            <v>662-IG MINISTERIO EVANGELICO EL APOSENTO ALTO (CENTRO 1)</v>
          </cell>
          <cell r="C1881">
            <v>3</v>
          </cell>
        </row>
        <row r="1882">
          <cell r="A1882" t="str">
            <v>298-FU - MINISTERIO FUENTE DE VIDA PARA EL PERDIDO</v>
          </cell>
          <cell r="F1882">
            <v>11.559999999999999</v>
          </cell>
        </row>
        <row r="1883">
          <cell r="A1883" t="str">
            <v>479-IG IGLESIA NUEVA ESPERANZA</v>
          </cell>
          <cell r="D1883">
            <v>2</v>
          </cell>
        </row>
        <row r="1884">
          <cell r="A1884" t="str">
            <v>104 AS - ASOCIACIÓN HOGAR FELICIDAD</v>
          </cell>
          <cell r="E1884">
            <v>12</v>
          </cell>
        </row>
        <row r="1885">
          <cell r="A1885" t="str">
            <v>207 IG - IGLESIA CENTRO DE VIDA CRISTIANA</v>
          </cell>
          <cell r="D1885">
            <v>9.5</v>
          </cell>
        </row>
        <row r="1886">
          <cell r="A1886" t="str">
            <v>493-FU Comedor Jesús es mi Pastor</v>
          </cell>
          <cell r="D1886">
            <v>2</v>
          </cell>
        </row>
        <row r="1887">
          <cell r="A1887" t="str">
            <v>636- FU JAH - LIVE (JAHL) - COLON</v>
          </cell>
          <cell r="H1887">
            <v>112.67</v>
          </cell>
        </row>
        <row r="1888">
          <cell r="A1888" t="str">
            <v>470-FU IGLESIA MONTE SANTO</v>
          </cell>
          <cell r="D1888">
            <v>4</v>
          </cell>
        </row>
        <row r="1889">
          <cell r="A1889" t="str">
            <v>687 - FU FUNDACION ARCA DE JESUS</v>
          </cell>
          <cell r="E1889">
            <v>25.9</v>
          </cell>
        </row>
        <row r="1890">
          <cell r="A1890" t="str">
            <v>218 ED - LOS PREFERIDOS DEL SEÑOR (CENTRO2)</v>
          </cell>
          <cell r="C1890">
            <v>31.5</v>
          </cell>
        </row>
        <row r="1891">
          <cell r="A1891" t="str">
            <v>187 IG - IGLESIA DE DIOS DE LA PROFECÍA</v>
          </cell>
          <cell r="D1891">
            <v>10.67</v>
          </cell>
        </row>
        <row r="1892">
          <cell r="A1892" t="str">
            <v>694 - FU MINISTERIO BERAKHAH INTERNACIONAL TOCUMEN #2</v>
          </cell>
          <cell r="D1892">
            <v>9.5</v>
          </cell>
        </row>
        <row r="1893">
          <cell r="A1893" t="str">
            <v>695 - FU MINISTERIO BERAKHAH INTERNACIONAL 24 DIC</v>
          </cell>
          <cell r="D1893">
            <v>2</v>
          </cell>
        </row>
        <row r="1894">
          <cell r="A1894" t="str">
            <v>498-FU COMEDOR NIÑOS DE BENDICION</v>
          </cell>
          <cell r="E1894">
            <v>10.67</v>
          </cell>
        </row>
        <row r="1895">
          <cell r="A1895" t="str">
            <v>373-FU MINISTERIO INTERNACIONAL BOANERGES</v>
          </cell>
          <cell r="I1895">
            <v>3</v>
          </cell>
        </row>
        <row r="1896">
          <cell r="A1896" t="str">
            <v>261 - AS ASOCIACIÓN MINISTERIO SIRVIENDO A LA COMUNIDAD PARA JESUCRISTO</v>
          </cell>
          <cell r="C1896">
            <v>2</v>
          </cell>
        </row>
        <row r="1897">
          <cell r="A1897" t="str">
            <v>211 IG - IGLESIA CRISTIANA KADOSH</v>
          </cell>
          <cell r="C1897">
            <v>3</v>
          </cell>
        </row>
        <row r="1898">
          <cell r="A1898" t="str">
            <v>368-FU MINISTERIO PACTO DE SANTIDAD</v>
          </cell>
          <cell r="C1898">
            <v>7</v>
          </cell>
        </row>
        <row r="1899">
          <cell r="A1899" t="str">
            <v>654 - IG M.I.A.F NUEVA JERUSALEN PANAMA (ESTE)</v>
          </cell>
          <cell r="D1899">
            <v>20.119999999999997</v>
          </cell>
        </row>
        <row r="1900">
          <cell r="A1900" t="str">
            <v>363-FU FUNDACION MINISTERIO DEL EVANGELIO ETERNO DEL REINO (NORTE)</v>
          </cell>
          <cell r="G1900">
            <v>2</v>
          </cell>
        </row>
        <row r="1901">
          <cell r="A1901" t="str">
            <v>487-FU FUNDACION CASA AVE MARIA</v>
          </cell>
          <cell r="E1901">
            <v>31</v>
          </cell>
        </row>
        <row r="1902">
          <cell r="A1902" t="str">
            <v>2 PA - PARROQUIA SAN JUAN MARIA VIANNEY (NORTE)</v>
          </cell>
          <cell r="I1902">
            <v>11.34</v>
          </cell>
        </row>
        <row r="1903">
          <cell r="A1903" t="str">
            <v>472-FU FUNDACION TALITA CUMI</v>
          </cell>
          <cell r="D1903">
            <v>2</v>
          </cell>
        </row>
        <row r="1904">
          <cell r="A1904" t="str">
            <v>222 ED - MISERICORDIAR</v>
          </cell>
          <cell r="D1904">
            <v>34.67</v>
          </cell>
        </row>
        <row r="1905">
          <cell r="A1905" t="str">
            <v>259 IG - ALCANCE VICTORIA PANAMÁ</v>
          </cell>
          <cell r="C1905">
            <v>8</v>
          </cell>
        </row>
        <row r="1906">
          <cell r="A1906" t="str">
            <v>644 - IG TEMPLO SENDA DE VIDA (CHIRIQUÍ)</v>
          </cell>
          <cell r="J1906">
            <v>10</v>
          </cell>
        </row>
        <row r="1907">
          <cell r="A1907" t="str">
            <v>387-AS Asociacion ODSSAR-OBC</v>
          </cell>
          <cell r="D1907">
            <v>15.12</v>
          </cell>
        </row>
        <row r="1908">
          <cell r="A1908" t="str">
            <v>300 ED - BENEFICIARIOS</v>
          </cell>
          <cell r="D1908">
            <v>2</v>
          </cell>
        </row>
        <row r="1909">
          <cell r="A1909" t="str">
            <v>397-FU FUNDACION SHALOM PANAMA</v>
          </cell>
          <cell r="E1909">
            <v>3</v>
          </cell>
        </row>
        <row r="1910">
          <cell r="A1910" t="str">
            <v>697 - FU MINISTERIO BERAKHAH INTERNACIONAL CHEPO #2</v>
          </cell>
          <cell r="D1910">
            <v>5</v>
          </cell>
        </row>
        <row r="1911">
          <cell r="A1911" t="str">
            <v>709 - FU FUNRECRISTO</v>
          </cell>
          <cell r="D1911">
            <v>1</v>
          </cell>
        </row>
        <row r="1912">
          <cell r="A1912" t="str">
            <v>380-ED COMEDOR COMUNITARIO CASA DEL ALFARERO</v>
          </cell>
          <cell r="D1912">
            <v>8</v>
          </cell>
        </row>
        <row r="1913">
          <cell r="A1913" t="str">
            <v>597- IG MINISTERIO APOSTOLICO NEMUEL INTERNACIONAL</v>
          </cell>
          <cell r="D1913">
            <v>1.5</v>
          </cell>
        </row>
        <row r="1914">
          <cell r="A1914" t="str">
            <v>252 IG - MINISTERIO INTERNACIONAL DE AMISTADES CRISTIANAS</v>
          </cell>
          <cell r="D1914">
            <v>8.2799999999999994</v>
          </cell>
        </row>
        <row r="1915">
          <cell r="A1915" t="str">
            <v>339-AS ASOCIACION RESIDENCIA LISBETH</v>
          </cell>
          <cell r="D1915">
            <v>14.34</v>
          </cell>
        </row>
        <row r="1916">
          <cell r="A1916" t="str">
            <v>270 FU - FUNDACIÓN MISERICORDIA DE DON BOSCO (OESTE)</v>
          </cell>
          <cell r="E1916">
            <v>11.78</v>
          </cell>
        </row>
        <row r="1917">
          <cell r="A1917" t="str">
            <v>381-FU FUNDAMIDOM</v>
          </cell>
          <cell r="E1917">
            <v>2</v>
          </cell>
        </row>
        <row r="1918">
          <cell r="A1918" t="str">
            <v>491-FU Fundación Aleluya</v>
          </cell>
          <cell r="G1918">
            <v>3.78</v>
          </cell>
        </row>
        <row r="1919">
          <cell r="A1919" t="str">
            <v>642 - IG IGLESIA VIDA (CENTRO 1)</v>
          </cell>
          <cell r="C1919">
            <v>1.5</v>
          </cell>
        </row>
        <row r="1920">
          <cell r="A1920" t="str">
            <v>681 - FU FUNDACION NUEVA SOCIEDAD (NORTE)</v>
          </cell>
          <cell r="I1920">
            <v>2</v>
          </cell>
        </row>
        <row r="1921">
          <cell r="A1921" t="str">
            <v>Retiro de Merma</v>
          </cell>
          <cell r="B1921">
            <v>32.39</v>
          </cell>
        </row>
        <row r="1922">
          <cell r="A1922" t="str">
            <v>364-IG COMEDOR SHEKINA</v>
          </cell>
          <cell r="K1922">
            <v>4</v>
          </cell>
        </row>
        <row r="1923">
          <cell r="A1923" t="str">
            <v>595-FU CENTRO DE LA MUJER Y LA NIÑEZ</v>
          </cell>
          <cell r="C1923">
            <v>6</v>
          </cell>
        </row>
        <row r="1924">
          <cell r="A1924" t="str">
            <v>118 FU - FUNDACIÓN UN NUEVO AMANECER</v>
          </cell>
          <cell r="E1924">
            <v>2</v>
          </cell>
        </row>
        <row r="1925">
          <cell r="A1925" t="str">
            <v>360-IG IGLESIA CRISTIANA CASA DE REUNION</v>
          </cell>
          <cell r="G1925">
            <v>1</v>
          </cell>
        </row>
        <row r="1926">
          <cell r="A1926" t="str">
            <v>684 - FU FUNDACION CASA DEL REY JESUS (CENTRO 2)</v>
          </cell>
          <cell r="C1926">
            <v>4</v>
          </cell>
        </row>
        <row r="1927">
          <cell r="A1927" t="str">
            <v>596 IG- IGLESIA EVANGELICA TRINITARIA DIOS FUENTE DE PODER</v>
          </cell>
          <cell r="C1927">
            <v>2</v>
          </cell>
        </row>
        <row r="1928">
          <cell r="A1928" t="str">
            <v>707 - FU MINISTERIO BERAKHAH INTERNACIONAL CAIMITILLO</v>
          </cell>
          <cell r="I1928">
            <v>1</v>
          </cell>
        </row>
        <row r="1929">
          <cell r="A1929" t="str">
            <v>229 PA - PARROQUIA SAN CRISTOBAL DE CHEPO</v>
          </cell>
          <cell r="D1929">
            <v>10.559999999999999</v>
          </cell>
        </row>
        <row r="1930">
          <cell r="A1930" t="str">
            <v>390-FU FUNDACION CRISTIANA FAMILIAR EL TALLER DEL MAESTRO (CENTRO1)</v>
          </cell>
          <cell r="C1930">
            <v>1.5</v>
          </cell>
        </row>
        <row r="1931">
          <cell r="A1931" t="str">
            <v>738- IG MINISTERIO DIOS CON NOSOTROS EMANUEL</v>
          </cell>
          <cell r="D1931">
            <v>6.5</v>
          </cell>
        </row>
        <row r="1932">
          <cell r="A1932" t="str">
            <v>745-FU CASA DE MISERICORDIA</v>
          </cell>
          <cell r="C1932">
            <v>10.28</v>
          </cell>
        </row>
        <row r="1933">
          <cell r="A1933" t="str">
            <v>741-IG BUNKER DE ESPERANZA</v>
          </cell>
          <cell r="D1933">
            <v>2</v>
          </cell>
        </row>
        <row r="1934">
          <cell r="A1934" t="str">
            <v>749-IG Ministerio Tabernáculo de Santidad Internación (Guararé)</v>
          </cell>
          <cell r="M1934">
            <v>2</v>
          </cell>
        </row>
        <row r="1935">
          <cell r="A1935" t="str">
            <v>613-FU FUNDACION INMARE</v>
          </cell>
          <cell r="K1935">
            <v>2</v>
          </cell>
        </row>
        <row r="1936">
          <cell r="A1936" t="str">
            <v>758-FU RESTAURANDO EL PRIMER AMOR</v>
          </cell>
          <cell r="I1936">
            <v>2</v>
          </cell>
        </row>
        <row r="1937">
          <cell r="A1937" t="str">
            <v>766-IG MINISTERIO BET-EL</v>
          </cell>
          <cell r="O1937">
            <v>10</v>
          </cell>
        </row>
        <row r="1938">
          <cell r="A1938" t="str">
            <v>785-FU FUNDACION GOTAS DE ESPERANZA</v>
          </cell>
          <cell r="E1938">
            <v>2</v>
          </cell>
        </row>
        <row r="1939">
          <cell r="A1939" t="str">
            <v>394-IG IGLESIA ESCUADRONES DEL EJERCITO DE DIOS (CENTRO2)</v>
          </cell>
          <cell r="C1939">
            <v>5.2799999999999994</v>
          </cell>
        </row>
        <row r="1940">
          <cell r="A1940" t="str">
            <v>789-FU Fundación Rescate de Alimentos</v>
          </cell>
          <cell r="C1940">
            <v>3</v>
          </cell>
        </row>
        <row r="1941">
          <cell r="A1941" t="str">
            <v>424-AS MINISTERIO EL PODER DE LA SANGRE QUE LIBERTA (ESTE)</v>
          </cell>
          <cell r="D1941">
            <v>2</v>
          </cell>
        </row>
        <row r="1942">
          <cell r="A1942" t="str">
            <v>793-FU Fundación Príncipes de Jehová</v>
          </cell>
          <cell r="I1942">
            <v>2</v>
          </cell>
        </row>
        <row r="1943">
          <cell r="A1943" t="str">
            <v>69 FU - FUNDACIÓN VIDA ABUNDANTE</v>
          </cell>
          <cell r="C1943">
            <v>5</v>
          </cell>
        </row>
        <row r="1944">
          <cell r="A1944" t="str">
            <v>661 - FU FUNDACION MAS INTEGRADOS (DARIEN)</v>
          </cell>
          <cell r="F1944">
            <v>15</v>
          </cell>
        </row>
        <row r="1945">
          <cell r="A1945" t="str">
            <v>650 - IG ASOCIACION CRISTIANA EBEN - EZER #27 (ESTE)</v>
          </cell>
          <cell r="D1945">
            <v>6</v>
          </cell>
        </row>
        <row r="1946">
          <cell r="A1946" t="str">
            <v>375-FU Ministerio a Dios sea la Gloria</v>
          </cell>
          <cell r="C1946">
            <v>9</v>
          </cell>
        </row>
        <row r="1947">
          <cell r="A1947" t="str">
            <v>802-IG IGLESIA INTERNACIONAL DEL EVANGELIO CUADRANGULAR DE PANAMÁ</v>
          </cell>
          <cell r="C1947">
            <v>2</v>
          </cell>
        </row>
        <row r="1948">
          <cell r="A1948" t="str">
            <v>786-FU ACADEMIA DE FUTBOL ROMAN TORRES</v>
          </cell>
          <cell r="C1948">
            <v>9</v>
          </cell>
        </row>
        <row r="1949">
          <cell r="A1949" t="str">
            <v>496-AS CUERPO DE VOLUNTARIAS DEL HOSPITAL DEL NIÑO</v>
          </cell>
          <cell r="C1949">
            <v>42</v>
          </cell>
        </row>
        <row r="1950">
          <cell r="A1950" t="str">
            <v>756-FU Fundación Nuevas Rutas</v>
          </cell>
          <cell r="J1950">
            <v>4</v>
          </cell>
        </row>
        <row r="1951">
          <cell r="A1951" t="str">
            <v>813-IG Comedor Centro De Esperanza Elohim</v>
          </cell>
          <cell r="K1951">
            <v>2</v>
          </cell>
        </row>
        <row r="1952">
          <cell r="A1952" t="str">
            <v>PRODUCTOS NEVADA S.A</v>
          </cell>
          <cell r="C1952">
            <v>273.91000000000003</v>
          </cell>
          <cell r="D1952">
            <v>159.25</v>
          </cell>
          <cell r="E1952">
            <v>63.7</v>
          </cell>
          <cell r="F1952">
            <v>12.74</v>
          </cell>
          <cell r="G1952">
            <v>31.85</v>
          </cell>
          <cell r="H1952">
            <v>31.85</v>
          </cell>
          <cell r="I1952">
            <v>50.96</v>
          </cell>
        </row>
        <row r="1953">
          <cell r="A1953" t="str">
            <v>298-FU - MINISTERIO FUENTE DE VIDA PARA EL PERDIDO</v>
          </cell>
          <cell r="F1953">
            <v>12.74</v>
          </cell>
        </row>
        <row r="1954">
          <cell r="A1954" t="str">
            <v>175 AS - ASOCIACIÓN RESTAURANDO VIDAS</v>
          </cell>
          <cell r="D1954">
            <v>6.37</v>
          </cell>
        </row>
        <row r="1955">
          <cell r="A1955" t="str">
            <v>178 IG - TEMPLO ZURIEL EL REFUGIO</v>
          </cell>
          <cell r="G1955">
            <v>12.74</v>
          </cell>
        </row>
        <row r="1956">
          <cell r="A1956" t="str">
            <v>207 IG - IGLESIA CENTRO DE VIDA CRISTIANA</v>
          </cell>
          <cell r="D1956">
            <v>12.74</v>
          </cell>
        </row>
        <row r="1957">
          <cell r="A1957" t="str">
            <v>687 - FU FUNDACION ARCA DE JESUS</v>
          </cell>
          <cell r="E1957">
            <v>31.85</v>
          </cell>
        </row>
        <row r="1958">
          <cell r="A1958" t="str">
            <v>218 ED - LOS PREFERIDOS DEL SEÑOR (CENTRO2)</v>
          </cell>
          <cell r="C1958">
            <v>222.95000000000002</v>
          </cell>
        </row>
        <row r="1959">
          <cell r="A1959" t="str">
            <v>694 - FU MINISTERIO BERAKHAH INTERNACIONAL TOCUMEN #2</v>
          </cell>
          <cell r="D1959">
            <v>6.37</v>
          </cell>
        </row>
        <row r="1960">
          <cell r="A1960" t="str">
            <v>695 - FU MINISTERIO BERAKHAH INTERNACIONAL 24 DIC</v>
          </cell>
          <cell r="D1960">
            <v>19.11</v>
          </cell>
        </row>
        <row r="1961">
          <cell r="A1961" t="str">
            <v>693 - FU MINISTERIO BERAKHAH INTERNACIONAL TOCUMEN #1</v>
          </cell>
          <cell r="D1961">
            <v>25.48</v>
          </cell>
        </row>
        <row r="1962">
          <cell r="A1962" t="str">
            <v>261 - AS ASOCIACIÓN MINISTERIO SIRVIENDO A LA COMUNIDAD PARA JESUCRISTO</v>
          </cell>
          <cell r="C1962">
            <v>6.37</v>
          </cell>
        </row>
        <row r="1963">
          <cell r="A1963" t="str">
            <v>2 PA - PARROQUIA SAN JUAN MARIA VIANNEY (NORTE)</v>
          </cell>
          <cell r="I1963">
            <v>12.74</v>
          </cell>
        </row>
        <row r="1964">
          <cell r="A1964" t="str">
            <v>222 ED - MISERICORDIAR</v>
          </cell>
          <cell r="D1964">
            <v>12.74</v>
          </cell>
        </row>
        <row r="1965">
          <cell r="A1965" t="str">
            <v>259 IG - ALCANCE VICTORIA PANAMÁ</v>
          </cell>
          <cell r="C1965">
            <v>12.74</v>
          </cell>
        </row>
        <row r="1966">
          <cell r="A1966" t="str">
            <v>379-FU Fundacion Ministerio Apostolico Manantial de Vida</v>
          </cell>
          <cell r="H1966">
            <v>31.85</v>
          </cell>
        </row>
        <row r="1967">
          <cell r="A1967" t="str">
            <v>387-AS Asociacion ODSSAR-OBC</v>
          </cell>
          <cell r="D1967">
            <v>12.74</v>
          </cell>
        </row>
        <row r="1968">
          <cell r="A1968" t="str">
            <v>397-FU FUNDACION SHALOM PANAMA</v>
          </cell>
          <cell r="E1968">
            <v>6.37</v>
          </cell>
        </row>
        <row r="1969">
          <cell r="A1969" t="str">
            <v>653 - FU FUNDACION LUIS CARLOS DIAZ (OESTE)</v>
          </cell>
          <cell r="E1969">
            <v>12.74</v>
          </cell>
        </row>
        <row r="1970">
          <cell r="A1970" t="str">
            <v>640 - FU FUNDACIÓN CRISTIANA LA FE EN MARCHA (ESTE)</v>
          </cell>
          <cell r="D1970">
            <v>6.37</v>
          </cell>
        </row>
        <row r="1971">
          <cell r="A1971" t="str">
            <v>597- IG MINISTERIO APOSTOLICO NEMUEL INTERNACIONAL</v>
          </cell>
          <cell r="D1971">
            <v>38.22</v>
          </cell>
        </row>
        <row r="1972">
          <cell r="A1972" t="str">
            <v>339-AS ASOCIACION RESIDENCIA LISBETH</v>
          </cell>
          <cell r="D1972">
            <v>19.11</v>
          </cell>
        </row>
        <row r="1973">
          <cell r="A1973" t="str">
            <v>491-FU Fundación Aleluya</v>
          </cell>
          <cell r="G1973">
            <v>6.37</v>
          </cell>
        </row>
        <row r="1974">
          <cell r="A1974" t="str">
            <v>377-FU CENTRO CRISTIANO CASA DE DIOS PANAMA</v>
          </cell>
          <cell r="G1974">
            <v>12.74</v>
          </cell>
        </row>
        <row r="1975">
          <cell r="A1975" t="str">
            <v>684 - FU FUNDACION CASA DEL REY JESUS (CENTRO 2)</v>
          </cell>
          <cell r="C1975">
            <v>25.48</v>
          </cell>
        </row>
        <row r="1976">
          <cell r="A1976" t="str">
            <v>707 - FU MINISTERIO BERAKHAH INTERNACIONAL CAIMITILLO</v>
          </cell>
          <cell r="I1976">
            <v>6.37</v>
          </cell>
        </row>
        <row r="1977">
          <cell r="A1977" t="str">
            <v>745-FU CASA DE MISERICORDIA</v>
          </cell>
          <cell r="C1977">
            <v>6.37</v>
          </cell>
        </row>
        <row r="1978">
          <cell r="A1978" t="str">
            <v>760-FU AYUDAME A VIVIR</v>
          </cell>
          <cell r="I1978">
            <v>31.85</v>
          </cell>
        </row>
        <row r="1979">
          <cell r="A1979" t="str">
            <v>785-FU FUNDACION GOTAS DE ESPERANZA</v>
          </cell>
          <cell r="E1979">
            <v>12.74</v>
          </cell>
        </row>
        <row r="1980">
          <cell r="A1980" t="str">
            <v>GLOBAL PRODUCTS AND LOGISTIC SERVICES, INC. (Dicarina)</v>
          </cell>
          <cell r="C1980">
            <v>97</v>
          </cell>
          <cell r="D1980">
            <v>117</v>
          </cell>
          <cell r="E1980">
            <v>58</v>
          </cell>
          <cell r="F1980">
            <v>4</v>
          </cell>
          <cell r="H1980">
            <v>28</v>
          </cell>
          <cell r="I1980">
            <v>13</v>
          </cell>
        </row>
        <row r="1981">
          <cell r="A1981" t="str">
            <v>702 - FU MINISTERIO BERAKHAH INTERNACIONAL ARRAIJAN</v>
          </cell>
          <cell r="E1981">
            <v>1</v>
          </cell>
        </row>
        <row r="1982">
          <cell r="A1982" t="str">
            <v>298-FU - MINISTERIO FUENTE DE VIDA PARA EL PERDIDO</v>
          </cell>
          <cell r="F1982">
            <v>4</v>
          </cell>
        </row>
        <row r="1983">
          <cell r="A1983" t="str">
            <v>104 AS - ASOCIACIÓN HOGAR FELICIDAD</v>
          </cell>
          <cell r="E1983">
            <v>20</v>
          </cell>
        </row>
        <row r="1984">
          <cell r="A1984" t="str">
            <v>207 IG - IGLESIA CENTRO DE VIDA CRISTIANA</v>
          </cell>
          <cell r="D1984">
            <v>4</v>
          </cell>
        </row>
        <row r="1985">
          <cell r="A1985" t="str">
            <v>636- FU JAH - LIVE (JAHL) - COLON</v>
          </cell>
          <cell r="H1985">
            <v>24</v>
          </cell>
        </row>
        <row r="1986">
          <cell r="A1986" t="str">
            <v>407-IG ASOCIACION CRISTIANA INTERNACIONAL EBEN-EZER (OESTE)</v>
          </cell>
          <cell r="E1986">
            <v>2</v>
          </cell>
        </row>
        <row r="1987">
          <cell r="A1987" t="str">
            <v>635 TEMPLO ADULAM</v>
          </cell>
          <cell r="E1987">
            <v>6</v>
          </cell>
        </row>
        <row r="1988">
          <cell r="A1988" t="str">
            <v>470-FU IGLESIA MONTE SANTO</v>
          </cell>
          <cell r="D1988">
            <v>2</v>
          </cell>
        </row>
        <row r="1989">
          <cell r="A1989" t="str">
            <v>687 - FU FUNDACION ARCA DE JESUS</v>
          </cell>
          <cell r="E1989">
            <v>6</v>
          </cell>
        </row>
        <row r="1990">
          <cell r="A1990" t="str">
            <v>218 ED - LOS PREFERIDOS DEL SEÑOR (CENTRO2)</v>
          </cell>
          <cell r="C1990">
            <v>2</v>
          </cell>
        </row>
        <row r="1991">
          <cell r="A1991" t="str">
            <v>187 IG - IGLESIA DE DIOS DE LA PROFECÍA</v>
          </cell>
          <cell r="D1991">
            <v>6</v>
          </cell>
        </row>
        <row r="1992">
          <cell r="A1992" t="str">
            <v>366-FU CENTRO MISIONERO EL SHADAI (ESTE)</v>
          </cell>
          <cell r="D1992">
            <v>2</v>
          </cell>
        </row>
        <row r="1993">
          <cell r="A1993" t="str">
            <v>498-FU COMEDOR NIÑOS DE BENDICION</v>
          </cell>
          <cell r="E1993">
            <v>4</v>
          </cell>
        </row>
        <row r="1994">
          <cell r="A1994" t="str">
            <v>288 IG MINISTERIO EVANGELISTICO DE SANACION Y RESTAURACION, SENALES, MILAGROS Y MARAVILLAS (ESTE)</v>
          </cell>
          <cell r="D1994">
            <v>8</v>
          </cell>
        </row>
        <row r="1995">
          <cell r="A1995" t="str">
            <v>373-FU MINISTERIO INTERNACIONAL BOANERGES</v>
          </cell>
          <cell r="I1995">
            <v>2</v>
          </cell>
        </row>
        <row r="1996">
          <cell r="A1996" t="str">
            <v>197 FU FUNDACION SOCIAL CULTURAL Y AMBIENTAL DE VERACRUZ (OESTE)</v>
          </cell>
          <cell r="E1996">
            <v>2</v>
          </cell>
        </row>
        <row r="1997">
          <cell r="A1997" t="str">
            <v>431-IG IGLESIA ADVENTISTA DISTRITO 8</v>
          </cell>
          <cell r="D1997">
            <v>2</v>
          </cell>
        </row>
        <row r="1998">
          <cell r="A1998" t="str">
            <v>261 - AS ASOCIACIÓN MINISTERIO SIRVIENDO A LA COMUNIDAD PARA JESUCRISTO</v>
          </cell>
          <cell r="C1998">
            <v>2</v>
          </cell>
        </row>
        <row r="1999">
          <cell r="A1999" t="str">
            <v>368-FU MINISTERIO PACTO DE SANTIDAD</v>
          </cell>
          <cell r="C1999">
            <v>2</v>
          </cell>
        </row>
        <row r="2000">
          <cell r="A2000" t="str">
            <v>487-FU FUNDACION CASA AVE MARIA</v>
          </cell>
          <cell r="E2000">
            <v>14</v>
          </cell>
        </row>
        <row r="2001">
          <cell r="A2001" t="str">
            <v>222 ED - MISERICORDIAR</v>
          </cell>
          <cell r="D2001">
            <v>32</v>
          </cell>
        </row>
        <row r="2002">
          <cell r="A2002" t="str">
            <v>259 IG - ALCANCE VICTORIA PANAMÁ</v>
          </cell>
          <cell r="C2002">
            <v>25</v>
          </cell>
        </row>
        <row r="2003">
          <cell r="A2003" t="str">
            <v>387-AS Asociacion ODSSAR-OBC</v>
          </cell>
          <cell r="D2003">
            <v>2</v>
          </cell>
        </row>
        <row r="2004">
          <cell r="A2004" t="str">
            <v>300 ED - BENEFICIARIOS</v>
          </cell>
          <cell r="D2004">
            <v>9</v>
          </cell>
        </row>
        <row r="2005">
          <cell r="A2005" t="str">
            <v>657 - FU CENTRO COMUNITARIO MONTAÑAS DE ESPERANZA (RETIRO EN EL BAP)</v>
          </cell>
          <cell r="D2005">
            <v>2</v>
          </cell>
        </row>
        <row r="2006">
          <cell r="A2006" t="str">
            <v>630-IG MIN.INTL.DE CRISTO PAZ DE DIOS</v>
          </cell>
          <cell r="C2006">
            <v>6</v>
          </cell>
        </row>
        <row r="2007">
          <cell r="A2007" t="str">
            <v>397-FU FUNDACION SHALOM PANAMA</v>
          </cell>
          <cell r="E2007">
            <v>1</v>
          </cell>
        </row>
        <row r="2008">
          <cell r="A2008" t="str">
            <v>697 - FU MINISTERIO BERAKHAH INTERNACIONAL CHEPO #2</v>
          </cell>
          <cell r="D2008">
            <v>1</v>
          </cell>
        </row>
        <row r="2009">
          <cell r="A2009" t="str">
            <v>195 ED - JUNTOS PODEMOS</v>
          </cell>
          <cell r="C2009">
            <v>8</v>
          </cell>
        </row>
        <row r="2010">
          <cell r="A2010" t="str">
            <v>235 FU - FUNDACION GRUPO ENVIADOS</v>
          </cell>
          <cell r="D2010">
            <v>6</v>
          </cell>
        </row>
        <row r="2011">
          <cell r="A2011" t="str">
            <v>380-ED COMEDOR COMUNITARIO CASA DEL ALFARERO</v>
          </cell>
          <cell r="D2011">
            <v>4</v>
          </cell>
        </row>
        <row r="2012">
          <cell r="A2012" t="str">
            <v>202 FU - FUNDACIÓN HOGAR SAN JOSÉ (ESTE)</v>
          </cell>
          <cell r="D2012">
            <v>4</v>
          </cell>
        </row>
        <row r="2013">
          <cell r="A2013" t="str">
            <v>597- IG MINISTERIO APOSTOLICO NEMUEL INTERNACIONAL</v>
          </cell>
          <cell r="D2013">
            <v>2</v>
          </cell>
        </row>
        <row r="2014">
          <cell r="A2014" t="str">
            <v>417-AS CLUB DE LEONES DE PEDREGAL (ESTE)</v>
          </cell>
          <cell r="D2014">
            <v>10</v>
          </cell>
        </row>
        <row r="2015">
          <cell r="A2015" t="str">
            <v>339-AS ASOCIACION RESIDENCIA LISBETH</v>
          </cell>
          <cell r="D2015">
            <v>10</v>
          </cell>
        </row>
        <row r="2016">
          <cell r="A2016" t="str">
            <v>144 OR - HERMANAS DE SAN JOSÉ DE LA APARICIÓN (RETIRA EN EL BANCO)</v>
          </cell>
          <cell r="D2016">
            <v>2</v>
          </cell>
        </row>
        <row r="2017">
          <cell r="A2017" t="str">
            <v>698 - FU MINISTERIO BERAKHAH INTERNACIONAL PASO BLANCO</v>
          </cell>
          <cell r="D2017">
            <v>1</v>
          </cell>
        </row>
        <row r="2018">
          <cell r="A2018" t="str">
            <v>596 IG- IGLESIA EVANGELICA TRINITARIA DIOS FUENTE DE PODER</v>
          </cell>
          <cell r="C2018">
            <v>8</v>
          </cell>
        </row>
        <row r="2019">
          <cell r="A2019" t="str">
            <v>707 - FU MINISTERIO BERAKHAH INTERNACIONAL CAIMITILLO</v>
          </cell>
          <cell r="I2019">
            <v>1</v>
          </cell>
        </row>
        <row r="2020">
          <cell r="A2020" t="str">
            <v>390-FU FUNDACION CRISTIANA FAMILIAR EL TALLER DEL MAESTRO (CENTRO1)</v>
          </cell>
          <cell r="C2020">
            <v>2</v>
          </cell>
        </row>
        <row r="2021">
          <cell r="A2021" t="str">
            <v>738- IG MINISTERIO DIOS CON NOSOTROS EMANUEL</v>
          </cell>
          <cell r="D2021">
            <v>8</v>
          </cell>
        </row>
        <row r="2022">
          <cell r="A2022" t="str">
            <v>760-FU AYUDAME A VIVIR</v>
          </cell>
          <cell r="I2022">
            <v>6</v>
          </cell>
        </row>
        <row r="2023">
          <cell r="A2023" t="str">
            <v>281-FU FUNDACIÓN CAMBIO CREATIVO</v>
          </cell>
          <cell r="H2023">
            <v>4</v>
          </cell>
        </row>
        <row r="2024">
          <cell r="A2024" t="str">
            <v>394-IG IGLESIA ESCUADRONES DEL EJERCITO DE DIOS (CENTRO2)</v>
          </cell>
          <cell r="C2024">
            <v>4</v>
          </cell>
        </row>
        <row r="2025">
          <cell r="A2025" t="str">
            <v>789-FU Fundación Rescate de Alimentos</v>
          </cell>
          <cell r="C2025">
            <v>4</v>
          </cell>
        </row>
        <row r="2026">
          <cell r="A2026" t="str">
            <v>232 IG MINISTERIO TIEMPO DE COSECHA</v>
          </cell>
          <cell r="I2026">
            <v>4</v>
          </cell>
        </row>
        <row r="2027">
          <cell r="A2027" t="str">
            <v>253 FU - FUNDACIÓN PARA EL BIENESTAR SOCIAL (CENTRO2)</v>
          </cell>
          <cell r="C2027">
            <v>8</v>
          </cell>
        </row>
        <row r="2028">
          <cell r="A2028" t="str">
            <v>375-FU Ministerio a Dios sea la Gloria</v>
          </cell>
          <cell r="C2028">
            <v>6</v>
          </cell>
        </row>
        <row r="2029">
          <cell r="A2029" t="str">
            <v>802-IG IGLESIA INTERNACIONAL DEL EVANGELIO CUADRANGULAR DE PANAMÁ</v>
          </cell>
          <cell r="C2029">
            <v>6</v>
          </cell>
        </row>
        <row r="2030">
          <cell r="A2030" t="str">
            <v>496-AS CUERPO DE VOLUNTARIAS DEL HOSPITAL DEL NIÑO</v>
          </cell>
          <cell r="C2030">
            <v>10</v>
          </cell>
        </row>
        <row r="2031">
          <cell r="A2031" t="str">
            <v>471-FU FUNDACION BUSCANDO UNA OPORTUNIDAD</v>
          </cell>
          <cell r="E2031">
            <v>2</v>
          </cell>
        </row>
        <row r="2032">
          <cell r="A2032" t="str">
            <v>5 AS - ASOCIACIÓN DAME UNA OPORTUNIDAD</v>
          </cell>
          <cell r="C2032">
            <v>4</v>
          </cell>
        </row>
        <row r="2033">
          <cell r="A2033" t="str">
            <v>PURISSIMA, S.A</v>
          </cell>
          <cell r="C2033">
            <v>229.82</v>
          </cell>
          <cell r="D2033">
            <v>331.81999999999994</v>
          </cell>
          <cell r="E2033">
            <v>123.84</v>
          </cell>
          <cell r="G2033">
            <v>45.28</v>
          </cell>
          <cell r="H2033">
            <v>30</v>
          </cell>
          <cell r="I2033">
            <v>140.28</v>
          </cell>
          <cell r="L2033">
            <v>226.79999999999998</v>
          </cell>
          <cell r="M2033">
            <v>120.96</v>
          </cell>
          <cell r="O2033">
            <v>306.17999999999995</v>
          </cell>
        </row>
        <row r="2034">
          <cell r="A2034" t="str">
            <v>479-IG IGLESIA NUEVA ESPERANZA</v>
          </cell>
          <cell r="D2034">
            <v>28.259999999999998</v>
          </cell>
        </row>
        <row r="2035">
          <cell r="A2035" t="str">
            <v>178 IG - TEMPLO ZURIEL EL REFUGIO</v>
          </cell>
          <cell r="G2035">
            <v>30.28</v>
          </cell>
        </row>
        <row r="2036">
          <cell r="A2036" t="str">
            <v>288 IG MINISTERIO EVANGELISTICO DE SANACION Y RESTAURACION, SENALES, MILAGROS Y MARAVILLAS (ESTE)</v>
          </cell>
          <cell r="D2036">
            <v>48</v>
          </cell>
        </row>
        <row r="2037">
          <cell r="A2037" t="str">
            <v>368-FU MINISTERIO PACTO DE SANTIDAD</v>
          </cell>
          <cell r="C2037">
            <v>60.56</v>
          </cell>
        </row>
        <row r="2038">
          <cell r="A2038" t="str">
            <v>103 IG - IGLESIA DE LA GRACIA DE DIOS</v>
          </cell>
          <cell r="I2038">
            <v>15.14</v>
          </cell>
        </row>
        <row r="2039">
          <cell r="A2039" t="str">
            <v>2 PA - PARROQUIA SAN JUAN MARIA VIANNEY (NORTE)</v>
          </cell>
          <cell r="I2039">
            <v>15</v>
          </cell>
        </row>
        <row r="2040">
          <cell r="A2040" t="str">
            <v>259 IG - ALCANCE VICTORIA PANAMÁ</v>
          </cell>
          <cell r="C2040">
            <v>20</v>
          </cell>
        </row>
        <row r="2041">
          <cell r="A2041" t="str">
            <v>387-AS Asociacion ODSSAR-OBC</v>
          </cell>
          <cell r="D2041">
            <v>15</v>
          </cell>
        </row>
        <row r="2042">
          <cell r="A2042" t="str">
            <v>380-ED COMEDOR COMUNITARIO CASA DEL ALFARERO</v>
          </cell>
          <cell r="D2042">
            <v>33</v>
          </cell>
        </row>
        <row r="2043">
          <cell r="A2043" t="str">
            <v>597- IG MINISTERIO APOSTOLICO NEMUEL INTERNACIONAL</v>
          </cell>
          <cell r="D2043">
            <v>15</v>
          </cell>
        </row>
        <row r="2044">
          <cell r="A2044" t="str">
            <v>339-AS ASOCIACION RESIDENCIA LISBETH</v>
          </cell>
          <cell r="D2044">
            <v>35.14</v>
          </cell>
        </row>
        <row r="2045">
          <cell r="A2045" t="str">
            <v>327-PA - Parroquia la Santa Cruz</v>
          </cell>
          <cell r="I2045">
            <v>80</v>
          </cell>
        </row>
        <row r="2046">
          <cell r="A2046" t="str">
            <v>377-FU CENTRO CRISTIANO CASA DE DIOS PANAMA</v>
          </cell>
          <cell r="G2046">
            <v>15</v>
          </cell>
        </row>
        <row r="2047">
          <cell r="A2047" t="str">
            <v>118 FU - FUNDACIÓN UN NUEVO AMANECER</v>
          </cell>
          <cell r="E2047">
            <v>75.7</v>
          </cell>
        </row>
        <row r="2048">
          <cell r="A2048" t="str">
            <v>684 - FU FUNDACION CASA DEL REY JESUS (CENTRO 2)</v>
          </cell>
          <cell r="C2048">
            <v>19.259999999999998</v>
          </cell>
        </row>
        <row r="2049">
          <cell r="A2049" t="str">
            <v>229 PA - PARROQUIA SAN CRISTOBAL DE CHEPO</v>
          </cell>
          <cell r="D2049">
            <v>60.56</v>
          </cell>
        </row>
        <row r="2050">
          <cell r="A2050" t="str">
            <v>738- IG MINISTERIO DIOS CON NOSOTROS EMANUEL</v>
          </cell>
          <cell r="D2050">
            <v>69.08</v>
          </cell>
        </row>
        <row r="2051">
          <cell r="A2051" t="str">
            <v>745-FU CASA DE MISERICORDIA</v>
          </cell>
          <cell r="C2051">
            <v>30</v>
          </cell>
        </row>
        <row r="2052">
          <cell r="A2052" t="str">
            <v>749-IG Ministerio Tabernáculo de Santidad Internación (Guararé)</v>
          </cell>
          <cell r="M2052">
            <v>120.96</v>
          </cell>
        </row>
        <row r="2053">
          <cell r="A2053" t="str">
            <v>765-IG EXPANSION MISIONERA RIOS DE AGUA VIVA</v>
          </cell>
          <cell r="L2053">
            <v>226.79999999999998</v>
          </cell>
        </row>
        <row r="2054">
          <cell r="A2054" t="str">
            <v>766-IG MINISTERIO BET-EL</v>
          </cell>
          <cell r="O2054">
            <v>287.27999999999997</v>
          </cell>
        </row>
        <row r="2055">
          <cell r="A2055" t="str">
            <v>785-FU FUNDACION GOTAS DE ESPERANZA</v>
          </cell>
          <cell r="E2055">
            <v>48.14</v>
          </cell>
        </row>
        <row r="2056">
          <cell r="A2056" t="str">
            <v>793-FU Fundación Príncipes de Jehová</v>
          </cell>
          <cell r="I2056">
            <v>15</v>
          </cell>
        </row>
        <row r="2057">
          <cell r="A2057" t="str">
            <v>69 FU - FUNDACIÓN VIDA ABUNDANTE</v>
          </cell>
          <cell r="C2057">
            <v>100</v>
          </cell>
        </row>
        <row r="2058">
          <cell r="A2058" t="str">
            <v>138 OR - HERMANAS FRANCISCANAS DE MARIA INMACULADALA</v>
          </cell>
          <cell r="H2058">
            <v>30</v>
          </cell>
        </row>
        <row r="2059">
          <cell r="A2059" t="str">
            <v>804-IG Templo Misionero Eclesiastés</v>
          </cell>
          <cell r="I2059">
            <v>15.14</v>
          </cell>
        </row>
        <row r="2060">
          <cell r="A2060" t="str">
            <v>463-FU MINISTERIO BERAKHAH INTERNACIONAL COMEDOR OASIS DE ESPERANZA (ESTE)</v>
          </cell>
          <cell r="D2060">
            <v>27.78</v>
          </cell>
        </row>
        <row r="2061">
          <cell r="A2061" t="str">
            <v>708 - FU MINISTERIO BERAKHAH INTERNACIONAL GUARARE</v>
          </cell>
          <cell r="O2061">
            <v>18.899999999999999</v>
          </cell>
        </row>
        <row r="2062">
          <cell r="A2062" t="str">
            <v>RIBA SMITH, S.A.</v>
          </cell>
          <cell r="C2062">
            <v>87.5</v>
          </cell>
          <cell r="D2062">
            <v>133.5</v>
          </cell>
          <cell r="E2062">
            <v>108</v>
          </cell>
          <cell r="F2062">
            <v>16.5</v>
          </cell>
          <cell r="G2062">
            <v>3.5</v>
          </cell>
          <cell r="H2062">
            <v>6</v>
          </cell>
          <cell r="I2062">
            <v>41</v>
          </cell>
        </row>
        <row r="2063">
          <cell r="A2063" t="str">
            <v>479-IG IGLESIA NUEVA ESPERANZA</v>
          </cell>
          <cell r="D2063">
            <v>1</v>
          </cell>
        </row>
        <row r="2064">
          <cell r="A2064" t="str">
            <v>104 AS - ASOCIACIÓN HOGAR FELICIDAD</v>
          </cell>
          <cell r="E2064">
            <v>4</v>
          </cell>
        </row>
        <row r="2065">
          <cell r="A2065" t="str">
            <v>175 AS - ASOCIACIÓN RESTAURANDO VIDAS</v>
          </cell>
          <cell r="D2065">
            <v>4</v>
          </cell>
        </row>
        <row r="2066">
          <cell r="A2066" t="str">
            <v>207 IG - IGLESIA CENTRO DE VIDA CRISTIANA</v>
          </cell>
          <cell r="D2066">
            <v>8.5</v>
          </cell>
        </row>
        <row r="2067">
          <cell r="A2067" t="str">
            <v>321-IG IGLESIA DIOS ES MI PROVEEDOR Y SUSTENTO</v>
          </cell>
          <cell r="D2067">
            <v>1.5</v>
          </cell>
        </row>
        <row r="2068">
          <cell r="A2068" t="str">
            <v>443-FU MINISTERIO BERAKHAH INTERNACIONAL COMEDOR LAS GARZAS #2</v>
          </cell>
          <cell r="D2068">
            <v>1</v>
          </cell>
        </row>
        <row r="2069">
          <cell r="A2069" t="str">
            <v>694 - FU MINISTERIO BERAKHAH INTERNACIONAL TOCUMEN #2</v>
          </cell>
          <cell r="D2069">
            <v>7.5</v>
          </cell>
        </row>
        <row r="2070">
          <cell r="A2070" t="str">
            <v>695 - FU MINISTERIO BERAKHAH INTERNACIONAL 24 DIC</v>
          </cell>
          <cell r="D2070">
            <v>5</v>
          </cell>
        </row>
        <row r="2071">
          <cell r="A2071" t="str">
            <v>366-FU CENTRO MISIONERO EL SHADAI (ESTE)</v>
          </cell>
          <cell r="D2071">
            <v>2</v>
          </cell>
        </row>
        <row r="2072">
          <cell r="A2072" t="str">
            <v>288 IG MINISTERIO EVANGELISTICO DE SANACION Y RESTAURACION, SENALES, MILAGROS Y MARAVILLAS (ESTE)</v>
          </cell>
          <cell r="D2072">
            <v>9</v>
          </cell>
        </row>
        <row r="2073">
          <cell r="A2073" t="str">
            <v>373-FU MINISTERIO INTERNACIONAL BOANERGES</v>
          </cell>
          <cell r="I2073">
            <v>2</v>
          </cell>
        </row>
        <row r="2074">
          <cell r="A2074" t="str">
            <v>51 PA - PARROQUIA SAN PIO DE PIETRELCINA (ESTE)</v>
          </cell>
          <cell r="D2074">
            <v>2</v>
          </cell>
        </row>
        <row r="2075">
          <cell r="A2075" t="str">
            <v>368-FU MINISTERIO PACTO DE SANTIDAD</v>
          </cell>
          <cell r="C2075">
            <v>10</v>
          </cell>
        </row>
        <row r="2076">
          <cell r="A2076" t="str">
            <v>654 - IG M.I.A.F NUEVA JERUSALEN PANAMA (ESTE)</v>
          </cell>
          <cell r="D2076">
            <v>4.5</v>
          </cell>
        </row>
        <row r="2077">
          <cell r="A2077" t="str">
            <v>487-FU FUNDACION CASA AVE MARIA</v>
          </cell>
          <cell r="E2077">
            <v>56</v>
          </cell>
        </row>
        <row r="2078">
          <cell r="A2078" t="str">
            <v>2 PA - PARROQUIA SAN JUAN MARIA VIANNEY (NORTE)</v>
          </cell>
          <cell r="I2078">
            <v>8</v>
          </cell>
        </row>
        <row r="2079">
          <cell r="A2079" t="str">
            <v>696 - FU MINISTERIO BERAKHAH INTERNACIONAL CHEPO #1</v>
          </cell>
          <cell r="D2079">
            <v>2</v>
          </cell>
        </row>
        <row r="2080">
          <cell r="A2080" t="str">
            <v>472-FU FUNDACION TALITA CUMI</v>
          </cell>
          <cell r="D2080">
            <v>2</v>
          </cell>
        </row>
        <row r="2081">
          <cell r="A2081" t="str">
            <v>222 ED - MISERICORDIAR</v>
          </cell>
          <cell r="D2081">
            <v>21</v>
          </cell>
        </row>
        <row r="2082">
          <cell r="A2082" t="str">
            <v>259 IG - ALCANCE VICTORIA PANAMÁ</v>
          </cell>
          <cell r="C2082">
            <v>12.5</v>
          </cell>
        </row>
        <row r="2083">
          <cell r="A2083" t="str">
            <v>379-FU Fundacion Ministerio Apostolico Manantial de Vida</v>
          </cell>
          <cell r="H2083">
            <v>4</v>
          </cell>
        </row>
        <row r="2084">
          <cell r="A2084" t="str">
            <v>387-AS Asociacion ODSSAR-OBC</v>
          </cell>
          <cell r="D2084">
            <v>3.5</v>
          </cell>
        </row>
        <row r="2085">
          <cell r="A2085" t="str">
            <v>397-FU FUNDACION SHALOM PANAMA</v>
          </cell>
          <cell r="E2085">
            <v>3</v>
          </cell>
        </row>
        <row r="2086">
          <cell r="A2086" t="str">
            <v>195 ED - JUNTOS PODEMOS</v>
          </cell>
          <cell r="C2086">
            <v>3.5</v>
          </cell>
        </row>
        <row r="2087">
          <cell r="A2087" t="str">
            <v>709 - FU FUNRECRISTO</v>
          </cell>
          <cell r="D2087">
            <v>4</v>
          </cell>
        </row>
        <row r="2088">
          <cell r="A2088" t="str">
            <v>380-ED COMEDOR COMUNITARIO CASA DEL ALFARERO</v>
          </cell>
          <cell r="D2088">
            <v>27</v>
          </cell>
        </row>
        <row r="2089">
          <cell r="A2089" t="str">
            <v>597- IG MINISTERIO APOSTOLICO NEMUEL INTERNACIONAL</v>
          </cell>
          <cell r="D2089">
            <v>1.5</v>
          </cell>
        </row>
        <row r="2090">
          <cell r="A2090" t="str">
            <v>270 FU - FUNDACIÓN MISERICORDIA DE DON BOSCO (OESTE)</v>
          </cell>
          <cell r="E2090">
            <v>2</v>
          </cell>
        </row>
        <row r="2091">
          <cell r="A2091" t="str">
            <v>381-FU FUNDAMIDOM</v>
          </cell>
          <cell r="E2091">
            <v>4</v>
          </cell>
        </row>
        <row r="2092">
          <cell r="A2092" t="str">
            <v>491-FU Fundación Aleluya</v>
          </cell>
          <cell r="G2092">
            <v>1.5</v>
          </cell>
        </row>
        <row r="2093">
          <cell r="A2093" t="str">
            <v>642 - IG IGLESIA VIDA (CENTRO 1)</v>
          </cell>
          <cell r="C2093">
            <v>3</v>
          </cell>
        </row>
        <row r="2094">
          <cell r="A2094" t="str">
            <v>681 - FU FUNDACION NUEVA SOCIEDAD (NORTE)</v>
          </cell>
          <cell r="I2094">
            <v>14</v>
          </cell>
        </row>
        <row r="2095">
          <cell r="A2095" t="str">
            <v>377-FU CENTRO CRISTIANO CASA DE DIOS PANAMA</v>
          </cell>
          <cell r="G2095">
            <v>1</v>
          </cell>
        </row>
        <row r="2096">
          <cell r="A2096" t="str">
            <v>193 OR - FUNDACIÓN UNCIÓN FRESCA</v>
          </cell>
          <cell r="E2096">
            <v>2</v>
          </cell>
        </row>
        <row r="2097">
          <cell r="A2097" t="str">
            <v>118 FU - FUNDACIÓN UN NUEVO AMANECER</v>
          </cell>
          <cell r="E2097">
            <v>10</v>
          </cell>
        </row>
        <row r="2098">
          <cell r="A2098" t="str">
            <v>360-IG IGLESIA CRISTIANA CASA DE REUNION</v>
          </cell>
          <cell r="G2098">
            <v>1</v>
          </cell>
        </row>
        <row r="2099">
          <cell r="A2099" t="str">
            <v>684 - FU FUNDACION CASA DEL REY JESUS (CENTRO 2)</v>
          </cell>
          <cell r="C2099">
            <v>4</v>
          </cell>
        </row>
        <row r="2100">
          <cell r="A2100" t="str">
            <v>596 IG- IGLESIA EVANGELICA TRINITARIA DIOS FUENTE DE PODER</v>
          </cell>
          <cell r="C2100">
            <v>3</v>
          </cell>
        </row>
        <row r="2101">
          <cell r="A2101" t="str">
            <v>229 PA - PARROQUIA SAN CRISTOBAL DE CHEPO</v>
          </cell>
          <cell r="D2101">
            <v>7</v>
          </cell>
        </row>
        <row r="2102">
          <cell r="A2102" t="str">
            <v>390-FU FUNDACION CRISTIANA FAMILIAR EL TALLER DEL MAESTRO (CENTRO1)</v>
          </cell>
          <cell r="C2102">
            <v>6</v>
          </cell>
        </row>
        <row r="2103">
          <cell r="A2103" t="str">
            <v>737- ASOCIACION CRISTIANA EBEN-EZER (ESTE)</v>
          </cell>
          <cell r="D2103">
            <v>4</v>
          </cell>
        </row>
        <row r="2104">
          <cell r="A2104" t="str">
            <v>738- IG MINISTERIO DIOS CON NOSOTROS EMANUEL</v>
          </cell>
          <cell r="D2104">
            <v>14.5</v>
          </cell>
        </row>
        <row r="2105">
          <cell r="A2105" t="str">
            <v>733-IG LA ORACION FUERTE AL ESPIRITU SANTO</v>
          </cell>
          <cell r="C2105">
            <v>9</v>
          </cell>
        </row>
        <row r="2106">
          <cell r="A2106" t="str">
            <v>745-FU CASA DE MISERICORDIA</v>
          </cell>
          <cell r="C2106">
            <v>2</v>
          </cell>
        </row>
        <row r="2107">
          <cell r="A2107" t="str">
            <v>741-IG BUNKER DE ESPERANZA</v>
          </cell>
          <cell r="D2107">
            <v>1</v>
          </cell>
        </row>
        <row r="2108">
          <cell r="A2108" t="str">
            <v>760-FU AYUDAME A VIVIR</v>
          </cell>
          <cell r="I2108">
            <v>15</v>
          </cell>
        </row>
        <row r="2109">
          <cell r="A2109" t="str">
            <v>758-FU RESTAURANDO EL PRIMER AMOR</v>
          </cell>
          <cell r="I2109">
            <v>2</v>
          </cell>
        </row>
        <row r="2110">
          <cell r="A2110" t="str">
            <v>785-FU FUNDACION GOTAS DE ESPERANZA</v>
          </cell>
          <cell r="E2110">
            <v>27</v>
          </cell>
        </row>
        <row r="2111">
          <cell r="A2111" t="str">
            <v>394-IG IGLESIA ESCUADRONES DEL EJERCITO DE DIOS (CENTRO2)</v>
          </cell>
          <cell r="C2111">
            <v>12.5</v>
          </cell>
        </row>
        <row r="2112">
          <cell r="A2112" t="str">
            <v>138 OR - HERMANAS FRANCISCANAS DE MARIA INMACULADALA</v>
          </cell>
          <cell r="H2112">
            <v>2</v>
          </cell>
        </row>
        <row r="2113">
          <cell r="A2113" t="str">
            <v>661 - FU FUNDACION MAS INTEGRADOS (DARIEN)</v>
          </cell>
          <cell r="F2113">
            <v>7.5</v>
          </cell>
        </row>
        <row r="2114">
          <cell r="A2114" t="str">
            <v>802-IG IGLESIA INTERNACIONAL DEL EVANGELIO CUADRANGULAR DE PANAMÁ</v>
          </cell>
          <cell r="C2114">
            <v>5</v>
          </cell>
        </row>
        <row r="2115">
          <cell r="A2115" t="str">
            <v>814-IG Templo Morada Santa</v>
          </cell>
          <cell r="F2115">
            <v>9</v>
          </cell>
        </row>
        <row r="2116">
          <cell r="A2116" t="str">
            <v>496-AS CUERPO DE VOLUNTARIAS DEL HOSPITAL DEL NIÑO</v>
          </cell>
          <cell r="C2116">
            <v>17</v>
          </cell>
        </row>
        <row r="2117">
          <cell r="A2117" t="str">
            <v>SUPER CARNES</v>
          </cell>
          <cell r="B2117">
            <v>912.5</v>
          </cell>
          <cell r="D2117">
            <v>380</v>
          </cell>
          <cell r="J2117">
            <v>1100</v>
          </cell>
          <cell r="K2117">
            <v>820</v>
          </cell>
          <cell r="L2117">
            <v>235</v>
          </cell>
          <cell r="M2117">
            <v>290</v>
          </cell>
          <cell r="O2117">
            <v>20</v>
          </cell>
        </row>
        <row r="2118">
          <cell r="A2118" t="str">
            <v>111 FU - FUNDACIÓN NUESTRA SEÑORA DEL CAMINO</v>
          </cell>
          <cell r="J2118">
            <v>110</v>
          </cell>
        </row>
        <row r="2119">
          <cell r="A2119" t="str">
            <v>643 - IG TEMPLO PUERTA DEL CIELO (CHIRIQUI)</v>
          </cell>
          <cell r="J2119">
            <v>20</v>
          </cell>
        </row>
        <row r="2120">
          <cell r="A2120" t="str">
            <v>284 - IG MINISTERIO PAN DE VIDA</v>
          </cell>
          <cell r="J2120">
            <v>90</v>
          </cell>
        </row>
        <row r="2121">
          <cell r="A2121" t="str">
            <v>668 - FU FUNDACION CRISTIANA LA FE EN MARCHA</v>
          </cell>
          <cell r="J2121">
            <v>110</v>
          </cell>
        </row>
        <row r="2122">
          <cell r="A2122" t="str">
            <v>300 ED - BENEFICIARIOS</v>
          </cell>
          <cell r="D2122">
            <v>380</v>
          </cell>
        </row>
        <row r="2123">
          <cell r="A2123" t="str">
            <v>94 OR - HOGAR SAN FRANCISCO DE ASÍS</v>
          </cell>
          <cell r="J2123">
            <v>90</v>
          </cell>
        </row>
        <row r="2124">
          <cell r="A2124" t="str">
            <v>671 - PA DIOCESIS DE PENONOME (COCLE)</v>
          </cell>
          <cell r="K2124">
            <v>10</v>
          </cell>
        </row>
        <row r="2125">
          <cell r="A2125" t="str">
            <v>Retiro de Merma</v>
          </cell>
          <cell r="B2125">
            <v>902.5</v>
          </cell>
        </row>
        <row r="2126">
          <cell r="A2126" t="str">
            <v>364-IG COMEDOR SHEKINA</v>
          </cell>
          <cell r="K2126">
            <v>310</v>
          </cell>
        </row>
        <row r="2127">
          <cell r="A2127" t="str">
            <v>263 IG TABERNÁCULO DE DIOS DE SAN MIGUEL DEL EXQUISITO</v>
          </cell>
          <cell r="J2127">
            <v>50</v>
          </cell>
        </row>
        <row r="2128">
          <cell r="A2128" t="str">
            <v>710 - AS CLUB DE LEONES DE SONA</v>
          </cell>
          <cell r="M2128">
            <v>120</v>
          </cell>
        </row>
        <row r="2129">
          <cell r="A2129" t="str">
            <v>730-FU SOLIDARIDAD Y DESARROLLO DE PANAMA (VERAGUAS)</v>
          </cell>
          <cell r="M2129">
            <v>50</v>
          </cell>
        </row>
        <row r="2130">
          <cell r="A2130" t="str">
            <v>749-IG Ministerio Tabernáculo de Santidad Internación (Guararé)</v>
          </cell>
          <cell r="M2130">
            <v>60</v>
          </cell>
        </row>
        <row r="2131">
          <cell r="A2131" t="str">
            <v>750-IG MTSI Santiago</v>
          </cell>
          <cell r="M2131">
            <v>60</v>
          </cell>
        </row>
        <row r="2132">
          <cell r="A2132" t="str">
            <v>613-FU FUNDACION INMARE</v>
          </cell>
          <cell r="K2132">
            <v>400</v>
          </cell>
        </row>
        <row r="2133">
          <cell r="A2133" t="str">
            <v>751-AS Grupo Unido Llevando Sonrisa Y Esperanza</v>
          </cell>
          <cell r="K2133">
            <v>20</v>
          </cell>
        </row>
        <row r="2134">
          <cell r="A2134" t="str">
            <v>765-IG EXPANSION MISIONERA RIOS DE AGUA VIVA</v>
          </cell>
          <cell r="L2134">
            <v>110</v>
          </cell>
        </row>
        <row r="2135">
          <cell r="A2135" t="str">
            <v>766-IG MINISTERIO BET-EL</v>
          </cell>
          <cell r="O2135">
            <v>20</v>
          </cell>
        </row>
        <row r="2136">
          <cell r="A2136" t="str">
            <v>753-AS CLUB ACTIVO 20-30 DE CHITRE</v>
          </cell>
          <cell r="L2136">
            <v>95</v>
          </cell>
        </row>
        <row r="2137">
          <cell r="A2137" t="str">
            <v>8 PA - PARROQUIA SAN JUAN DE MACARACAS</v>
          </cell>
          <cell r="B2137">
            <v>10</v>
          </cell>
        </row>
        <row r="2138">
          <cell r="A2138" t="str">
            <v>240 PA - PARROQUIA SAN JOSÉ - PESE</v>
          </cell>
          <cell r="L2138">
            <v>10</v>
          </cell>
        </row>
        <row r="2139">
          <cell r="A2139" t="str">
            <v>756-FU Fundación Nuevas Rutas</v>
          </cell>
          <cell r="J2139">
            <v>580</v>
          </cell>
        </row>
        <row r="2140">
          <cell r="A2140" t="str">
            <v>828-IG IDN LAS TINAJAS</v>
          </cell>
          <cell r="J2140">
            <v>50</v>
          </cell>
        </row>
        <row r="2141">
          <cell r="A2141" t="str">
            <v>813-IG Comedor Centro De Esperanza Elohim</v>
          </cell>
          <cell r="K2141">
            <v>40</v>
          </cell>
        </row>
        <row r="2142">
          <cell r="A2142" t="str">
            <v>770-IG CENTRO CRISTIANO NUEVA VIDA</v>
          </cell>
          <cell r="K2142">
            <v>40</v>
          </cell>
        </row>
        <row r="2143">
          <cell r="A2143" t="str">
            <v>731-FU CENTRO DE NIÑOS DOWN</v>
          </cell>
          <cell r="L2143">
            <v>20</v>
          </cell>
        </row>
        <row r="2144">
          <cell r="A2144" t="str">
            <v>INDUSTRIAS LACTEAS, S.A / Estrella Azul</v>
          </cell>
          <cell r="C2144">
            <v>102</v>
          </cell>
          <cell r="D2144">
            <v>402</v>
          </cell>
          <cell r="E2144">
            <v>160</v>
          </cell>
          <cell r="G2144">
            <v>110</v>
          </cell>
          <cell r="H2144">
            <v>114</v>
          </cell>
          <cell r="I2144">
            <v>20</v>
          </cell>
        </row>
        <row r="2145">
          <cell r="A2145" t="str">
            <v>209 IG - TEMPLO MISIONERO CRISTO TE LLAMA</v>
          </cell>
          <cell r="D2145">
            <v>28</v>
          </cell>
        </row>
        <row r="2146">
          <cell r="A2146" t="str">
            <v>104 AS - ASOCIACIÓN HOGAR FELICIDAD</v>
          </cell>
          <cell r="E2146">
            <v>60</v>
          </cell>
        </row>
        <row r="2147">
          <cell r="A2147" t="str">
            <v>178 IG - TEMPLO ZURIEL EL REFUGIO</v>
          </cell>
          <cell r="G2147">
            <v>100</v>
          </cell>
        </row>
        <row r="2148">
          <cell r="A2148" t="str">
            <v>636- FU JAH - LIVE (JAHL) - COLON</v>
          </cell>
          <cell r="H2148">
            <v>64</v>
          </cell>
        </row>
        <row r="2149">
          <cell r="A2149" t="str">
            <v>365-IG COMEDOR HEFZIBA</v>
          </cell>
          <cell r="I2149">
            <v>20</v>
          </cell>
        </row>
        <row r="2150">
          <cell r="A2150" t="str">
            <v>635 TEMPLO ADULAM</v>
          </cell>
          <cell r="E2150">
            <v>20</v>
          </cell>
        </row>
        <row r="2151">
          <cell r="A2151" t="str">
            <v>218 ED - LOS PREFERIDOS DEL SEÑOR (CENTRO2)</v>
          </cell>
          <cell r="C2151">
            <v>50</v>
          </cell>
        </row>
        <row r="2152">
          <cell r="A2152" t="str">
            <v>187 IG - IGLESIA DE DIOS DE LA PROFECÍA</v>
          </cell>
          <cell r="D2152">
            <v>76</v>
          </cell>
        </row>
        <row r="2153">
          <cell r="A2153" t="str">
            <v>321-IG IGLESIA DIOS ES MI PROVEEDOR Y SUSTENTO</v>
          </cell>
          <cell r="D2153">
            <v>200</v>
          </cell>
        </row>
        <row r="2154">
          <cell r="A2154" t="str">
            <v>694 - FU MINISTERIO BERAKHAH INTERNACIONAL TOCUMEN #2</v>
          </cell>
          <cell r="D2154">
            <v>4</v>
          </cell>
        </row>
        <row r="2155">
          <cell r="A2155" t="str">
            <v>366-FU CENTRO MISIONERO EL SHADAI (ESTE)</v>
          </cell>
          <cell r="D2155">
            <v>24</v>
          </cell>
        </row>
        <row r="2156">
          <cell r="A2156" t="str">
            <v>183 ED - BELÉN CASA DE PAN (ESTE)</v>
          </cell>
          <cell r="D2156">
            <v>20</v>
          </cell>
        </row>
        <row r="2157">
          <cell r="A2157" t="str">
            <v>487-FU FUNDACION CASA AVE MARIA</v>
          </cell>
          <cell r="E2157">
            <v>40</v>
          </cell>
        </row>
        <row r="2158">
          <cell r="A2158" t="str">
            <v>379-FU Fundacion Ministerio Apostolico Manantial de Vida</v>
          </cell>
          <cell r="H2158">
            <v>50</v>
          </cell>
        </row>
        <row r="2159">
          <cell r="A2159" t="str">
            <v>630-IG MIN.INTL.DE CRISTO PAZ DE DIOS</v>
          </cell>
          <cell r="C2159">
            <v>24</v>
          </cell>
        </row>
        <row r="2160">
          <cell r="A2160" t="str">
            <v>397-FU FUNDACION SHALOM PANAMA</v>
          </cell>
          <cell r="E2160">
            <v>40</v>
          </cell>
        </row>
        <row r="2161">
          <cell r="A2161" t="str">
            <v>417-AS CLUB DE LEONES DE PEDREGAL (ESTE)</v>
          </cell>
          <cell r="D2161">
            <v>20</v>
          </cell>
        </row>
        <row r="2162">
          <cell r="A2162" t="str">
            <v>672 - FU FUNDACION NUEVO PACTO POR LA NIÑEZ</v>
          </cell>
          <cell r="C2162">
            <v>4</v>
          </cell>
        </row>
        <row r="2163">
          <cell r="A2163" t="str">
            <v>360-IG IGLESIA CRISTIANA CASA DE REUNION</v>
          </cell>
          <cell r="G2163">
            <v>10</v>
          </cell>
        </row>
        <row r="2164">
          <cell r="A2164" t="str">
            <v>684 - FU FUNDACION CASA DEL REY JESUS (CENTRO 2)</v>
          </cell>
          <cell r="C2164">
            <v>4</v>
          </cell>
        </row>
        <row r="2165">
          <cell r="A2165" t="str">
            <v>737- ASOCIACION CRISTIANA EBEN-EZER (ESTE)</v>
          </cell>
          <cell r="D2165">
            <v>30</v>
          </cell>
        </row>
        <row r="2166">
          <cell r="A2166" t="str">
            <v>201 OR - MISIONERAS MADRE LAURA</v>
          </cell>
          <cell r="C2166">
            <v>20</v>
          </cell>
        </row>
        <row r="2167">
          <cell r="A2167" t="str">
            <v>CORONADO ACL S.A. (LEUDO PANADERÍA)</v>
          </cell>
          <cell r="H2167">
            <v>30</v>
          </cell>
        </row>
        <row r="2168">
          <cell r="A2168" t="str">
            <v>636- FU JAH - LIVE (JAHL) - COLON</v>
          </cell>
          <cell r="H2168">
            <v>30</v>
          </cell>
        </row>
        <row r="2169">
          <cell r="A2169" t="str">
            <v>Delivery Hero Dmart Panamá S.A. (Pedidos Ya)</v>
          </cell>
          <cell r="C2169">
            <v>37</v>
          </cell>
          <cell r="D2169">
            <v>114</v>
          </cell>
          <cell r="E2169">
            <v>25</v>
          </cell>
          <cell r="G2169">
            <v>31</v>
          </cell>
          <cell r="H2169">
            <v>20</v>
          </cell>
          <cell r="I2169">
            <v>14</v>
          </cell>
          <cell r="J2169">
            <v>4</v>
          </cell>
        </row>
        <row r="2170">
          <cell r="A2170" t="str">
            <v>178 IG - TEMPLO ZURIEL EL REFUGIO</v>
          </cell>
          <cell r="G2170">
            <v>31</v>
          </cell>
        </row>
        <row r="2171">
          <cell r="A2171" t="str">
            <v>636- FU JAH - LIVE (JAHL) - COLON</v>
          </cell>
          <cell r="H2171">
            <v>2</v>
          </cell>
        </row>
        <row r="2172">
          <cell r="A2172" t="str">
            <v>365-IG COMEDOR HEFZIBA</v>
          </cell>
          <cell r="I2172">
            <v>8</v>
          </cell>
        </row>
        <row r="2173">
          <cell r="A2173" t="str">
            <v>635 TEMPLO ADULAM</v>
          </cell>
          <cell r="E2173">
            <v>4</v>
          </cell>
        </row>
        <row r="2174">
          <cell r="A2174" t="str">
            <v>470-FU IGLESIA MONTE SANTO</v>
          </cell>
          <cell r="D2174">
            <v>48</v>
          </cell>
        </row>
        <row r="2175">
          <cell r="A2175" t="str">
            <v>687 - FU FUNDACION ARCA DE JESUS</v>
          </cell>
          <cell r="E2175">
            <v>4</v>
          </cell>
        </row>
        <row r="2176">
          <cell r="A2176" t="str">
            <v>218 ED - LOS PREFERIDOS DEL SEÑOR (CENTRO2)</v>
          </cell>
          <cell r="C2176">
            <v>13</v>
          </cell>
        </row>
        <row r="2177">
          <cell r="A2177" t="str">
            <v>187 IG - IGLESIA DE DIOS DE LA PROFECÍA</v>
          </cell>
          <cell r="D2177">
            <v>4</v>
          </cell>
        </row>
        <row r="2178">
          <cell r="A2178" t="str">
            <v>321-IG IGLESIA DIOS ES MI PROVEEDOR Y SUSTENTO</v>
          </cell>
          <cell r="D2178">
            <v>8</v>
          </cell>
        </row>
        <row r="2179">
          <cell r="A2179" t="str">
            <v>694 - FU MINISTERIO BERAKHAH INTERNACIONAL TOCUMEN #2</v>
          </cell>
          <cell r="D2179">
            <v>2</v>
          </cell>
        </row>
        <row r="2180">
          <cell r="A2180" t="str">
            <v>366-FU CENTRO MISIONERO EL SHADAI (ESTE)</v>
          </cell>
          <cell r="D2180">
            <v>14</v>
          </cell>
        </row>
        <row r="2181">
          <cell r="A2181" t="str">
            <v>498-FU COMEDOR NIÑOS DE BENDICION</v>
          </cell>
          <cell r="E2181">
            <v>8</v>
          </cell>
        </row>
        <row r="2182">
          <cell r="A2182" t="str">
            <v>197 FU FUNDACION SOCIAL CULTURAL Y AMBIENTAL DE VERACRUZ (OESTE)</v>
          </cell>
          <cell r="E2182">
            <v>5</v>
          </cell>
        </row>
        <row r="2183">
          <cell r="A2183" t="str">
            <v>668 - FU FUNDACION CRISTIANA LA FE EN MARCHA</v>
          </cell>
          <cell r="J2183">
            <v>4</v>
          </cell>
        </row>
        <row r="2184">
          <cell r="A2184" t="str">
            <v>379-FU Fundacion Ministerio Apostolico Manantial de Vida</v>
          </cell>
          <cell r="H2184">
            <v>18</v>
          </cell>
        </row>
        <row r="2185">
          <cell r="A2185" t="str">
            <v>630-IG MIN.INTL.DE CRISTO PAZ DE DIOS</v>
          </cell>
          <cell r="C2185">
            <v>16</v>
          </cell>
        </row>
        <row r="2186">
          <cell r="A2186" t="str">
            <v>260 IG - IGLESIA MISIONERA DE RESTAURACIÓN</v>
          </cell>
          <cell r="D2186">
            <v>14</v>
          </cell>
        </row>
        <row r="2187">
          <cell r="A2187" t="str">
            <v>709 - FU FUNRECRISTO</v>
          </cell>
          <cell r="D2187">
            <v>8</v>
          </cell>
        </row>
        <row r="2188">
          <cell r="A2188" t="str">
            <v>235 FU - FUNDACION GRUPO ENVIADOS</v>
          </cell>
          <cell r="D2188">
            <v>2</v>
          </cell>
        </row>
        <row r="2189">
          <cell r="A2189" t="str">
            <v>202 FU - FUNDACIÓN HOGAR SAN JOSÉ (ESTE)</v>
          </cell>
          <cell r="D2189">
            <v>12</v>
          </cell>
        </row>
        <row r="2190">
          <cell r="A2190" t="str">
            <v>144 OR - HERMANAS DE SAN JOSÉ DE LA APARICIÓN (RETIRA EN EL BANCO)</v>
          </cell>
          <cell r="D2190">
            <v>2</v>
          </cell>
        </row>
        <row r="2191">
          <cell r="A2191" t="str">
            <v>672 - FU FUNDACION NUEVO PACTO POR LA NIÑEZ</v>
          </cell>
          <cell r="C2191">
            <v>2</v>
          </cell>
        </row>
        <row r="2192">
          <cell r="A2192" t="str">
            <v>684 - FU FUNDACION CASA DEL REY JESUS (CENTRO 2)</v>
          </cell>
          <cell r="C2192">
            <v>2</v>
          </cell>
        </row>
        <row r="2193">
          <cell r="A2193" t="str">
            <v>743- ED CLUB FAMILIA DEPORTIVA</v>
          </cell>
          <cell r="C2193">
            <v>4</v>
          </cell>
        </row>
        <row r="2194">
          <cell r="A2194" t="str">
            <v>598- IG IGLESIA GLORIA TRANSFORMADORA SHEKINAH</v>
          </cell>
          <cell r="E2194">
            <v>2</v>
          </cell>
        </row>
        <row r="2195">
          <cell r="A2195" t="str">
            <v>232 IG MINISTERIO TIEMPO DE COSECHA</v>
          </cell>
          <cell r="I2195">
            <v>6</v>
          </cell>
        </row>
        <row r="2196">
          <cell r="A2196" t="str">
            <v>471-FU FUNDACION BUSCANDO UNA OPORTUNIDAD</v>
          </cell>
          <cell r="E2196">
            <v>2</v>
          </cell>
        </row>
        <row r="2197">
          <cell r="A2197" t="str">
            <v>LA CHOLITA S.A.</v>
          </cell>
          <cell r="B2197">
            <v>10</v>
          </cell>
          <cell r="D2197">
            <v>35</v>
          </cell>
          <cell r="J2197">
            <v>190</v>
          </cell>
          <cell r="K2197">
            <v>43</v>
          </cell>
          <cell r="L2197">
            <v>5</v>
          </cell>
          <cell r="M2197">
            <v>10</v>
          </cell>
          <cell r="O2197">
            <v>25</v>
          </cell>
        </row>
        <row r="2198">
          <cell r="A2198" t="str">
            <v>111 FU - FUNDACIÓN NUESTRA SEÑORA DEL CAMINO</v>
          </cell>
          <cell r="J2198">
            <v>5</v>
          </cell>
        </row>
        <row r="2199">
          <cell r="A2199" t="str">
            <v>643 - IG TEMPLO PUERTA DEL CIELO (CHIRIQUI)</v>
          </cell>
          <cell r="J2199">
            <v>10</v>
          </cell>
        </row>
        <row r="2200">
          <cell r="A2200" t="str">
            <v>284 - IG MINISTERIO PAN DE VIDA</v>
          </cell>
          <cell r="J2200">
            <v>5</v>
          </cell>
        </row>
        <row r="2201">
          <cell r="A2201" t="str">
            <v>668 - FU FUNDACION CRISTIANA LA FE EN MARCHA</v>
          </cell>
          <cell r="J2201">
            <v>15</v>
          </cell>
        </row>
        <row r="2202">
          <cell r="A2202" t="str">
            <v>644 - IG TEMPLO SENDA DE VIDA (CHIRIQUÍ)</v>
          </cell>
          <cell r="J2202">
            <v>10</v>
          </cell>
        </row>
        <row r="2203">
          <cell r="A2203" t="str">
            <v>300 ED - BENEFICIARIOS</v>
          </cell>
          <cell r="D2203">
            <v>35</v>
          </cell>
        </row>
        <row r="2204">
          <cell r="A2204" t="str">
            <v>364-IG COMEDOR SHEKINA</v>
          </cell>
          <cell r="K2204">
            <v>30</v>
          </cell>
        </row>
        <row r="2205">
          <cell r="A2205" t="str">
            <v>263 IG TABERNÁCULO DE DIOS DE SAN MIGUEL DEL EXQUISITO</v>
          </cell>
          <cell r="J2205">
            <v>10</v>
          </cell>
        </row>
        <row r="2206">
          <cell r="A2206" t="str">
            <v>730-FU SOLIDARIDAD Y DESARROLLO DE PANAMA (VERAGUAS)</v>
          </cell>
          <cell r="M2206">
            <v>5</v>
          </cell>
        </row>
        <row r="2207">
          <cell r="A2207" t="str">
            <v>736-IG JESUS HACE MILAGROS</v>
          </cell>
          <cell r="J2207">
            <v>10</v>
          </cell>
        </row>
        <row r="2208">
          <cell r="A2208" t="str">
            <v>749-IG Ministerio Tabernáculo de Santidad Internación (Guararé)</v>
          </cell>
          <cell r="M2208">
            <v>5</v>
          </cell>
        </row>
        <row r="2209">
          <cell r="A2209" t="str">
            <v>613-FU FUNDACION INMARE</v>
          </cell>
          <cell r="K2209">
            <v>13</v>
          </cell>
        </row>
        <row r="2210">
          <cell r="A2210" t="str">
            <v>752-IG Ministerio Tabernáculo De Santidad Internacional (Chitre)</v>
          </cell>
          <cell r="L2210">
            <v>5</v>
          </cell>
        </row>
        <row r="2211">
          <cell r="A2211" t="str">
            <v>766-IG MINISTERIO BET-EL</v>
          </cell>
          <cell r="O2211">
            <v>20</v>
          </cell>
        </row>
        <row r="2212">
          <cell r="A2212" t="str">
            <v>8 PA - PARROQUIA SAN JUAN DE MACARACAS</v>
          </cell>
          <cell r="B2212">
            <v>10</v>
          </cell>
        </row>
        <row r="2213">
          <cell r="A2213" t="str">
            <v>756-FU Fundación Nuevas Rutas</v>
          </cell>
          <cell r="J2213">
            <v>120</v>
          </cell>
        </row>
        <row r="2214">
          <cell r="A2214" t="str">
            <v>708 - FU MINISTERIO BERAKHAH INTERNACIONAL GUARARE</v>
          </cell>
          <cell r="O2214">
            <v>5</v>
          </cell>
        </row>
        <row r="2215">
          <cell r="A2215" t="str">
            <v>828-IG IDN LAS TINAJAS</v>
          </cell>
          <cell r="J2215">
            <v>5</v>
          </cell>
        </row>
        <row r="2216">
          <cell r="A2216" t="str">
            <v>DICSA PANAMA</v>
          </cell>
          <cell r="B2216">
            <v>75</v>
          </cell>
          <cell r="C2216">
            <v>32</v>
          </cell>
          <cell r="D2216">
            <v>74</v>
          </cell>
          <cell r="E2216">
            <v>22</v>
          </cell>
          <cell r="F2216">
            <v>18</v>
          </cell>
          <cell r="G2216">
            <v>44</v>
          </cell>
          <cell r="H2216">
            <v>32</v>
          </cell>
          <cell r="I2216">
            <v>30</v>
          </cell>
        </row>
        <row r="2217">
          <cell r="A2217" t="str">
            <v>178 IG - TEMPLO ZURIEL EL REFUGIO</v>
          </cell>
          <cell r="G2217">
            <v>16</v>
          </cell>
        </row>
        <row r="2218">
          <cell r="A2218" t="str">
            <v>636- FU JAH - LIVE (JAHL) - COLON</v>
          </cell>
          <cell r="H2218">
            <v>24</v>
          </cell>
        </row>
        <row r="2219">
          <cell r="A2219" t="str">
            <v>218 ED - LOS PREFERIDOS DEL SEÑOR (CENTRO2)</v>
          </cell>
          <cell r="C2219">
            <v>20</v>
          </cell>
        </row>
        <row r="2220">
          <cell r="A2220" t="str">
            <v>321-IG IGLESIA DIOS ES MI PROVEEDOR Y SUSTENTO</v>
          </cell>
          <cell r="D2220">
            <v>28</v>
          </cell>
        </row>
        <row r="2221">
          <cell r="A2221" t="str">
            <v>695 - FU MINISTERIO BERAKHAH INTERNACIONAL 24 DIC</v>
          </cell>
          <cell r="D2221">
            <v>14</v>
          </cell>
        </row>
        <row r="2222">
          <cell r="A2222" t="str">
            <v>288 IG MINISTERIO EVANGELISTICO DE SANACION Y RESTAURACION, SENALES, MILAGROS Y MARAVILLAS (ESTE)</v>
          </cell>
          <cell r="D2222">
            <v>4</v>
          </cell>
        </row>
        <row r="2223">
          <cell r="A2223" t="str">
            <v>373-FU MINISTERIO INTERNACIONAL BOANERGES</v>
          </cell>
          <cell r="I2223">
            <v>2</v>
          </cell>
        </row>
        <row r="2224">
          <cell r="A2224" t="str">
            <v>197 FU FUNDACION SOCIAL CULTURAL Y AMBIENTAL DE VERACRUZ (OESTE)</v>
          </cell>
          <cell r="E2224">
            <v>4</v>
          </cell>
        </row>
        <row r="2225">
          <cell r="A2225" t="str">
            <v>183 ED - BELÉN CASA DE PAN (ESTE)</v>
          </cell>
          <cell r="D2225">
            <v>4</v>
          </cell>
        </row>
        <row r="2226">
          <cell r="A2226" t="str">
            <v>368-FU MINISTERIO PACTO DE SANTIDAD</v>
          </cell>
          <cell r="C2226">
            <v>2</v>
          </cell>
        </row>
        <row r="2227">
          <cell r="A2227" t="str">
            <v>487-FU FUNDACION CASA AVE MARIA</v>
          </cell>
          <cell r="E2227">
            <v>8</v>
          </cell>
        </row>
        <row r="2228">
          <cell r="A2228" t="str">
            <v>379-FU Fundacion Ministerio Apostolico Manantial de Vida</v>
          </cell>
          <cell r="H2228">
            <v>4</v>
          </cell>
        </row>
        <row r="2229">
          <cell r="A2229" t="str">
            <v>397-FU FUNDACION SHALOM PANAMA</v>
          </cell>
          <cell r="E2229">
            <v>2</v>
          </cell>
        </row>
        <row r="2230">
          <cell r="A2230" t="str">
            <v>709 - FU FUNRECRISTO</v>
          </cell>
          <cell r="D2230">
            <v>4</v>
          </cell>
        </row>
        <row r="2231">
          <cell r="A2231" t="str">
            <v>144 OR - HERMANAS DE SAN JOSÉ DE LA APARICIÓN (RETIRA EN EL BANCO)</v>
          </cell>
          <cell r="D2231">
            <v>8</v>
          </cell>
        </row>
        <row r="2232">
          <cell r="A2232" t="str">
            <v>491-FU Fundación Aleluya</v>
          </cell>
          <cell r="G2232">
            <v>2</v>
          </cell>
        </row>
        <row r="2233">
          <cell r="A2233" t="str">
            <v>377-FU CENTRO CRISTIANO CASA DE DIOS PANAMA</v>
          </cell>
          <cell r="G2233">
            <v>6</v>
          </cell>
        </row>
        <row r="2234">
          <cell r="A2234" t="str">
            <v>Retiro de Merma</v>
          </cell>
          <cell r="B2234">
            <v>75</v>
          </cell>
        </row>
        <row r="2235">
          <cell r="A2235" t="str">
            <v>193 OR - FUNDACIÓN UNCIÓN FRESCA</v>
          </cell>
          <cell r="E2235">
            <v>4</v>
          </cell>
        </row>
        <row r="2236">
          <cell r="A2236" t="str">
            <v>360-IG IGLESIA CRISTIANA CASA DE REUNION</v>
          </cell>
          <cell r="G2236">
            <v>20</v>
          </cell>
        </row>
        <row r="2237">
          <cell r="A2237" t="str">
            <v>229 PA - PARROQUIA SAN CRISTOBAL DE CHEPO</v>
          </cell>
          <cell r="D2237">
            <v>12</v>
          </cell>
        </row>
        <row r="2238">
          <cell r="A2238" t="str">
            <v>390-FU FUNDACION CRISTIANA FAMILIAR EL TALLER DEL MAESTRO (CENTRO1)</v>
          </cell>
          <cell r="C2238">
            <v>2</v>
          </cell>
        </row>
        <row r="2239">
          <cell r="A2239" t="str">
            <v>394-IG IGLESIA ESCUADRONES DEL EJERCITO DE DIOS (CENTRO2)</v>
          </cell>
          <cell r="C2239">
            <v>6</v>
          </cell>
        </row>
        <row r="2240">
          <cell r="A2240" t="str">
            <v>789-FU Fundación Rescate de Alimentos</v>
          </cell>
          <cell r="C2240">
            <v>2</v>
          </cell>
        </row>
        <row r="2241">
          <cell r="A2241" t="str">
            <v>793-FU Fundación Príncipes de Jehová</v>
          </cell>
          <cell r="I2241">
            <v>28</v>
          </cell>
        </row>
        <row r="2242">
          <cell r="A2242" t="str">
            <v>138 OR - HERMANAS FRANCISCANAS DE MARIA INMACULADALA</v>
          </cell>
          <cell r="H2242">
            <v>4</v>
          </cell>
        </row>
        <row r="2243">
          <cell r="A2243" t="str">
            <v>3 IG - IGLESIA DEL NAZARENO</v>
          </cell>
          <cell r="E2243">
            <v>4</v>
          </cell>
        </row>
        <row r="2244">
          <cell r="A2244" t="str">
            <v>661 - FU FUNDACION MAS INTEGRADOS (DARIEN)</v>
          </cell>
          <cell r="F2244">
            <v>14</v>
          </cell>
        </row>
        <row r="2245">
          <cell r="A2245" t="str">
            <v>814-IG Templo Morada Santa</v>
          </cell>
          <cell r="F2245">
            <v>4</v>
          </cell>
        </row>
        <row r="2246">
          <cell r="A2246" t="str">
            <v>PROSERV</v>
          </cell>
          <cell r="C2246">
            <v>520</v>
          </cell>
          <cell r="D2246">
            <v>862.5</v>
          </cell>
          <cell r="E2246">
            <v>128</v>
          </cell>
          <cell r="F2246">
            <v>40</v>
          </cell>
          <cell r="G2246">
            <v>44</v>
          </cell>
          <cell r="H2246">
            <v>116</v>
          </cell>
          <cell r="I2246">
            <v>44</v>
          </cell>
          <cell r="J2246">
            <v>45</v>
          </cell>
          <cell r="K2246">
            <v>49.5</v>
          </cell>
          <cell r="L2246">
            <v>13.5</v>
          </cell>
          <cell r="M2246">
            <v>4.5</v>
          </cell>
          <cell r="O2246">
            <v>9</v>
          </cell>
        </row>
        <row r="2247">
          <cell r="A2247" t="str">
            <v>702 - FU MINISTERIO BERAKHAH INTERNACIONAL ARRAIJAN</v>
          </cell>
          <cell r="E2247">
            <v>20</v>
          </cell>
        </row>
        <row r="2248">
          <cell r="A2248" t="str">
            <v>104 AS - ASOCIACIÓN HOGAR FELICIDAD</v>
          </cell>
          <cell r="E2248">
            <v>40</v>
          </cell>
        </row>
        <row r="2249">
          <cell r="A2249" t="str">
            <v>175 AS - ASOCIACIÓN RESTAURANDO VIDAS</v>
          </cell>
          <cell r="D2249">
            <v>40</v>
          </cell>
        </row>
        <row r="2250">
          <cell r="A2250" t="str">
            <v>178 IG - TEMPLO ZURIEL EL REFUGIO</v>
          </cell>
          <cell r="G2250">
            <v>40</v>
          </cell>
        </row>
        <row r="2251">
          <cell r="A2251" t="str">
            <v>207 IG - IGLESIA CENTRO DE VIDA CRISTIANA</v>
          </cell>
          <cell r="D2251">
            <v>40</v>
          </cell>
        </row>
        <row r="2252">
          <cell r="A2252" t="str">
            <v>636- FU JAH - LIVE (JAHL) - COLON</v>
          </cell>
          <cell r="H2252">
            <v>92</v>
          </cell>
        </row>
        <row r="2253">
          <cell r="A2253" t="str">
            <v>224 OR MISIONERAS DE LA CARIDAD DE COLON</v>
          </cell>
          <cell r="H2253">
            <v>4</v>
          </cell>
        </row>
        <row r="2254">
          <cell r="A2254" t="str">
            <v>470-FU IGLESIA MONTE SANTO</v>
          </cell>
          <cell r="D2254">
            <v>40</v>
          </cell>
        </row>
        <row r="2255">
          <cell r="A2255" t="str">
            <v>687 - FU FUNDACION ARCA DE JESUS</v>
          </cell>
          <cell r="E2255">
            <v>4</v>
          </cell>
        </row>
        <row r="2256">
          <cell r="A2256" t="str">
            <v>218 ED - LOS PREFERIDOS DEL SEÑOR (CENTRO2)</v>
          </cell>
          <cell r="C2256">
            <v>4</v>
          </cell>
        </row>
        <row r="2257">
          <cell r="A2257" t="str">
            <v>187 IG - IGLESIA DE DIOS DE LA PROFECÍA</v>
          </cell>
          <cell r="D2257">
            <v>48</v>
          </cell>
        </row>
        <row r="2258">
          <cell r="A2258" t="str">
            <v>321-IG IGLESIA DIOS ES MI PROVEEDOR Y SUSTENTO</v>
          </cell>
          <cell r="D2258">
            <v>24</v>
          </cell>
        </row>
        <row r="2259">
          <cell r="A2259" t="str">
            <v>443-FU MINISTERIO BERAKHAH INTERNACIONAL COMEDOR LAS GARZAS #2</v>
          </cell>
          <cell r="D2259">
            <v>20</v>
          </cell>
        </row>
        <row r="2260">
          <cell r="A2260" t="str">
            <v>694 - FU MINISTERIO BERAKHAH INTERNACIONAL TOCUMEN #2</v>
          </cell>
          <cell r="D2260">
            <v>44</v>
          </cell>
        </row>
        <row r="2261">
          <cell r="A2261" t="str">
            <v>695 - FU MINISTERIO BERAKHAH INTERNACIONAL 24 DIC</v>
          </cell>
          <cell r="D2261">
            <v>40</v>
          </cell>
        </row>
        <row r="2262">
          <cell r="A2262" t="str">
            <v>703 - FU MINISTERIO BERAKHAH INTERNACIONAL FELIPILLO #3</v>
          </cell>
          <cell r="D2262">
            <v>20</v>
          </cell>
        </row>
        <row r="2263">
          <cell r="A2263" t="str">
            <v>444-FU MINISTERIO BERAKHAH INTERNACIONAL COMEDOR LAS GARZAS #1</v>
          </cell>
          <cell r="D2263">
            <v>40</v>
          </cell>
        </row>
        <row r="2264">
          <cell r="A2264" t="str">
            <v>366-FU CENTRO MISIONERO EL SHADAI (ESTE)</v>
          </cell>
          <cell r="D2264">
            <v>68</v>
          </cell>
        </row>
        <row r="2265">
          <cell r="A2265" t="str">
            <v>498-FU COMEDOR NIÑOS DE BENDICION</v>
          </cell>
          <cell r="E2265">
            <v>4</v>
          </cell>
        </row>
        <row r="2266">
          <cell r="A2266" t="str">
            <v>288 IG MINISTERIO EVANGELISTICO DE SANACION Y RESTAURACION, SENALES, MILAGROS Y MARAVILLAS (ESTE)</v>
          </cell>
          <cell r="D2266">
            <v>40</v>
          </cell>
        </row>
        <row r="2267">
          <cell r="A2267" t="str">
            <v>701 - FU MINISTERIO BERAKHAH INTERNACIONAL LOS ANDES</v>
          </cell>
          <cell r="I2267">
            <v>4</v>
          </cell>
        </row>
        <row r="2268">
          <cell r="A2268" t="str">
            <v>691 - AR CARITAS ARQUIDIOCESANA</v>
          </cell>
          <cell r="C2268">
            <v>20</v>
          </cell>
        </row>
        <row r="2269">
          <cell r="A2269" t="str">
            <v>431-IG IGLESIA ADVENTISTA DISTRITO 8</v>
          </cell>
          <cell r="D2269">
            <v>20</v>
          </cell>
        </row>
        <row r="2270">
          <cell r="A2270" t="str">
            <v>368-FU MINISTERIO PACTO DE SANTIDAD</v>
          </cell>
          <cell r="C2270">
            <v>48</v>
          </cell>
        </row>
        <row r="2271">
          <cell r="A2271" t="str">
            <v>654 - IG M.I.A.F NUEVA JERUSALEN PANAMA (ESTE)</v>
          </cell>
          <cell r="D2271">
            <v>20</v>
          </cell>
        </row>
        <row r="2272">
          <cell r="A2272" t="str">
            <v>487-FU FUNDACION CASA AVE MARIA</v>
          </cell>
          <cell r="E2272">
            <v>16</v>
          </cell>
        </row>
        <row r="2273">
          <cell r="A2273" t="str">
            <v>284 - IG MINISTERIO PAN DE VIDA</v>
          </cell>
          <cell r="J2273">
            <v>9</v>
          </cell>
        </row>
        <row r="2274">
          <cell r="A2274" t="str">
            <v>2 PA - PARROQUIA SAN JUAN MARIA VIANNEY (NORTE)</v>
          </cell>
          <cell r="I2274">
            <v>20</v>
          </cell>
        </row>
        <row r="2275">
          <cell r="A2275" t="str">
            <v>696 - FU MINISTERIO BERAKHAH INTERNACIONAL CHEPO #1</v>
          </cell>
          <cell r="D2275">
            <v>8</v>
          </cell>
        </row>
        <row r="2276">
          <cell r="A2276" t="str">
            <v>472-FU FUNDACION TALITA CUMI</v>
          </cell>
          <cell r="D2276">
            <v>8</v>
          </cell>
        </row>
        <row r="2277">
          <cell r="A2277" t="str">
            <v>259 IG - ALCANCE VICTORIA PANAMÁ</v>
          </cell>
          <cell r="C2277">
            <v>72</v>
          </cell>
        </row>
        <row r="2278">
          <cell r="A2278" t="str">
            <v>300 ED - BENEFICIARIOS</v>
          </cell>
          <cell r="D2278">
            <v>22.5</v>
          </cell>
        </row>
        <row r="2279">
          <cell r="A2279" t="str">
            <v>657 - FU CENTRO COMUNITARIO MONTAÑAS DE ESPERANZA (RETIRO EN EL BAP)</v>
          </cell>
          <cell r="D2279">
            <v>20</v>
          </cell>
        </row>
        <row r="2280">
          <cell r="A2280" t="str">
            <v>630-IG MIN.INTL.DE CRISTO PAZ DE DIOS</v>
          </cell>
          <cell r="C2280">
            <v>68</v>
          </cell>
        </row>
        <row r="2281">
          <cell r="A2281" t="str">
            <v>195 ED - JUNTOS PODEMOS</v>
          </cell>
          <cell r="C2281">
            <v>80</v>
          </cell>
        </row>
        <row r="2282">
          <cell r="A2282" t="str">
            <v>670 - FU FUNDACION MINISTERIIO CRISTIANO EL REINO DE DIOS (ESTE)</v>
          </cell>
          <cell r="D2282">
            <v>20</v>
          </cell>
        </row>
        <row r="2283">
          <cell r="A2283" t="str">
            <v>235 FU - FUNDACION GRUPO ENVIADOS</v>
          </cell>
          <cell r="D2283">
            <v>40</v>
          </cell>
        </row>
        <row r="2284">
          <cell r="A2284" t="str">
            <v>451-IG IGLESIA MANANTIAL DE VIDA (ESTE)</v>
          </cell>
          <cell r="D2284">
            <v>20</v>
          </cell>
        </row>
        <row r="2285">
          <cell r="A2285" t="str">
            <v>597- IG MINISTERIO APOSTOLICO NEMUEL INTERNACIONAL</v>
          </cell>
          <cell r="D2285">
            <v>24</v>
          </cell>
        </row>
        <row r="2286">
          <cell r="A2286" t="str">
            <v>647 - IG CRISTO REY CAMBIANDO VIDAS (ESTE)</v>
          </cell>
          <cell r="D2286">
            <v>20</v>
          </cell>
        </row>
        <row r="2287">
          <cell r="A2287" t="str">
            <v>417-AS CLUB DE LEONES DE PEDREGAL (ESTE)</v>
          </cell>
          <cell r="D2287">
            <v>20</v>
          </cell>
        </row>
        <row r="2288">
          <cell r="A2288" t="str">
            <v>252 IG - MINISTERIO INTERNACIONAL DE AMISTADES CRISTIANAS</v>
          </cell>
          <cell r="D2288">
            <v>20</v>
          </cell>
        </row>
        <row r="2289">
          <cell r="A2289" t="str">
            <v>339-AS ASOCIACION RESIDENCIA LISBETH</v>
          </cell>
          <cell r="D2289">
            <v>12</v>
          </cell>
        </row>
        <row r="2290">
          <cell r="A2290" t="str">
            <v>672 - FU FUNDACION NUEVO PACTO POR LA NIÑEZ</v>
          </cell>
          <cell r="C2290">
            <v>20</v>
          </cell>
        </row>
        <row r="2291">
          <cell r="A2291" t="str">
            <v>719 FU FUNDACION VIDA NUEVA EL SHADDAI</v>
          </cell>
          <cell r="G2291">
            <v>4</v>
          </cell>
        </row>
        <row r="2292">
          <cell r="A2292" t="str">
            <v>54 FU - FUNDACIÓN CASA HOGAR EL BUEN SAMARITANO</v>
          </cell>
          <cell r="D2292">
            <v>40</v>
          </cell>
        </row>
        <row r="2293">
          <cell r="A2293" t="str">
            <v>684 - FU FUNDACION CASA DEL REY JESUS (CENTRO 2)</v>
          </cell>
          <cell r="C2293">
            <v>68</v>
          </cell>
        </row>
        <row r="2294">
          <cell r="A2294" t="str">
            <v>596 IG- IGLESIA EVANGELICA TRINITARIA DIOS FUENTE DE PODER</v>
          </cell>
          <cell r="C2294">
            <v>20</v>
          </cell>
        </row>
        <row r="2295">
          <cell r="A2295" t="str">
            <v>166 FU - FUNDACION CURAME</v>
          </cell>
          <cell r="C2295">
            <v>20</v>
          </cell>
        </row>
        <row r="2296">
          <cell r="A2296" t="str">
            <v>390-FU FUNDACION CRISTIANA FAMILIAR EL TALLER DEL MAESTRO (CENTRO1)</v>
          </cell>
          <cell r="C2296">
            <v>20</v>
          </cell>
        </row>
        <row r="2297">
          <cell r="A2297" t="str">
            <v>738- IG MINISTERIO DIOS CON NOSOTROS EMANUEL</v>
          </cell>
          <cell r="D2297">
            <v>44</v>
          </cell>
        </row>
        <row r="2298">
          <cell r="A2298" t="str">
            <v>743- ED CLUB FAMILIA DEPORTIVA</v>
          </cell>
          <cell r="C2298">
            <v>20</v>
          </cell>
        </row>
        <row r="2299">
          <cell r="A2299" t="str">
            <v>745-FU CASA DE MISERICORDIA</v>
          </cell>
          <cell r="C2299">
            <v>20</v>
          </cell>
        </row>
        <row r="2300">
          <cell r="A2300" t="str">
            <v>749-IG Ministerio Tabernáculo de Santidad Internación (Guararé)</v>
          </cell>
          <cell r="M2300">
            <v>4.5</v>
          </cell>
        </row>
        <row r="2301">
          <cell r="A2301" t="str">
            <v>613-FU FUNDACION INMARE</v>
          </cell>
          <cell r="K2301">
            <v>40.5</v>
          </cell>
        </row>
        <row r="2302">
          <cell r="A2302" t="str">
            <v>281-FU FUNDACIÓN CAMBIO CREATIVO</v>
          </cell>
          <cell r="H2302">
            <v>20</v>
          </cell>
        </row>
        <row r="2303">
          <cell r="A2303" t="str">
            <v>759-FU SOLO ES CUESTION DE FE</v>
          </cell>
          <cell r="D2303">
            <v>20</v>
          </cell>
        </row>
        <row r="2304">
          <cell r="A2304" t="str">
            <v>765-IG EXPANSION MISIONERA RIOS DE AGUA VIVA</v>
          </cell>
          <cell r="L2304">
            <v>13.5</v>
          </cell>
        </row>
        <row r="2305">
          <cell r="A2305" t="str">
            <v>766-IG MINISTERIO BET-EL</v>
          </cell>
          <cell r="O2305">
            <v>9</v>
          </cell>
        </row>
        <row r="2306">
          <cell r="A2306" t="str">
            <v>785-FU FUNDACION GOTAS DE ESPERANZA</v>
          </cell>
          <cell r="E2306">
            <v>24</v>
          </cell>
        </row>
        <row r="2307">
          <cell r="A2307" t="str">
            <v>789-FU Fundación Rescate de Alimentos</v>
          </cell>
          <cell r="C2307">
            <v>20</v>
          </cell>
        </row>
        <row r="2308">
          <cell r="A2308" t="str">
            <v>804-IG Templo Misionero Eclesiastés</v>
          </cell>
          <cell r="I2308">
            <v>20</v>
          </cell>
        </row>
        <row r="2309">
          <cell r="A2309" t="str">
            <v>661 - FU FUNDACION MAS INTEGRADOS (DARIEN)</v>
          </cell>
          <cell r="F2309">
            <v>40</v>
          </cell>
        </row>
        <row r="2310">
          <cell r="A2310" t="str">
            <v>253 FU - FUNDACIÓN PARA EL BIENESTAR SOCIAL (CENTRO2)</v>
          </cell>
          <cell r="C2310">
            <v>20</v>
          </cell>
        </row>
        <row r="2311">
          <cell r="A2311" t="str">
            <v>650 - IG ASOCIACION CRISTIANA EBEN - EZER #27 (ESTE)</v>
          </cell>
          <cell r="D2311">
            <v>20</v>
          </cell>
        </row>
        <row r="2312">
          <cell r="A2312" t="str">
            <v>756-FU Fundación Nuevas Rutas</v>
          </cell>
          <cell r="J2312">
            <v>36</v>
          </cell>
        </row>
        <row r="2313">
          <cell r="A2313" t="str">
            <v>770-IG CENTRO CRISTIANO NUEVA VIDA</v>
          </cell>
          <cell r="K2313">
            <v>9</v>
          </cell>
        </row>
        <row r="2314">
          <cell r="A2314" t="str">
            <v>827-FU Fundación Transformemos mi comunidad</v>
          </cell>
          <cell r="E2314">
            <v>20</v>
          </cell>
        </row>
        <row r="2315">
          <cell r="A2315" t="str">
            <v>PROCESADORA MONICA, S.A</v>
          </cell>
          <cell r="J2315">
            <v>22</v>
          </cell>
          <cell r="K2315">
            <v>58</v>
          </cell>
          <cell r="L2315">
            <v>4</v>
          </cell>
          <cell r="M2315">
            <v>14</v>
          </cell>
          <cell r="O2315">
            <v>32</v>
          </cell>
        </row>
        <row r="2316">
          <cell r="A2316" t="str">
            <v>668 - FU FUNDACION CRISTIANA LA FE EN MARCHA</v>
          </cell>
          <cell r="J2316">
            <v>2</v>
          </cell>
        </row>
        <row r="2317">
          <cell r="A2317" t="str">
            <v>644 - IG TEMPLO SENDA DE VIDA (CHIRIQUÍ)</v>
          </cell>
          <cell r="J2317">
            <v>20</v>
          </cell>
        </row>
        <row r="2318">
          <cell r="A2318" t="str">
            <v>750-IG MTSI Santiago</v>
          </cell>
          <cell r="M2318">
            <v>14</v>
          </cell>
        </row>
        <row r="2319">
          <cell r="A2319" t="str">
            <v>613-FU FUNDACION INMARE</v>
          </cell>
          <cell r="K2319">
            <v>58</v>
          </cell>
        </row>
        <row r="2320">
          <cell r="A2320" t="str">
            <v>766-IG MINISTERIO BET-EL</v>
          </cell>
          <cell r="O2320">
            <v>32</v>
          </cell>
        </row>
        <row r="2321">
          <cell r="A2321" t="str">
            <v>753-AS CLUB ACTIVO 20-30 DE CHITRE</v>
          </cell>
          <cell r="L2321">
            <v>4</v>
          </cell>
        </row>
        <row r="2322">
          <cell r="A2322" t="str">
            <v>SAMBU ARTISAN FOOD, S.A.</v>
          </cell>
          <cell r="C2322">
            <v>165</v>
          </cell>
          <cell r="D2322">
            <v>120</v>
          </cell>
          <cell r="E2322">
            <v>110</v>
          </cell>
          <cell r="F2322">
            <v>25</v>
          </cell>
          <cell r="G2322">
            <v>35</v>
          </cell>
          <cell r="H2322">
            <v>10</v>
          </cell>
          <cell r="I2322">
            <v>20</v>
          </cell>
        </row>
        <row r="2323">
          <cell r="A2323" t="str">
            <v>702 - FU MINISTERIO BERAKHAH INTERNACIONAL ARRAIJAN</v>
          </cell>
          <cell r="E2323">
            <v>5</v>
          </cell>
        </row>
        <row r="2324">
          <cell r="A2324" t="str">
            <v>298-FU - MINISTERIO FUENTE DE VIDA PARA EL PERDIDO</v>
          </cell>
          <cell r="F2324">
            <v>10</v>
          </cell>
        </row>
        <row r="2325">
          <cell r="A2325" t="str">
            <v>178 IG - TEMPLO ZURIEL EL REFUGIO</v>
          </cell>
          <cell r="G2325">
            <v>30</v>
          </cell>
        </row>
        <row r="2326">
          <cell r="A2326" t="str">
            <v>207 IG - IGLESIA CENTRO DE VIDA CRISTIANA</v>
          </cell>
          <cell r="D2326">
            <v>10</v>
          </cell>
        </row>
        <row r="2327">
          <cell r="A2327" t="str">
            <v>636- FU JAH - LIVE (JAHL) - COLON</v>
          </cell>
          <cell r="H2327">
            <v>10</v>
          </cell>
        </row>
        <row r="2328">
          <cell r="A2328" t="str">
            <v>365-IG COMEDOR HEFZIBA</v>
          </cell>
          <cell r="I2328">
            <v>5</v>
          </cell>
        </row>
        <row r="2329">
          <cell r="A2329" t="str">
            <v>635 TEMPLO ADULAM</v>
          </cell>
          <cell r="E2329">
            <v>5</v>
          </cell>
        </row>
        <row r="2330">
          <cell r="A2330" t="str">
            <v>687 - FU FUNDACION ARCA DE JESUS</v>
          </cell>
          <cell r="E2330">
            <v>10</v>
          </cell>
        </row>
        <row r="2331">
          <cell r="A2331" t="str">
            <v>187 IG - IGLESIA DE DIOS DE LA PROFECÍA</v>
          </cell>
          <cell r="D2331">
            <v>20</v>
          </cell>
        </row>
        <row r="2332">
          <cell r="A2332" t="str">
            <v>366-FU CENTRO MISIONERO EL SHADAI (ESTE)</v>
          </cell>
          <cell r="D2332">
            <v>15</v>
          </cell>
        </row>
        <row r="2333">
          <cell r="A2333" t="str">
            <v>498-FU COMEDOR NIÑOS DE BENDICION</v>
          </cell>
          <cell r="E2333">
            <v>5</v>
          </cell>
        </row>
        <row r="2334">
          <cell r="A2334" t="str">
            <v>211 IG - IGLESIA CRISTIANA KADOSH</v>
          </cell>
          <cell r="C2334">
            <v>5</v>
          </cell>
        </row>
        <row r="2335">
          <cell r="A2335" t="str">
            <v>368-FU MINISTERIO PACTO DE SANTIDAD</v>
          </cell>
          <cell r="C2335">
            <v>20</v>
          </cell>
        </row>
        <row r="2336">
          <cell r="A2336" t="str">
            <v>487-FU FUNDACION CASA AVE MARIA</v>
          </cell>
          <cell r="E2336">
            <v>75</v>
          </cell>
        </row>
        <row r="2337">
          <cell r="A2337" t="str">
            <v>2 PA - PARROQUIA SAN JUAN MARIA VIANNEY (NORTE)</v>
          </cell>
          <cell r="I2337">
            <v>10</v>
          </cell>
        </row>
        <row r="2338">
          <cell r="A2338" t="str">
            <v>472-FU FUNDACION TALITA CUMI</v>
          </cell>
          <cell r="D2338">
            <v>10</v>
          </cell>
        </row>
        <row r="2339">
          <cell r="A2339" t="str">
            <v>259 IG - ALCANCE VICTORIA PANAMÁ</v>
          </cell>
          <cell r="C2339">
            <v>35</v>
          </cell>
        </row>
        <row r="2340">
          <cell r="A2340" t="str">
            <v>657 - FU CENTRO COMUNITARIO MONTAÑAS DE ESPERANZA (RETIRO EN EL BAP)</v>
          </cell>
          <cell r="D2340">
            <v>40</v>
          </cell>
        </row>
        <row r="2341">
          <cell r="A2341" t="str">
            <v>630-IG MIN.INTL.DE CRISTO PAZ DE DIOS</v>
          </cell>
          <cell r="C2341">
            <v>15</v>
          </cell>
        </row>
        <row r="2342">
          <cell r="A2342" t="str">
            <v>698 - FU MINISTERIO BERAKHAH INTERNACIONAL PASO BLANCO</v>
          </cell>
          <cell r="D2342">
            <v>10</v>
          </cell>
        </row>
        <row r="2343">
          <cell r="A2343" t="str">
            <v>491-FU Fundación Aleluya</v>
          </cell>
          <cell r="G2343">
            <v>5</v>
          </cell>
        </row>
        <row r="2344">
          <cell r="A2344" t="str">
            <v>118 FU - FUNDACIÓN UN NUEVO AMANECER</v>
          </cell>
          <cell r="E2344">
            <v>10</v>
          </cell>
        </row>
        <row r="2345">
          <cell r="A2345" t="str">
            <v>684 - FU FUNDACION CASA DEL REY JESUS (CENTRO 2)</v>
          </cell>
          <cell r="C2345">
            <v>15</v>
          </cell>
        </row>
        <row r="2346">
          <cell r="A2346" t="str">
            <v>596 IG- IGLESIA EVANGELICA TRINITARIA DIOS FUENTE DE PODER</v>
          </cell>
          <cell r="C2346">
            <v>10</v>
          </cell>
        </row>
        <row r="2347">
          <cell r="A2347" t="str">
            <v>390-FU FUNDACION CRISTIANA FAMILIAR EL TALLER DEL MAESTRO (CENTRO1)</v>
          </cell>
          <cell r="C2347">
            <v>5</v>
          </cell>
        </row>
        <row r="2348">
          <cell r="A2348" t="str">
            <v>738- IG MINISTERIO DIOS CON NOSOTROS EMANUEL</v>
          </cell>
          <cell r="D2348">
            <v>10</v>
          </cell>
        </row>
        <row r="2349">
          <cell r="A2349" t="str">
            <v>745-FU CASA DE MISERICORDIA</v>
          </cell>
          <cell r="C2349">
            <v>5</v>
          </cell>
        </row>
        <row r="2350">
          <cell r="A2350" t="str">
            <v>793-FU Fundación Príncipes de Jehová</v>
          </cell>
          <cell r="I2350">
            <v>5</v>
          </cell>
        </row>
        <row r="2351">
          <cell r="A2351" t="str">
            <v>661 - FU FUNDACION MAS INTEGRADOS (DARIEN)</v>
          </cell>
          <cell r="F2351">
            <v>10</v>
          </cell>
        </row>
        <row r="2352">
          <cell r="A2352" t="str">
            <v>802-IG IGLESIA INTERNACIONAL DEL EVANGELIO CUADRANGULAR DE PANAMÁ</v>
          </cell>
          <cell r="C2352">
            <v>5</v>
          </cell>
        </row>
        <row r="2353">
          <cell r="A2353" t="str">
            <v>814-IG Templo Morada Santa</v>
          </cell>
          <cell r="F2353">
            <v>5</v>
          </cell>
        </row>
        <row r="2354">
          <cell r="A2354" t="str">
            <v>185 FU - FUNDACIÓN ABIA YALA</v>
          </cell>
          <cell r="C2354">
            <v>50</v>
          </cell>
        </row>
        <row r="2355">
          <cell r="A2355" t="str">
            <v>245-FU MINISTERIO BERAKHAH INTERNACIONAL CUENTA PRINCIPAL</v>
          </cell>
          <cell r="D2355">
            <v>5</v>
          </cell>
        </row>
        <row r="2356">
          <cell r="A2356" t="str">
            <v>NUEVO HUNG SHENG</v>
          </cell>
          <cell r="B2356">
            <v>28.8</v>
          </cell>
          <cell r="C2356">
            <v>68</v>
          </cell>
          <cell r="D2356">
            <v>140</v>
          </cell>
          <cell r="E2356">
            <v>90.57</v>
          </cell>
          <cell r="F2356">
            <v>3</v>
          </cell>
          <cell r="G2356">
            <v>15</v>
          </cell>
          <cell r="H2356">
            <v>13</v>
          </cell>
          <cell r="I2356">
            <v>29</v>
          </cell>
        </row>
        <row r="2357">
          <cell r="A2357" t="str">
            <v>662-IG MINISTERIO EVANGELICO EL APOSENTO ALTO (CENTRO 1)</v>
          </cell>
          <cell r="C2357">
            <v>5</v>
          </cell>
        </row>
        <row r="2358">
          <cell r="A2358" t="str">
            <v>298-FU - MINISTERIO FUENTE DE VIDA PARA EL PERDIDO</v>
          </cell>
          <cell r="F2358">
            <v>3</v>
          </cell>
        </row>
        <row r="2359">
          <cell r="A2359" t="str">
            <v>479-IG IGLESIA NUEVA ESPERANZA</v>
          </cell>
          <cell r="D2359">
            <v>3</v>
          </cell>
        </row>
        <row r="2360">
          <cell r="A2360" t="str">
            <v>104 AS - ASOCIACIÓN HOGAR FELICIDAD</v>
          </cell>
          <cell r="E2360">
            <v>5</v>
          </cell>
        </row>
        <row r="2361">
          <cell r="A2361" t="str">
            <v>207 IG - IGLESIA CENTRO DE VIDA CRISTIANA</v>
          </cell>
          <cell r="D2361">
            <v>26</v>
          </cell>
        </row>
        <row r="2362">
          <cell r="A2362" t="str">
            <v>636- FU JAH - LIVE (JAHL) - COLON</v>
          </cell>
          <cell r="H2362">
            <v>13</v>
          </cell>
        </row>
        <row r="2363">
          <cell r="A2363" t="str">
            <v>687 - FU FUNDACION ARCA DE JESUS</v>
          </cell>
          <cell r="E2363">
            <v>10.5</v>
          </cell>
        </row>
        <row r="2364">
          <cell r="A2364" t="str">
            <v>187 IG - IGLESIA DE DIOS DE LA PROFECÍA</v>
          </cell>
          <cell r="D2364">
            <v>9</v>
          </cell>
        </row>
        <row r="2365">
          <cell r="A2365" t="str">
            <v>695 - FU MINISTERIO BERAKHAH INTERNACIONAL 24 DIC</v>
          </cell>
          <cell r="D2365">
            <v>15</v>
          </cell>
        </row>
        <row r="2366">
          <cell r="A2366" t="str">
            <v>288 IG MINISTERIO EVANGELISTICO DE SANACION Y RESTAURACION, SENALES, MILAGROS Y MARAVILLAS (ESTE)</v>
          </cell>
          <cell r="D2366">
            <v>2</v>
          </cell>
        </row>
        <row r="2367">
          <cell r="A2367" t="str">
            <v>373-FU MINISTERIO INTERNACIONAL BOANERGES</v>
          </cell>
          <cell r="I2367">
            <v>3</v>
          </cell>
        </row>
        <row r="2368">
          <cell r="A2368" t="str">
            <v>261 - AS ASOCIACIÓN MINISTERIO SIRVIENDO A LA COMUNIDAD PARA JESUCRISTO</v>
          </cell>
          <cell r="C2368">
            <v>3</v>
          </cell>
        </row>
        <row r="2369">
          <cell r="A2369" t="str">
            <v>654 - IG M.I.A.F NUEVA JERUSALEN PANAMA (ESTE)</v>
          </cell>
          <cell r="D2369">
            <v>5</v>
          </cell>
        </row>
        <row r="2370">
          <cell r="A2370" t="str">
            <v>487-FU FUNDACION CASA AVE MARIA</v>
          </cell>
          <cell r="E2370">
            <v>41</v>
          </cell>
        </row>
        <row r="2371">
          <cell r="A2371" t="str">
            <v>696 - FU MINISTERIO BERAKHAH INTERNACIONAL CHEPO #1</v>
          </cell>
          <cell r="D2371">
            <v>1</v>
          </cell>
        </row>
        <row r="2372">
          <cell r="A2372" t="str">
            <v>472-FU FUNDACION TALITA CUMI</v>
          </cell>
          <cell r="D2372">
            <v>2</v>
          </cell>
        </row>
        <row r="2373">
          <cell r="A2373" t="str">
            <v>222 ED - MISERICORDIAR</v>
          </cell>
          <cell r="D2373">
            <v>3</v>
          </cell>
        </row>
        <row r="2374">
          <cell r="A2374" t="str">
            <v>259 IG - ALCANCE VICTORIA PANAMÁ</v>
          </cell>
          <cell r="C2374">
            <v>7</v>
          </cell>
        </row>
        <row r="2375">
          <cell r="A2375" t="str">
            <v>387-AS Asociacion ODSSAR-OBC</v>
          </cell>
          <cell r="D2375">
            <v>2</v>
          </cell>
        </row>
        <row r="2376">
          <cell r="A2376" t="str">
            <v>300 ED - BENEFICIARIOS</v>
          </cell>
          <cell r="D2376">
            <v>3</v>
          </cell>
        </row>
        <row r="2377">
          <cell r="A2377" t="str">
            <v>397-FU FUNDACION SHALOM PANAMA</v>
          </cell>
          <cell r="E2377">
            <v>3.07</v>
          </cell>
        </row>
        <row r="2378">
          <cell r="A2378" t="str">
            <v>195 ED - JUNTOS PODEMOS</v>
          </cell>
          <cell r="C2378">
            <v>8</v>
          </cell>
        </row>
        <row r="2379">
          <cell r="A2379" t="str">
            <v>653 - FU FUNDACION LUIS CARLOS DIAZ (OESTE)</v>
          </cell>
          <cell r="E2379">
            <v>4</v>
          </cell>
        </row>
        <row r="2380">
          <cell r="A2380" t="str">
            <v>423-FU FUNDACION CONSTRUYENDO VIDAS EN PANAMA</v>
          </cell>
          <cell r="E2380">
            <v>2</v>
          </cell>
        </row>
        <row r="2381">
          <cell r="A2381" t="str">
            <v>709 - FU FUNRECRISTO</v>
          </cell>
          <cell r="D2381">
            <v>3</v>
          </cell>
        </row>
        <row r="2382">
          <cell r="A2382" t="str">
            <v>116 AS - ASOCIACIÓN IGLESIA DE CRISTO ESTRELLA CRECIENTE</v>
          </cell>
          <cell r="D2382">
            <v>8</v>
          </cell>
        </row>
        <row r="2383">
          <cell r="A2383" t="str">
            <v>597- IG MINISTERIO APOSTOLICO NEMUEL INTERNACIONAL</v>
          </cell>
          <cell r="D2383">
            <v>7</v>
          </cell>
        </row>
        <row r="2384">
          <cell r="A2384" t="str">
            <v>252 IG - MINISTERIO INTERNACIONAL DE AMISTADES CRISTIANAS</v>
          </cell>
          <cell r="D2384">
            <v>2</v>
          </cell>
        </row>
        <row r="2385">
          <cell r="A2385" t="str">
            <v>339-AS ASOCIACION RESIDENCIA LISBETH</v>
          </cell>
          <cell r="D2385">
            <v>16</v>
          </cell>
        </row>
        <row r="2386">
          <cell r="A2386" t="str">
            <v>381-FU FUNDAMIDOM</v>
          </cell>
          <cell r="E2386">
            <v>10</v>
          </cell>
        </row>
        <row r="2387">
          <cell r="A2387" t="str">
            <v>491-FU Fundación Aleluya</v>
          </cell>
          <cell r="G2387">
            <v>4</v>
          </cell>
        </row>
        <row r="2388">
          <cell r="A2388" t="str">
            <v>642 - IG IGLESIA VIDA (CENTRO 1)</v>
          </cell>
          <cell r="C2388">
            <v>5</v>
          </cell>
        </row>
        <row r="2389">
          <cell r="A2389" t="str">
            <v>681 - FU FUNDACION NUEVA SOCIEDAD (NORTE)</v>
          </cell>
          <cell r="I2389">
            <v>1</v>
          </cell>
        </row>
        <row r="2390">
          <cell r="A2390" t="str">
            <v>377-FU CENTRO CRISTIANO CASA DE DIOS PANAMA</v>
          </cell>
          <cell r="G2390">
            <v>3</v>
          </cell>
        </row>
        <row r="2391">
          <cell r="A2391" t="str">
            <v>Retiro de Merma</v>
          </cell>
          <cell r="B2391">
            <v>28.8</v>
          </cell>
        </row>
        <row r="2392">
          <cell r="A2392" t="str">
            <v>360-IG IGLESIA CRISTIANA CASA DE REUNION</v>
          </cell>
          <cell r="G2392">
            <v>8</v>
          </cell>
        </row>
        <row r="2393">
          <cell r="A2393" t="str">
            <v>684 - FU FUNDACION CASA DEL REY JESUS (CENTRO 2)</v>
          </cell>
          <cell r="C2393">
            <v>6</v>
          </cell>
        </row>
        <row r="2394">
          <cell r="A2394" t="str">
            <v>596 IG- IGLESIA EVANGELICA TRINITARIA DIOS FUENTE DE PODER</v>
          </cell>
          <cell r="C2394">
            <v>13</v>
          </cell>
        </row>
        <row r="2395">
          <cell r="A2395" t="str">
            <v>707 - FU MINISTERIO BERAKHAH INTERNACIONAL CAIMITILLO</v>
          </cell>
          <cell r="I2395">
            <v>5</v>
          </cell>
        </row>
        <row r="2396">
          <cell r="A2396" t="str">
            <v>229 PA - PARROQUIA SAN CRISTOBAL DE CHEPO</v>
          </cell>
          <cell r="D2396">
            <v>17</v>
          </cell>
        </row>
        <row r="2397">
          <cell r="A2397" t="str">
            <v>738- IG MINISTERIO DIOS CON NOSOTROS EMANUEL</v>
          </cell>
          <cell r="D2397">
            <v>13</v>
          </cell>
        </row>
        <row r="2398">
          <cell r="A2398" t="str">
            <v>745-FU CASA DE MISERICORDIA</v>
          </cell>
          <cell r="C2398">
            <v>4</v>
          </cell>
        </row>
        <row r="2399">
          <cell r="A2399" t="str">
            <v>760-FU AYUDAME A VIVIR</v>
          </cell>
          <cell r="I2399">
            <v>9</v>
          </cell>
        </row>
        <row r="2400">
          <cell r="A2400" t="str">
            <v>758-FU RESTAURANDO EL PRIMER AMOR</v>
          </cell>
          <cell r="I2400">
            <v>3</v>
          </cell>
        </row>
        <row r="2401">
          <cell r="A2401" t="str">
            <v>785-FU FUNDACION GOTAS DE ESPERANZA</v>
          </cell>
          <cell r="E2401">
            <v>15</v>
          </cell>
        </row>
        <row r="2402">
          <cell r="A2402" t="str">
            <v>394-IG IGLESIA ESCUADRONES DEL EJERCITO DE DIOS (CENTRO2)</v>
          </cell>
          <cell r="C2402">
            <v>2</v>
          </cell>
        </row>
        <row r="2403">
          <cell r="A2403" t="str">
            <v>793-FU Fundación Príncipes de Jehová</v>
          </cell>
          <cell r="I2403">
            <v>2</v>
          </cell>
        </row>
        <row r="2404">
          <cell r="A2404" t="str">
            <v>791-FU FUNDACION DIVINO NINO JESUS DE MI CORAZON</v>
          </cell>
          <cell r="D2404">
            <v>3</v>
          </cell>
        </row>
        <row r="2405">
          <cell r="A2405" t="str">
            <v>375-FU Ministerio a Dios sea la Gloria</v>
          </cell>
          <cell r="C2405">
            <v>12</v>
          </cell>
        </row>
        <row r="2406">
          <cell r="A2406" t="str">
            <v>185 FU - FUNDACIÓN ABIA YALA</v>
          </cell>
          <cell r="C2406">
            <v>3</v>
          </cell>
        </row>
        <row r="2407">
          <cell r="A2407" t="str">
            <v>734-FU MINISTERIO DE SALVACION EL CAMINO DE DIOS</v>
          </cell>
          <cell r="I2407">
            <v>6</v>
          </cell>
        </row>
        <row r="2408">
          <cell r="A2408" t="str">
            <v>IMPORTADORA Y EXPORTADORA NIMAR</v>
          </cell>
          <cell r="C2408">
            <v>59</v>
          </cell>
          <cell r="D2408">
            <v>60</v>
          </cell>
          <cell r="E2408">
            <v>15</v>
          </cell>
          <cell r="G2408">
            <v>1</v>
          </cell>
          <cell r="H2408">
            <v>4</v>
          </cell>
          <cell r="I2408">
            <v>3</v>
          </cell>
        </row>
        <row r="2409">
          <cell r="A2409" t="str">
            <v>636- FU JAH - LIVE (JAHL) - COLON</v>
          </cell>
          <cell r="H2409">
            <v>2</v>
          </cell>
        </row>
        <row r="2410">
          <cell r="A2410" t="str">
            <v>635 TEMPLO ADULAM</v>
          </cell>
          <cell r="E2410">
            <v>2</v>
          </cell>
        </row>
        <row r="2411">
          <cell r="A2411" t="str">
            <v>687 - FU FUNDACION ARCA DE JESUS</v>
          </cell>
          <cell r="E2411">
            <v>2</v>
          </cell>
        </row>
        <row r="2412">
          <cell r="A2412" t="str">
            <v>218 ED - LOS PREFERIDOS DEL SEÑOR (CENTRO2)</v>
          </cell>
          <cell r="C2412">
            <v>20</v>
          </cell>
        </row>
        <row r="2413">
          <cell r="A2413" t="str">
            <v>187 IG - IGLESIA DE DIOS DE LA PROFECÍA</v>
          </cell>
          <cell r="D2413">
            <v>6</v>
          </cell>
        </row>
        <row r="2414">
          <cell r="A2414" t="str">
            <v>366-FU CENTRO MISIONERO EL SHADAI (ESTE)</v>
          </cell>
          <cell r="D2414">
            <v>4</v>
          </cell>
        </row>
        <row r="2415">
          <cell r="A2415" t="str">
            <v>498-FU COMEDOR NIÑOS DE BENDICION</v>
          </cell>
          <cell r="E2415">
            <v>2</v>
          </cell>
        </row>
        <row r="2416">
          <cell r="A2416" t="str">
            <v>288 IG MINISTERIO EVANGELISTICO DE SANACION Y RESTAURACION, SENALES, MILAGROS Y MARAVILLAS (ESTE)</v>
          </cell>
          <cell r="D2416">
            <v>4</v>
          </cell>
        </row>
        <row r="2417">
          <cell r="A2417" t="str">
            <v>197 FU FUNDACION SOCIAL CULTURAL Y AMBIENTAL DE VERACRUZ (OESTE)</v>
          </cell>
          <cell r="E2417">
            <v>2</v>
          </cell>
        </row>
        <row r="2418">
          <cell r="A2418" t="str">
            <v>183 ED - BELÉN CASA DE PAN (ESTE)</v>
          </cell>
          <cell r="D2418">
            <v>2</v>
          </cell>
        </row>
        <row r="2419">
          <cell r="A2419" t="str">
            <v>431-IG IGLESIA ADVENTISTA DISTRITO 8</v>
          </cell>
          <cell r="D2419">
            <v>2</v>
          </cell>
        </row>
        <row r="2420">
          <cell r="A2420" t="str">
            <v>696 - FU MINISTERIO BERAKHAH INTERNACIONAL CHEPO #1</v>
          </cell>
          <cell r="D2420">
            <v>3</v>
          </cell>
        </row>
        <row r="2421">
          <cell r="A2421" t="str">
            <v>222 ED - MISERICORDIAR</v>
          </cell>
          <cell r="D2421">
            <v>15</v>
          </cell>
        </row>
        <row r="2422">
          <cell r="A2422" t="str">
            <v>259 IG - ALCANCE VICTORIA PANAMÁ</v>
          </cell>
          <cell r="C2422">
            <v>6</v>
          </cell>
        </row>
        <row r="2423">
          <cell r="A2423" t="str">
            <v>630-IG MIN.INTL.DE CRISTO PAZ DE DIOS</v>
          </cell>
          <cell r="C2423">
            <v>6</v>
          </cell>
        </row>
        <row r="2424">
          <cell r="A2424" t="str">
            <v>195 ED - JUNTOS PODEMOS</v>
          </cell>
          <cell r="C2424">
            <v>3</v>
          </cell>
        </row>
        <row r="2425">
          <cell r="A2425" t="str">
            <v>670 - FU FUNDACION MINISTERIIO CRISTIANO EL REINO DE DIOS (ESTE)</v>
          </cell>
          <cell r="D2425">
            <v>3</v>
          </cell>
        </row>
        <row r="2426">
          <cell r="A2426" t="str">
            <v>235 FU - FUNDACION GRUPO ENVIADOS</v>
          </cell>
          <cell r="D2426">
            <v>6</v>
          </cell>
        </row>
        <row r="2427">
          <cell r="A2427" t="str">
            <v>417-AS CLUB DE LEONES DE PEDREGAL (ESTE)</v>
          </cell>
          <cell r="D2427">
            <v>2</v>
          </cell>
        </row>
        <row r="2428">
          <cell r="A2428" t="str">
            <v>339-AS ASOCIACION RESIDENCIA LISBETH</v>
          </cell>
          <cell r="D2428">
            <v>6</v>
          </cell>
        </row>
        <row r="2429">
          <cell r="A2429" t="str">
            <v>144 OR - HERMANAS DE SAN JOSÉ DE LA APARICIÓN (RETIRA EN EL BANCO)</v>
          </cell>
          <cell r="D2429">
            <v>2</v>
          </cell>
        </row>
        <row r="2430">
          <cell r="A2430" t="str">
            <v>377-FU CENTRO CRISTIANO CASA DE DIOS PANAMA</v>
          </cell>
          <cell r="G2430">
            <v>1</v>
          </cell>
        </row>
        <row r="2431">
          <cell r="A2431" t="str">
            <v>684 - FU FUNDACION CASA DEL REY JESUS (CENTRO 2)</v>
          </cell>
          <cell r="C2431">
            <v>2</v>
          </cell>
        </row>
        <row r="2432">
          <cell r="A2432" t="str">
            <v>723 ASOCIACION AQUI ESTOY</v>
          </cell>
          <cell r="E2432">
            <v>2</v>
          </cell>
        </row>
        <row r="2433">
          <cell r="A2433" t="str">
            <v>707 - FU MINISTERIO BERAKHAH INTERNACIONAL CAIMITILLO</v>
          </cell>
          <cell r="I2433">
            <v>3</v>
          </cell>
        </row>
        <row r="2434">
          <cell r="A2434" t="str">
            <v>229 PA - PARROQUIA SAN CRISTOBAL DE CHEPO</v>
          </cell>
          <cell r="D2434">
            <v>3</v>
          </cell>
        </row>
        <row r="2435">
          <cell r="A2435" t="str">
            <v>733-IG LA ORACION FUERTE AL ESPIRITU SANTO</v>
          </cell>
          <cell r="C2435">
            <v>1</v>
          </cell>
        </row>
        <row r="2436">
          <cell r="A2436" t="str">
            <v>281-FU FUNDACIÓN CAMBIO CREATIVO</v>
          </cell>
          <cell r="H2436">
            <v>2</v>
          </cell>
        </row>
        <row r="2437">
          <cell r="A2437" t="str">
            <v>275 IG CONCILIO GENERAL DE LAS ASAMBLEAS DE DIOS DE PANAMÁ</v>
          </cell>
          <cell r="C2437">
            <v>2</v>
          </cell>
        </row>
        <row r="2438">
          <cell r="A2438" t="str">
            <v>791-FU FUNDACION DIVINO NINO JESUS DE MI CORAZON</v>
          </cell>
          <cell r="D2438">
            <v>2</v>
          </cell>
        </row>
        <row r="2439">
          <cell r="A2439" t="str">
            <v>253 FU - FUNDACIÓN PARA EL BIENESTAR SOCIAL (CENTRO2)</v>
          </cell>
          <cell r="C2439">
            <v>2</v>
          </cell>
        </row>
        <row r="2440">
          <cell r="A2440" t="str">
            <v>496-AS CUERPO DE VOLUNTARIAS DEL HOSPITAL DEL NIÑO</v>
          </cell>
          <cell r="C2440">
            <v>15</v>
          </cell>
        </row>
        <row r="2441">
          <cell r="A2441" t="str">
            <v>471-FU FUNDACION BUSCANDO UNA OPORTUNIDAD</v>
          </cell>
          <cell r="E2441">
            <v>2</v>
          </cell>
        </row>
        <row r="2442">
          <cell r="A2442" t="str">
            <v>5 AS - ASOCIACIÓN DAME UNA OPORTUNIDAD</v>
          </cell>
          <cell r="C2442">
            <v>1</v>
          </cell>
        </row>
        <row r="2443">
          <cell r="A2443" t="str">
            <v>827-FU Fundación Transformemos mi comunidad</v>
          </cell>
          <cell r="E2443">
            <v>3</v>
          </cell>
        </row>
        <row r="2444">
          <cell r="A2444" t="str">
            <v>782-FU Fundación Calicanto</v>
          </cell>
          <cell r="C2444">
            <v>1</v>
          </cell>
        </row>
        <row r="2445">
          <cell r="A2445" t="str">
            <v>KERRY PANAMA, S.A.</v>
          </cell>
          <cell r="B2445">
            <v>19</v>
          </cell>
          <cell r="C2445">
            <v>10</v>
          </cell>
        </row>
        <row r="2446">
          <cell r="A2446" t="str">
            <v>Retiro de Merma</v>
          </cell>
          <cell r="B2446">
            <v>19</v>
          </cell>
        </row>
        <row r="2447">
          <cell r="A2447" t="str">
            <v>684 - FU FUNDACION CASA DEL REY JESUS (CENTRO 2)</v>
          </cell>
          <cell r="C2447">
            <v>10</v>
          </cell>
        </row>
        <row r="2448">
          <cell r="A2448" t="str">
            <v>CENTRAL AZUCARERO LA VICTORIA</v>
          </cell>
          <cell r="J2448">
            <v>66</v>
          </cell>
        </row>
        <row r="2449">
          <cell r="A2449" t="str">
            <v>284 - IG MINISTERIO PAN DE VIDA</v>
          </cell>
          <cell r="J2449">
            <v>6</v>
          </cell>
        </row>
        <row r="2450">
          <cell r="A2450" t="str">
            <v>668 - FU FUNDACION CRISTIANA LA FE EN MARCHA</v>
          </cell>
          <cell r="J2450">
            <v>18</v>
          </cell>
        </row>
        <row r="2451">
          <cell r="A2451" t="str">
            <v>644 - IG TEMPLO SENDA DE VIDA (CHIRIQUÍ)</v>
          </cell>
          <cell r="J2451">
            <v>10</v>
          </cell>
        </row>
        <row r="2452">
          <cell r="A2452" t="str">
            <v>756-FU Fundación Nuevas Rutas</v>
          </cell>
          <cell r="J2452">
            <v>32</v>
          </cell>
        </row>
        <row r="2453">
          <cell r="A2453" t="str">
            <v>Agro Export Pacific, S.A</v>
          </cell>
          <cell r="B2453">
            <v>65</v>
          </cell>
          <cell r="C2453">
            <v>994</v>
          </cell>
          <cell r="D2453">
            <v>3364</v>
          </cell>
          <cell r="E2453">
            <v>528</v>
          </cell>
          <cell r="F2453">
            <v>20</v>
          </cell>
          <cell r="G2453">
            <v>280</v>
          </cell>
          <cell r="H2453">
            <v>680</v>
          </cell>
          <cell r="I2453">
            <v>232</v>
          </cell>
          <cell r="J2453">
            <v>2991</v>
          </cell>
          <cell r="K2453">
            <v>1341</v>
          </cell>
          <cell r="L2453">
            <v>389</v>
          </cell>
          <cell r="M2453">
            <v>844</v>
          </cell>
        </row>
        <row r="2454">
          <cell r="A2454" t="str">
            <v>178 IG - TEMPLO ZURIEL EL REFUGIO</v>
          </cell>
          <cell r="G2454">
            <v>120</v>
          </cell>
        </row>
        <row r="2455">
          <cell r="A2455" t="str">
            <v>493-FU Comedor Jesús es mi Pastor</v>
          </cell>
          <cell r="D2455">
            <v>38</v>
          </cell>
        </row>
        <row r="2456">
          <cell r="A2456" t="str">
            <v>636- FU JAH - LIVE (JAHL) - COLON</v>
          </cell>
          <cell r="H2456">
            <v>580</v>
          </cell>
        </row>
        <row r="2457">
          <cell r="A2457" t="str">
            <v>224 OR MISIONERAS DE LA CARIDAD DE COLON</v>
          </cell>
          <cell r="H2457">
            <v>50</v>
          </cell>
        </row>
        <row r="2458">
          <cell r="A2458" t="str">
            <v>365-IG COMEDOR HEFZIBA</v>
          </cell>
          <cell r="I2458">
            <v>172</v>
          </cell>
        </row>
        <row r="2459">
          <cell r="A2459" t="str">
            <v>635 TEMPLO ADULAM</v>
          </cell>
          <cell r="E2459">
            <v>90</v>
          </cell>
        </row>
        <row r="2460">
          <cell r="A2460" t="str">
            <v>687 - FU FUNDACION ARCA DE JESUS</v>
          </cell>
          <cell r="E2460">
            <v>100</v>
          </cell>
        </row>
        <row r="2461">
          <cell r="A2461" t="str">
            <v>218 ED - LOS PREFERIDOS DEL SEÑOR (CENTRO2)</v>
          </cell>
          <cell r="C2461">
            <v>80</v>
          </cell>
        </row>
        <row r="2462">
          <cell r="A2462" t="str">
            <v>187 IG - IGLESIA DE DIOS DE LA PROFECÍA</v>
          </cell>
          <cell r="D2462">
            <v>433</v>
          </cell>
        </row>
        <row r="2463">
          <cell r="A2463" t="str">
            <v>321-IG IGLESIA DIOS ES MI PROVEEDOR Y SUSTENTO</v>
          </cell>
          <cell r="D2463">
            <v>95</v>
          </cell>
        </row>
        <row r="2464">
          <cell r="A2464" t="str">
            <v>111 FU - FUNDACIÓN NUESTRA SEÑORA DEL CAMINO</v>
          </cell>
          <cell r="J2464">
            <v>201</v>
          </cell>
        </row>
        <row r="2465">
          <cell r="A2465" t="str">
            <v>694 - FU MINISTERIO BERAKHAH INTERNACIONAL TOCUMEN #2</v>
          </cell>
          <cell r="D2465">
            <v>30</v>
          </cell>
        </row>
        <row r="2466">
          <cell r="A2466" t="str">
            <v>695 - FU MINISTERIO BERAKHAH INTERNACIONAL 24 DIC</v>
          </cell>
          <cell r="D2466">
            <v>58</v>
          </cell>
        </row>
        <row r="2467">
          <cell r="A2467" t="str">
            <v>366-FU CENTRO MISIONERO EL SHADAI (ESTE)</v>
          </cell>
          <cell r="D2467">
            <v>293</v>
          </cell>
        </row>
        <row r="2468">
          <cell r="A2468" t="str">
            <v>498-FU COMEDOR NIÑOS DE BENDICION</v>
          </cell>
          <cell r="E2468">
            <v>140</v>
          </cell>
        </row>
        <row r="2469">
          <cell r="A2469" t="str">
            <v>288 IG MINISTERIO EVANGELISTICO DE SANACION Y RESTAURACION, SENALES, MILAGROS Y MARAVILLAS (ESTE)</v>
          </cell>
          <cell r="D2469">
            <v>120</v>
          </cell>
        </row>
        <row r="2470">
          <cell r="A2470" t="str">
            <v>183 ED - BELÉN CASA DE PAN (ESTE)</v>
          </cell>
          <cell r="D2470">
            <v>54</v>
          </cell>
        </row>
        <row r="2471">
          <cell r="A2471" t="str">
            <v>691 - AR CARITAS ARQUIDIOCESANA</v>
          </cell>
          <cell r="C2471">
            <v>30</v>
          </cell>
        </row>
        <row r="2472">
          <cell r="A2472" t="str">
            <v>643 - IG TEMPLO PUERTA DEL CIELO (CHIRIQUI)</v>
          </cell>
          <cell r="J2472">
            <v>409</v>
          </cell>
        </row>
        <row r="2473">
          <cell r="A2473" t="str">
            <v>368-FU MINISTERIO PACTO DE SANTIDAD</v>
          </cell>
          <cell r="C2473">
            <v>100</v>
          </cell>
        </row>
        <row r="2474">
          <cell r="A2474" t="str">
            <v>487-FU FUNDACION CASA AVE MARIA</v>
          </cell>
          <cell r="E2474">
            <v>60</v>
          </cell>
        </row>
        <row r="2475">
          <cell r="A2475" t="str">
            <v>284 - IG MINISTERIO PAN DE VIDA</v>
          </cell>
          <cell r="J2475">
            <v>217</v>
          </cell>
        </row>
        <row r="2476">
          <cell r="A2476" t="str">
            <v>222 ED - MISERICORDIAR</v>
          </cell>
          <cell r="D2476">
            <v>130</v>
          </cell>
        </row>
        <row r="2477">
          <cell r="A2477" t="str">
            <v>259 IG - ALCANCE VICTORIA PANAMÁ</v>
          </cell>
          <cell r="C2477">
            <v>8</v>
          </cell>
        </row>
        <row r="2478">
          <cell r="A2478" t="str">
            <v>668 - FU FUNDACION CRISTIANA LA FE EN MARCHA</v>
          </cell>
          <cell r="J2478">
            <v>45</v>
          </cell>
        </row>
        <row r="2479">
          <cell r="A2479" t="str">
            <v>379-FU Fundacion Ministerio Apostolico Manantial de Vida</v>
          </cell>
          <cell r="H2479">
            <v>50</v>
          </cell>
        </row>
        <row r="2480">
          <cell r="A2480" t="str">
            <v>300 ED - BENEFICIARIOS</v>
          </cell>
          <cell r="D2480">
            <v>1067</v>
          </cell>
        </row>
        <row r="2481">
          <cell r="A2481" t="str">
            <v>630-IG MIN.INTL.DE CRISTO PAZ DE DIOS</v>
          </cell>
          <cell r="C2481">
            <v>278</v>
          </cell>
        </row>
        <row r="2482">
          <cell r="A2482" t="str">
            <v>260 IG - IGLESIA MISIONERA DE RESTAURACIÓN</v>
          </cell>
          <cell r="D2482">
            <v>30</v>
          </cell>
        </row>
        <row r="2483">
          <cell r="A2483" t="str">
            <v>397-FU FUNDACION SHALOM PANAMA</v>
          </cell>
          <cell r="E2483">
            <v>30</v>
          </cell>
        </row>
        <row r="2484">
          <cell r="A2484" t="str">
            <v>450-FU MINISTERIO DE RESTAURACION EFESIOS 4 (ESTE)</v>
          </cell>
          <cell r="D2484">
            <v>170</v>
          </cell>
        </row>
        <row r="2485">
          <cell r="A2485" t="str">
            <v>235 FU - FUNDACION GRUPO ENVIADOS</v>
          </cell>
          <cell r="D2485">
            <v>20</v>
          </cell>
        </row>
        <row r="2486">
          <cell r="A2486" t="str">
            <v>202 FU - FUNDACIÓN HOGAR SAN JOSÉ (ESTE)</v>
          </cell>
          <cell r="D2486">
            <v>108</v>
          </cell>
        </row>
        <row r="2487">
          <cell r="A2487" t="str">
            <v>116 AS - ASOCIACIÓN IGLESIA DE CRISTO ESTRELLA CRECIENTE</v>
          </cell>
          <cell r="D2487">
            <v>20</v>
          </cell>
        </row>
        <row r="2488">
          <cell r="A2488" t="str">
            <v>469-FU MINISTERIO CRISTIANO EL SHADAI</v>
          </cell>
          <cell r="D2488">
            <v>70</v>
          </cell>
        </row>
        <row r="2489">
          <cell r="A2489" t="str">
            <v>647 - IG CRISTO REY CAMBIANDO VIDAS (ESTE)</v>
          </cell>
          <cell r="D2489">
            <v>20</v>
          </cell>
        </row>
        <row r="2490">
          <cell r="A2490" t="str">
            <v>417-AS CLUB DE LEONES DE PEDREGAL (ESTE)</v>
          </cell>
          <cell r="D2490">
            <v>40</v>
          </cell>
        </row>
        <row r="2491">
          <cell r="A2491" t="str">
            <v>252 IG - MINISTERIO INTERNACIONAL DE AMISTADES CRISTIANAS</v>
          </cell>
          <cell r="D2491">
            <v>50</v>
          </cell>
        </row>
        <row r="2492">
          <cell r="A2492" t="str">
            <v>144 OR - HERMANAS DE SAN JOSÉ DE LA APARICIÓN (RETIRA EN EL BANCO)</v>
          </cell>
          <cell r="D2492">
            <v>218</v>
          </cell>
        </row>
        <row r="2493">
          <cell r="A2493" t="str">
            <v>94 OR - HOGAR SAN FRANCISCO DE ASÍS</v>
          </cell>
          <cell r="J2493">
            <v>176</v>
          </cell>
        </row>
        <row r="2494">
          <cell r="A2494" t="str">
            <v>Retiro de Merma</v>
          </cell>
          <cell r="B2494">
            <v>49</v>
          </cell>
        </row>
        <row r="2495">
          <cell r="A2495" t="str">
            <v>364-IG COMEDOR SHEKINA</v>
          </cell>
          <cell r="K2495">
            <v>514</v>
          </cell>
        </row>
        <row r="2496">
          <cell r="A2496" t="str">
            <v>672 - FU FUNDACION NUEVO PACTO POR LA NIÑEZ</v>
          </cell>
          <cell r="C2496">
            <v>30</v>
          </cell>
        </row>
        <row r="2497">
          <cell r="A2497" t="str">
            <v>360-IG IGLESIA CRISTIANA CASA DE REUNION</v>
          </cell>
          <cell r="G2497">
            <v>20</v>
          </cell>
        </row>
        <row r="2498">
          <cell r="A2498" t="str">
            <v>263 IG TABERNÁCULO DE DIOS DE SAN MIGUEL DEL EXQUISITO</v>
          </cell>
          <cell r="J2498">
            <v>349</v>
          </cell>
        </row>
        <row r="2499">
          <cell r="A2499" t="str">
            <v>719 FU FUNDACION VIDA NUEVA EL SHADDAI</v>
          </cell>
          <cell r="G2499">
            <v>140</v>
          </cell>
        </row>
        <row r="2500">
          <cell r="A2500" t="str">
            <v>710 - AS CLUB DE LEONES DE SONA</v>
          </cell>
          <cell r="M2500">
            <v>480</v>
          </cell>
        </row>
        <row r="2501">
          <cell r="A2501" t="str">
            <v>684 - FU FUNDACION CASA DEL REY JESUS (CENTRO 2)</v>
          </cell>
          <cell r="C2501">
            <v>65</v>
          </cell>
        </row>
        <row r="2502">
          <cell r="A2502" t="str">
            <v>229 PA - PARROQUIA SAN CRISTOBAL DE CHEPO</v>
          </cell>
          <cell r="D2502">
            <v>45</v>
          </cell>
        </row>
        <row r="2503">
          <cell r="A2503" t="str">
            <v>730-FU SOLIDARIDAD Y DESARROLLO DE PANAMA (VERAGUAS)</v>
          </cell>
          <cell r="M2503">
            <v>30</v>
          </cell>
        </row>
        <row r="2504">
          <cell r="A2504" t="str">
            <v>736-IG JESUS HACE MILAGROS</v>
          </cell>
          <cell r="J2504">
            <v>210</v>
          </cell>
        </row>
        <row r="2505">
          <cell r="A2505" t="str">
            <v>215 IG - IGLESIA INTERNACIONAL DEL EVANGELIO CUADRANGULAR DE (CHIRIQUÍ)</v>
          </cell>
          <cell r="J2505">
            <v>105</v>
          </cell>
        </row>
        <row r="2506">
          <cell r="A2506" t="str">
            <v>738- IG MINISTERIO DIOS CON NOSOTROS EMANUEL</v>
          </cell>
          <cell r="D2506">
            <v>10</v>
          </cell>
        </row>
        <row r="2507">
          <cell r="A2507" t="str">
            <v>743- ED CLUB FAMILIA DEPORTIVA</v>
          </cell>
          <cell r="C2507">
            <v>20</v>
          </cell>
        </row>
        <row r="2508">
          <cell r="A2508" t="str">
            <v>741-IG BUNKER DE ESPERANZA</v>
          </cell>
          <cell r="D2508">
            <v>210</v>
          </cell>
        </row>
        <row r="2509">
          <cell r="A2509" t="str">
            <v>750-IG MTSI Santiago</v>
          </cell>
          <cell r="M2509">
            <v>30</v>
          </cell>
        </row>
        <row r="2510">
          <cell r="A2510" t="str">
            <v>613-FU FUNDACION INMARE</v>
          </cell>
          <cell r="K2510">
            <v>443</v>
          </cell>
        </row>
        <row r="2511">
          <cell r="A2511" t="str">
            <v>275 IG CONCILIO GENERAL DE LAS ASAMBLEAS DE DIOS DE PANAMÁ</v>
          </cell>
          <cell r="C2511">
            <v>140</v>
          </cell>
        </row>
        <row r="2512">
          <cell r="A2512" t="str">
            <v>758-FU RESTAURANDO EL PRIMER AMOR</v>
          </cell>
          <cell r="I2512">
            <v>10</v>
          </cell>
        </row>
        <row r="2513">
          <cell r="A2513" t="str">
            <v>765-IG EXPANSION MISIONERA RIOS DE AGUA VIVA</v>
          </cell>
          <cell r="L2513">
            <v>197</v>
          </cell>
        </row>
        <row r="2514">
          <cell r="A2514" t="str">
            <v>394-IG IGLESIA ESCUADRONES DEL EJERCITO DE DIOS (CENTRO2)</v>
          </cell>
          <cell r="C2514">
            <v>91</v>
          </cell>
        </row>
        <row r="2515">
          <cell r="A2515" t="str">
            <v>789-FU Fundación Rescate de Alimentos</v>
          </cell>
          <cell r="C2515">
            <v>36</v>
          </cell>
        </row>
        <row r="2516">
          <cell r="A2516" t="str">
            <v>8 PA - PARROQUIA SAN JUAN DE MACARACAS</v>
          </cell>
          <cell r="B2516">
            <v>16</v>
          </cell>
        </row>
        <row r="2517">
          <cell r="A2517" t="str">
            <v>240 PA - PARROQUIA SAN JOSÉ - PESE</v>
          </cell>
          <cell r="L2517">
            <v>192</v>
          </cell>
        </row>
        <row r="2518">
          <cell r="A2518" t="str">
            <v>253 FU - FUNDACIÓN PARA EL BIENESTAR SOCIAL (CENTRO2)</v>
          </cell>
          <cell r="C2518">
            <v>116</v>
          </cell>
        </row>
        <row r="2519">
          <cell r="A2519" t="str">
            <v>463-FU MINISTERIO BERAKHAH INTERNACIONAL COMEDOR OASIS DE ESPERANZA (ESTE)</v>
          </cell>
          <cell r="D2519">
            <v>15</v>
          </cell>
        </row>
        <row r="2520">
          <cell r="A2520" t="str">
            <v>814-IG Templo Morada Santa</v>
          </cell>
          <cell r="F2520">
            <v>20</v>
          </cell>
        </row>
        <row r="2521">
          <cell r="A2521" t="str">
            <v>734-FU MINISTERIO DE SALVACION EL CAMINO DE DIOS</v>
          </cell>
          <cell r="I2521">
            <v>50</v>
          </cell>
        </row>
        <row r="2522">
          <cell r="A2522" t="str">
            <v>392-FU Fundacion Jerusalen Trono de Jehova III</v>
          </cell>
          <cell r="E2522">
            <v>108</v>
          </cell>
        </row>
        <row r="2523">
          <cell r="A2523" t="str">
            <v>756-FU Fundación Nuevas Rutas</v>
          </cell>
          <cell r="J2523">
            <v>1069</v>
          </cell>
        </row>
        <row r="2524">
          <cell r="A2524" t="str">
            <v>341-PA PARROQUIA SANTIAGO APOSTOL ALANJE (CHIRIQUÍ)</v>
          </cell>
          <cell r="J2524">
            <v>210</v>
          </cell>
        </row>
        <row r="2525">
          <cell r="A2525" t="str">
            <v>813-IG Comedor Centro De Esperanza Elohim</v>
          </cell>
          <cell r="K2525">
            <v>192</v>
          </cell>
        </row>
        <row r="2526">
          <cell r="A2526" t="str">
            <v>770-IG CENTRO CRISTIANO NUEVA VIDA</v>
          </cell>
          <cell r="K2526">
            <v>192</v>
          </cell>
        </row>
        <row r="2527">
          <cell r="A2527" t="str">
            <v>728-FU ANCEC SANTIAGO</v>
          </cell>
          <cell r="M2527">
            <v>304</v>
          </cell>
        </row>
        <row r="2528">
          <cell r="A2528" t="str">
            <v>245-FU MINISTERIO BERAKHAH INTERNACIONAL CUENTA PRINCIPAL</v>
          </cell>
          <cell r="D2528">
            <v>20</v>
          </cell>
        </row>
        <row r="2529">
          <cell r="A2529" t="str">
            <v>MELO FARMA, S.A.</v>
          </cell>
          <cell r="C2529">
            <v>16</v>
          </cell>
          <cell r="D2529">
            <v>29</v>
          </cell>
          <cell r="E2529">
            <v>6</v>
          </cell>
          <cell r="H2529">
            <v>6</v>
          </cell>
          <cell r="I2529">
            <v>10</v>
          </cell>
        </row>
        <row r="2530">
          <cell r="A2530" t="str">
            <v>104 AS - ASOCIACIÓN HOGAR FELICIDAD</v>
          </cell>
          <cell r="E2530">
            <v>2</v>
          </cell>
        </row>
        <row r="2531">
          <cell r="A2531" t="str">
            <v>636- FU JAH - LIVE (JAHL) - COLON</v>
          </cell>
          <cell r="H2531">
            <v>6</v>
          </cell>
        </row>
        <row r="2532">
          <cell r="A2532" t="str">
            <v>365-IG COMEDOR HEFZIBA</v>
          </cell>
          <cell r="I2532">
            <v>4</v>
          </cell>
        </row>
        <row r="2533">
          <cell r="A2533" t="str">
            <v>635 TEMPLO ADULAM</v>
          </cell>
          <cell r="E2533">
            <v>2</v>
          </cell>
        </row>
        <row r="2534">
          <cell r="A2534" t="str">
            <v>218 ED - LOS PREFERIDOS DEL SEÑOR (CENTRO2)</v>
          </cell>
          <cell r="C2534">
            <v>2</v>
          </cell>
        </row>
        <row r="2535">
          <cell r="A2535" t="str">
            <v>187 IG - IGLESIA DE DIOS DE LA PROFECÍA</v>
          </cell>
          <cell r="D2535">
            <v>16</v>
          </cell>
        </row>
        <row r="2536">
          <cell r="A2536" t="str">
            <v>695 - FU MINISTERIO BERAKHAH INTERNACIONAL 24 DIC</v>
          </cell>
          <cell r="D2536">
            <v>2</v>
          </cell>
        </row>
        <row r="2537">
          <cell r="A2537" t="str">
            <v>366-FU CENTRO MISIONERO EL SHADAI (ESTE)</v>
          </cell>
          <cell r="D2537">
            <v>4</v>
          </cell>
        </row>
        <row r="2538">
          <cell r="A2538" t="str">
            <v>630-IG MIN.INTL.DE CRISTO PAZ DE DIOS</v>
          </cell>
          <cell r="C2538">
            <v>2</v>
          </cell>
        </row>
        <row r="2539">
          <cell r="A2539" t="str">
            <v>195 ED - JUNTOS PODEMOS</v>
          </cell>
          <cell r="C2539">
            <v>4</v>
          </cell>
        </row>
        <row r="2540">
          <cell r="A2540" t="str">
            <v>417-AS CLUB DE LEONES DE PEDREGAL (ESTE)</v>
          </cell>
          <cell r="D2540">
            <v>5</v>
          </cell>
        </row>
        <row r="2541">
          <cell r="A2541" t="str">
            <v>327-PA - Parroquia la Santa Cruz</v>
          </cell>
          <cell r="I2541">
            <v>4</v>
          </cell>
        </row>
        <row r="2542">
          <cell r="A2542" t="str">
            <v>684 - FU FUNDACION CASA DEL REY JESUS (CENTRO 2)</v>
          </cell>
          <cell r="C2542">
            <v>2</v>
          </cell>
        </row>
        <row r="2543">
          <cell r="A2543" t="str">
            <v>166 FU - FUNDACION CURAME</v>
          </cell>
          <cell r="C2543">
            <v>2</v>
          </cell>
        </row>
        <row r="2544">
          <cell r="A2544" t="str">
            <v>737- ASOCIACION CRISTIANA EBEN-EZER (ESTE)</v>
          </cell>
          <cell r="D2544">
            <v>2</v>
          </cell>
        </row>
        <row r="2545">
          <cell r="A2545" t="str">
            <v>201 OR - MISIONERAS MADRE LAURA</v>
          </cell>
          <cell r="C2545">
            <v>2</v>
          </cell>
        </row>
        <row r="2546">
          <cell r="A2546" t="str">
            <v>785-FU FUNDACION GOTAS DE ESPERANZA</v>
          </cell>
          <cell r="E2546">
            <v>2</v>
          </cell>
        </row>
        <row r="2547">
          <cell r="A2547" t="str">
            <v>394-IG IGLESIA ESCUADRONES DEL EJERCITO DE DIOS (CENTRO2)</v>
          </cell>
          <cell r="C2547">
            <v>2</v>
          </cell>
        </row>
        <row r="2548">
          <cell r="A2548" t="str">
            <v>734-FU MINISTERIO DE SALVACION EL CAMINO DE DIOS</v>
          </cell>
          <cell r="I2548">
            <v>2</v>
          </cell>
        </row>
        <row r="2549">
          <cell r="A2549" t="str">
            <v>NEGOCIOS CENTROAMERICANOS, S.A</v>
          </cell>
          <cell r="C2549">
            <v>43</v>
          </cell>
          <cell r="D2549">
            <v>126</v>
          </cell>
          <cell r="E2549">
            <v>22</v>
          </cell>
          <cell r="G2549">
            <v>8</v>
          </cell>
          <cell r="H2549">
            <v>42</v>
          </cell>
          <cell r="I2549">
            <v>16</v>
          </cell>
        </row>
        <row r="2550">
          <cell r="A2550" t="str">
            <v>178 IG - TEMPLO ZURIEL EL REFUGIO</v>
          </cell>
          <cell r="G2550">
            <v>4</v>
          </cell>
        </row>
        <row r="2551">
          <cell r="A2551" t="str">
            <v>207 IG - IGLESIA CENTRO DE VIDA CRISTIANA</v>
          </cell>
          <cell r="D2551">
            <v>4</v>
          </cell>
        </row>
        <row r="2552">
          <cell r="A2552" t="str">
            <v>636- FU JAH - LIVE (JAHL) - COLON</v>
          </cell>
          <cell r="H2552">
            <v>27</v>
          </cell>
        </row>
        <row r="2553">
          <cell r="A2553" t="str">
            <v>470-FU IGLESIA MONTE SANTO</v>
          </cell>
          <cell r="D2553">
            <v>2</v>
          </cell>
        </row>
        <row r="2554">
          <cell r="A2554" t="str">
            <v>687 - FU FUNDACION ARCA DE JESUS</v>
          </cell>
          <cell r="E2554">
            <v>4</v>
          </cell>
        </row>
        <row r="2555">
          <cell r="A2555" t="str">
            <v>218 ED - LOS PREFERIDOS DEL SEÑOR (CENTRO2)</v>
          </cell>
          <cell r="C2555">
            <v>2</v>
          </cell>
        </row>
        <row r="2556">
          <cell r="A2556" t="str">
            <v>187 IG - IGLESIA DE DIOS DE LA PROFECÍA</v>
          </cell>
          <cell r="D2556">
            <v>25</v>
          </cell>
        </row>
        <row r="2557">
          <cell r="A2557" t="str">
            <v>321-IG IGLESIA DIOS ES MI PROVEEDOR Y SUSTENTO</v>
          </cell>
          <cell r="D2557">
            <v>2</v>
          </cell>
        </row>
        <row r="2558">
          <cell r="A2558" t="str">
            <v>695 - FU MINISTERIO BERAKHAH INTERNACIONAL 24 DIC</v>
          </cell>
          <cell r="D2558">
            <v>2</v>
          </cell>
        </row>
        <row r="2559">
          <cell r="A2559" t="str">
            <v>366-FU CENTRO MISIONERO EL SHADAI (ESTE)</v>
          </cell>
          <cell r="D2559">
            <v>12</v>
          </cell>
        </row>
        <row r="2560">
          <cell r="A2560" t="str">
            <v>498-FU COMEDOR NIÑOS DE BENDICION</v>
          </cell>
          <cell r="E2560">
            <v>10</v>
          </cell>
        </row>
        <row r="2561">
          <cell r="A2561" t="str">
            <v>288 IG MINISTERIO EVANGELISTICO DE SANACION Y RESTAURACION, SENALES, MILAGROS Y MARAVILLAS (ESTE)</v>
          </cell>
          <cell r="D2561">
            <v>30</v>
          </cell>
        </row>
        <row r="2562">
          <cell r="A2562" t="str">
            <v>373-FU MINISTERIO INTERNACIONAL BOANERGES</v>
          </cell>
          <cell r="I2562">
            <v>4</v>
          </cell>
        </row>
        <row r="2563">
          <cell r="A2563" t="str">
            <v>654 - IG M.I.A.F NUEVA JERUSALEN PANAMA (ESTE)</v>
          </cell>
          <cell r="D2563">
            <v>4</v>
          </cell>
        </row>
        <row r="2564">
          <cell r="A2564" t="str">
            <v>363-FU FUNDACION MINISTERIO DEL EVANGELIO ETERNO DEL REINO (NORTE)</v>
          </cell>
          <cell r="G2564">
            <v>2</v>
          </cell>
        </row>
        <row r="2565">
          <cell r="A2565" t="str">
            <v>259 IG - ALCANCE VICTORIA PANAMÁ</v>
          </cell>
          <cell r="C2565">
            <v>3</v>
          </cell>
        </row>
        <row r="2566">
          <cell r="A2566" t="str">
            <v>630-IG MIN.INTL.DE CRISTO PAZ DE DIOS</v>
          </cell>
          <cell r="C2566">
            <v>17</v>
          </cell>
        </row>
        <row r="2567">
          <cell r="A2567" t="str">
            <v>709 - FU FUNRECRISTO</v>
          </cell>
          <cell r="D2567">
            <v>4</v>
          </cell>
        </row>
        <row r="2568">
          <cell r="A2568" t="str">
            <v>235 FU - FUNDACION GRUPO ENVIADOS</v>
          </cell>
          <cell r="D2568">
            <v>15</v>
          </cell>
        </row>
        <row r="2569">
          <cell r="A2569" t="str">
            <v>597- IG MINISTERIO APOSTOLICO NEMUEL INTERNACIONAL</v>
          </cell>
          <cell r="D2569">
            <v>2</v>
          </cell>
        </row>
        <row r="2570">
          <cell r="A2570" t="str">
            <v>417-AS CLUB DE LEONES DE PEDREGAL (ESTE)</v>
          </cell>
          <cell r="D2570">
            <v>15</v>
          </cell>
        </row>
        <row r="2571">
          <cell r="A2571" t="str">
            <v>144 OR - HERMANAS DE SAN JOSÉ DE LA APARICIÓN (RETIRA EN EL BANCO)</v>
          </cell>
          <cell r="D2571">
            <v>2</v>
          </cell>
        </row>
        <row r="2572">
          <cell r="A2572" t="str">
            <v>381-FU FUNDAMIDOM</v>
          </cell>
          <cell r="E2572">
            <v>2</v>
          </cell>
        </row>
        <row r="2573">
          <cell r="A2573" t="str">
            <v>681 - FU FUNDACION NUEVA SOCIEDAD (NORTE)</v>
          </cell>
          <cell r="I2573">
            <v>4</v>
          </cell>
        </row>
        <row r="2574">
          <cell r="A2574" t="str">
            <v>360-IG IGLESIA CRISTIANA CASA DE REUNION</v>
          </cell>
          <cell r="G2574">
            <v>2</v>
          </cell>
        </row>
        <row r="2575">
          <cell r="A2575" t="str">
            <v>684 - FU FUNDACION CASA DEL REY JESUS (CENTRO 2)</v>
          </cell>
          <cell r="C2575">
            <v>4</v>
          </cell>
        </row>
        <row r="2576">
          <cell r="A2576" t="str">
            <v>229 PA - PARROQUIA SAN CRISTOBAL DE CHEPO</v>
          </cell>
          <cell r="D2576">
            <v>3</v>
          </cell>
        </row>
        <row r="2577">
          <cell r="A2577" t="str">
            <v>737- ASOCIACION CRISTIANA EBEN-EZER (ESTE)</v>
          </cell>
          <cell r="D2577">
            <v>2</v>
          </cell>
        </row>
        <row r="2578">
          <cell r="A2578" t="str">
            <v>760-FU AYUDAME A VIVIR</v>
          </cell>
          <cell r="I2578">
            <v>8</v>
          </cell>
        </row>
        <row r="2579">
          <cell r="A2579" t="str">
            <v>281-FU FUNDACIÓN CAMBIO CREATIVO</v>
          </cell>
          <cell r="H2579">
            <v>15</v>
          </cell>
        </row>
        <row r="2580">
          <cell r="A2580" t="str">
            <v>201 OR - MISIONERAS MADRE LAURA</v>
          </cell>
          <cell r="C2580">
            <v>2</v>
          </cell>
        </row>
        <row r="2581">
          <cell r="A2581" t="str">
            <v>785-FU FUNDACION GOTAS DE ESPERANZA</v>
          </cell>
          <cell r="E2581">
            <v>6</v>
          </cell>
        </row>
        <row r="2582">
          <cell r="A2582" t="str">
            <v>424-AS MINISTERIO EL PODER DE LA SANGRE QUE LIBERTA (ESTE)</v>
          </cell>
          <cell r="D2582">
            <v>2</v>
          </cell>
        </row>
        <row r="2583">
          <cell r="A2583" t="str">
            <v>253 FU - FUNDACIÓN PARA EL BIENESTAR SOCIAL (CENTRO2)</v>
          </cell>
          <cell r="C2583">
            <v>15</v>
          </cell>
        </row>
        <row r="2584">
          <cell r="A2584" t="str">
            <v>COOLBOX FRESIA CORP.</v>
          </cell>
          <cell r="D2584">
            <v>6</v>
          </cell>
          <cell r="E2584">
            <v>6</v>
          </cell>
        </row>
        <row r="2585">
          <cell r="A2585" t="str">
            <v>687 - FU FUNDACION ARCA DE JESUS</v>
          </cell>
          <cell r="E2585">
            <v>3</v>
          </cell>
        </row>
        <row r="2586">
          <cell r="A2586" t="str">
            <v>696 - FU MINISTERIO BERAKHAH INTERNACIONAL CHEPO #1</v>
          </cell>
          <cell r="D2586">
            <v>3</v>
          </cell>
        </row>
        <row r="2587">
          <cell r="A2587" t="str">
            <v>381-FU FUNDAMIDOM</v>
          </cell>
          <cell r="E2587">
            <v>3</v>
          </cell>
        </row>
        <row r="2588">
          <cell r="A2588" t="str">
            <v>741-IG BUNKER DE ESPERANZA</v>
          </cell>
          <cell r="D2588">
            <v>3</v>
          </cell>
        </row>
        <row r="2589">
          <cell r="A2589" t="str">
            <v>GOLD MILLS</v>
          </cell>
          <cell r="C2589">
            <v>70</v>
          </cell>
          <cell r="D2589">
            <v>202</v>
          </cell>
          <cell r="E2589">
            <v>52</v>
          </cell>
          <cell r="G2589">
            <v>22</v>
          </cell>
          <cell r="H2589">
            <v>106</v>
          </cell>
          <cell r="I2589">
            <v>6</v>
          </cell>
        </row>
        <row r="2590">
          <cell r="A2590" t="str">
            <v>209 IG - TEMPLO MISIONERO CRISTO TE LLAMA</v>
          </cell>
          <cell r="D2590">
            <v>12</v>
          </cell>
        </row>
        <row r="2591">
          <cell r="A2591" t="str">
            <v>178 IG - TEMPLO ZURIEL EL REFUGIO</v>
          </cell>
          <cell r="G2591">
            <v>20</v>
          </cell>
        </row>
        <row r="2592">
          <cell r="A2592" t="str">
            <v>636- FU JAH - LIVE (JAHL) - COLON</v>
          </cell>
          <cell r="H2592">
            <v>86</v>
          </cell>
        </row>
        <row r="2593">
          <cell r="A2593" t="str">
            <v>365-IG COMEDOR HEFZIBA</v>
          </cell>
          <cell r="I2593">
            <v>6</v>
          </cell>
        </row>
        <row r="2594">
          <cell r="A2594" t="str">
            <v>687 - FU FUNDACION ARCA DE JESUS</v>
          </cell>
          <cell r="E2594">
            <v>4</v>
          </cell>
        </row>
        <row r="2595">
          <cell r="A2595" t="str">
            <v>218 ED - LOS PREFERIDOS DEL SEÑOR (CENTRO2)</v>
          </cell>
          <cell r="C2595">
            <v>10</v>
          </cell>
        </row>
        <row r="2596">
          <cell r="A2596" t="str">
            <v>187 IG - IGLESIA DE DIOS DE LA PROFECÍA</v>
          </cell>
          <cell r="D2596">
            <v>44</v>
          </cell>
        </row>
        <row r="2597">
          <cell r="A2597" t="str">
            <v>321-IG IGLESIA DIOS ES MI PROVEEDOR Y SUSTENTO</v>
          </cell>
          <cell r="D2597">
            <v>20</v>
          </cell>
        </row>
        <row r="2598">
          <cell r="A2598" t="str">
            <v>694 - FU MINISTERIO BERAKHAH INTERNACIONAL TOCUMEN #2</v>
          </cell>
          <cell r="D2598">
            <v>6</v>
          </cell>
        </row>
        <row r="2599">
          <cell r="A2599" t="str">
            <v>695 - FU MINISTERIO BERAKHAH INTERNACIONAL 24 DIC</v>
          </cell>
          <cell r="D2599">
            <v>8</v>
          </cell>
        </row>
        <row r="2600">
          <cell r="A2600" t="str">
            <v>366-FU CENTRO MISIONERO EL SHADAI (ESTE)</v>
          </cell>
          <cell r="D2600">
            <v>16</v>
          </cell>
        </row>
        <row r="2601">
          <cell r="A2601" t="str">
            <v>498-FU COMEDOR NIÑOS DE BENDICION</v>
          </cell>
          <cell r="E2601">
            <v>4</v>
          </cell>
        </row>
        <row r="2602">
          <cell r="A2602" t="str">
            <v>288 IG MINISTERIO EVANGELISTICO DE SANACION Y RESTAURACION, SENALES, MILAGROS Y MARAVILLAS (ESTE)</v>
          </cell>
          <cell r="D2602">
            <v>8</v>
          </cell>
        </row>
        <row r="2603">
          <cell r="A2603" t="str">
            <v>431-IG IGLESIA ADVENTISTA DISTRITO 8</v>
          </cell>
          <cell r="D2603">
            <v>4</v>
          </cell>
        </row>
        <row r="2604">
          <cell r="A2604" t="str">
            <v>368-FU MINISTERIO PACTO DE SANTIDAD</v>
          </cell>
          <cell r="C2604">
            <v>10</v>
          </cell>
        </row>
        <row r="2605">
          <cell r="A2605" t="str">
            <v>487-FU FUNDACION CASA AVE MARIA</v>
          </cell>
          <cell r="E2605">
            <v>40</v>
          </cell>
        </row>
        <row r="2606">
          <cell r="A2606" t="str">
            <v>222 ED - MISERICORDIAR</v>
          </cell>
          <cell r="D2606">
            <v>24</v>
          </cell>
        </row>
        <row r="2607">
          <cell r="A2607" t="str">
            <v>379-FU Fundacion Ministerio Apostolico Manantial de Vida</v>
          </cell>
          <cell r="H2607">
            <v>20</v>
          </cell>
        </row>
        <row r="2608">
          <cell r="A2608" t="str">
            <v>630-IG MIN.INTL.DE CRISTO PAZ DE DIOS</v>
          </cell>
          <cell r="C2608">
            <v>20</v>
          </cell>
        </row>
        <row r="2609">
          <cell r="A2609" t="str">
            <v>450-FU MINISTERIO DE RESTAURACION EFESIOS 4 (ESTE)</v>
          </cell>
          <cell r="D2609">
            <v>16</v>
          </cell>
        </row>
        <row r="2610">
          <cell r="A2610" t="str">
            <v>202 FU - FUNDACIÓN HOGAR SAN JOSÉ (ESTE)</v>
          </cell>
          <cell r="D2610">
            <v>4</v>
          </cell>
        </row>
        <row r="2611">
          <cell r="A2611" t="str">
            <v>144 OR - HERMANAS DE SAN JOSÉ DE LA APARICIÓN (RETIRA EN EL BANCO)</v>
          </cell>
          <cell r="D2611">
            <v>14</v>
          </cell>
        </row>
        <row r="2612">
          <cell r="A2612" t="str">
            <v>672 - FU FUNDACION NUEVO PACTO POR LA NIÑEZ</v>
          </cell>
          <cell r="C2612">
            <v>6</v>
          </cell>
        </row>
        <row r="2613">
          <cell r="A2613" t="str">
            <v>719 FU FUNDACION VIDA NUEVA EL SHADDAI</v>
          </cell>
          <cell r="G2613">
            <v>2</v>
          </cell>
        </row>
        <row r="2614">
          <cell r="A2614" t="str">
            <v>54 FU - FUNDACIÓN CASA HOGAR EL BUEN SAMARITANO</v>
          </cell>
          <cell r="D2614">
            <v>20</v>
          </cell>
        </row>
        <row r="2615">
          <cell r="A2615" t="str">
            <v>684 - FU FUNDACION CASA DEL REY JESUS (CENTRO 2)</v>
          </cell>
          <cell r="C2615">
            <v>12</v>
          </cell>
        </row>
        <row r="2616">
          <cell r="A2616" t="str">
            <v>741-IG BUNKER DE ESPERANZA</v>
          </cell>
          <cell r="D2616">
            <v>6</v>
          </cell>
        </row>
        <row r="2617">
          <cell r="A2617" t="str">
            <v>275 IG CONCILIO GENERAL DE LAS ASAMBLEAS DE DIOS DE PANAMÁ</v>
          </cell>
          <cell r="C2617">
            <v>4</v>
          </cell>
        </row>
        <row r="2618">
          <cell r="A2618" t="str">
            <v>253 FU - FUNDACIÓN PARA EL BIENESTAR SOCIAL (CENTRO2)</v>
          </cell>
          <cell r="C2618">
            <v>8</v>
          </cell>
        </row>
        <row r="2619">
          <cell r="A2619" t="str">
            <v>392-FU Fundacion Jerusalen Trono de Jehova III</v>
          </cell>
          <cell r="E2619">
            <v>4</v>
          </cell>
        </row>
        <row r="2620">
          <cell r="A2620" t="str">
            <v>CERRO PUNTA, S.A</v>
          </cell>
          <cell r="C2620">
            <v>210</v>
          </cell>
          <cell r="D2620">
            <v>275</v>
          </cell>
          <cell r="E2620">
            <v>75</v>
          </cell>
          <cell r="G2620">
            <v>60</v>
          </cell>
          <cell r="H2620">
            <v>15</v>
          </cell>
          <cell r="I2620">
            <v>60</v>
          </cell>
          <cell r="J2620">
            <v>15</v>
          </cell>
        </row>
        <row r="2621">
          <cell r="A2621" t="str">
            <v>178 IG - TEMPLO ZURIEL EL REFUGIO</v>
          </cell>
          <cell r="G2621">
            <v>60</v>
          </cell>
        </row>
        <row r="2622">
          <cell r="A2622" t="str">
            <v>636- FU JAH - LIVE (JAHL) - COLON</v>
          </cell>
          <cell r="H2622">
            <v>15</v>
          </cell>
        </row>
        <row r="2623">
          <cell r="A2623" t="str">
            <v>365-IG COMEDOR HEFZIBA</v>
          </cell>
          <cell r="I2623">
            <v>15</v>
          </cell>
        </row>
        <row r="2624">
          <cell r="A2624" t="str">
            <v>635 TEMPLO ADULAM</v>
          </cell>
          <cell r="E2624">
            <v>15</v>
          </cell>
        </row>
        <row r="2625">
          <cell r="A2625" t="str">
            <v>470-FU IGLESIA MONTE SANTO</v>
          </cell>
          <cell r="D2625">
            <v>10</v>
          </cell>
        </row>
        <row r="2626">
          <cell r="A2626" t="str">
            <v>687 - FU FUNDACION ARCA DE JESUS</v>
          </cell>
          <cell r="E2626">
            <v>15</v>
          </cell>
        </row>
        <row r="2627">
          <cell r="A2627" t="str">
            <v>218 ED - LOS PREFERIDOS DEL SEÑOR (CENTRO2)</v>
          </cell>
          <cell r="C2627">
            <v>45</v>
          </cell>
        </row>
        <row r="2628">
          <cell r="A2628" t="str">
            <v>187 IG - IGLESIA DE DIOS DE LA PROFECÍA</v>
          </cell>
          <cell r="D2628">
            <v>55</v>
          </cell>
        </row>
        <row r="2629">
          <cell r="A2629" t="str">
            <v>321-IG IGLESIA DIOS ES MI PROVEEDOR Y SUSTENTO</v>
          </cell>
          <cell r="D2629">
            <v>55</v>
          </cell>
        </row>
        <row r="2630">
          <cell r="A2630" t="str">
            <v>366-FU CENTRO MISIONERO EL SHADAI (ESTE)</v>
          </cell>
          <cell r="D2630">
            <v>15</v>
          </cell>
        </row>
        <row r="2631">
          <cell r="A2631" t="str">
            <v>498-FU COMEDOR NIÑOS DE BENDICION</v>
          </cell>
          <cell r="E2631">
            <v>15</v>
          </cell>
        </row>
        <row r="2632">
          <cell r="A2632" t="str">
            <v>197 FU FUNDACION SOCIAL CULTURAL Y AMBIENTAL DE VERACRUZ (OESTE)</v>
          </cell>
          <cell r="E2632">
            <v>15</v>
          </cell>
        </row>
        <row r="2633">
          <cell r="A2633" t="str">
            <v>183 ED - BELÉN CASA DE PAN (ESTE)</v>
          </cell>
          <cell r="D2633">
            <v>15</v>
          </cell>
        </row>
        <row r="2634">
          <cell r="A2634" t="str">
            <v>668 - FU FUNDACION CRISTIANA LA FE EN MARCHA</v>
          </cell>
          <cell r="J2634">
            <v>15</v>
          </cell>
        </row>
        <row r="2635">
          <cell r="A2635" t="str">
            <v>630-IG MIN.INTL.DE CRISTO PAZ DE DIOS</v>
          </cell>
          <cell r="C2635">
            <v>60</v>
          </cell>
        </row>
        <row r="2636">
          <cell r="A2636" t="str">
            <v>469-FU MINISTERIO CRISTIANO EL SHADAI</v>
          </cell>
          <cell r="D2636">
            <v>10</v>
          </cell>
        </row>
        <row r="2637">
          <cell r="A2637" t="str">
            <v>144 OR - HERMANAS DE SAN JOSÉ DE LA APARICIÓN (RETIRA EN EL BANCO)</v>
          </cell>
          <cell r="D2637">
            <v>45</v>
          </cell>
        </row>
        <row r="2638">
          <cell r="A2638" t="str">
            <v>681 - FU FUNDACION NUEVA SOCIEDAD (NORTE)</v>
          </cell>
          <cell r="I2638">
            <v>45</v>
          </cell>
        </row>
        <row r="2639">
          <cell r="A2639" t="str">
            <v>656 - FU FUNDACION COCINA DEL REINO Y AMIGOS (CENTRO 1)</v>
          </cell>
          <cell r="C2639">
            <v>15</v>
          </cell>
        </row>
        <row r="2640">
          <cell r="A2640" t="str">
            <v>684 - FU FUNDACION CASA DEL REY JESUS (CENTRO 2)</v>
          </cell>
          <cell r="C2640">
            <v>45</v>
          </cell>
        </row>
        <row r="2641">
          <cell r="A2641" t="str">
            <v>229 PA - PARROQUIA SAN CRISTOBAL DE CHEPO</v>
          </cell>
          <cell r="D2641">
            <v>20</v>
          </cell>
        </row>
        <row r="2642">
          <cell r="A2642" t="str">
            <v>737- ASOCIACION CRISTIANA EBEN-EZER (ESTE)</v>
          </cell>
          <cell r="D2642">
            <v>45</v>
          </cell>
        </row>
        <row r="2643">
          <cell r="A2643" t="str">
            <v>738- IG MINISTERIO DIOS CON NOSOTROS EMANUEL</v>
          </cell>
          <cell r="D2643">
            <v>5</v>
          </cell>
        </row>
        <row r="2644">
          <cell r="A2644" t="str">
            <v>201 OR - MISIONERAS MADRE LAURA</v>
          </cell>
          <cell r="C2644">
            <v>45</v>
          </cell>
        </row>
        <row r="2645">
          <cell r="A2645" t="str">
            <v>598- IG IGLESIA GLORIA TRANSFORMADORA SHEKINAH</v>
          </cell>
          <cell r="E2645">
            <v>15</v>
          </cell>
        </row>
        <row r="2646">
          <cell r="A2646" t="str">
            <v>MARTIN BROWER</v>
          </cell>
          <cell r="C2646">
            <v>146</v>
          </cell>
          <cell r="D2646">
            <v>241</v>
          </cell>
          <cell r="E2646">
            <v>41.5</v>
          </cell>
          <cell r="F2646">
            <v>8</v>
          </cell>
          <cell r="G2646">
            <v>49</v>
          </cell>
          <cell r="H2646">
            <v>18</v>
          </cell>
          <cell r="I2646">
            <v>18</v>
          </cell>
          <cell r="L2646">
            <v>6</v>
          </cell>
        </row>
        <row r="2647">
          <cell r="A2647" t="str">
            <v>479-IG IGLESIA NUEVA ESPERANZA</v>
          </cell>
          <cell r="D2647">
            <v>6</v>
          </cell>
        </row>
        <row r="2648">
          <cell r="A2648" t="str">
            <v>178 IG - TEMPLO ZURIEL EL REFUGIO</v>
          </cell>
          <cell r="G2648">
            <v>15</v>
          </cell>
        </row>
        <row r="2649">
          <cell r="A2649" t="str">
            <v>207 IG - IGLESIA CENTRO DE VIDA CRISTIANA</v>
          </cell>
          <cell r="D2649">
            <v>6</v>
          </cell>
        </row>
        <row r="2650">
          <cell r="A2650" t="str">
            <v>493-FU Comedor Jesús es mi Pastor</v>
          </cell>
          <cell r="D2650">
            <v>8</v>
          </cell>
        </row>
        <row r="2651">
          <cell r="A2651" t="str">
            <v>636- FU JAH - LIVE (JAHL) - COLON</v>
          </cell>
          <cell r="H2651">
            <v>6</v>
          </cell>
        </row>
        <row r="2652">
          <cell r="A2652" t="str">
            <v>635 TEMPLO ADULAM</v>
          </cell>
          <cell r="E2652">
            <v>3</v>
          </cell>
        </row>
        <row r="2653">
          <cell r="A2653" t="str">
            <v>470-FU IGLESIA MONTE SANTO</v>
          </cell>
          <cell r="D2653">
            <v>1.5</v>
          </cell>
        </row>
        <row r="2654">
          <cell r="A2654" t="str">
            <v>687 - FU FUNDACION ARCA DE JESUS</v>
          </cell>
          <cell r="E2654">
            <v>11</v>
          </cell>
        </row>
        <row r="2655">
          <cell r="A2655" t="str">
            <v>218 ED - LOS PREFERIDOS DEL SEÑOR (CENTRO2)</v>
          </cell>
          <cell r="C2655">
            <v>7</v>
          </cell>
        </row>
        <row r="2656">
          <cell r="A2656" t="str">
            <v>187 IG - IGLESIA DE DIOS DE LA PROFECÍA</v>
          </cell>
          <cell r="D2656">
            <v>10</v>
          </cell>
        </row>
        <row r="2657">
          <cell r="A2657" t="str">
            <v>321-IG IGLESIA DIOS ES MI PROVEEDOR Y SUSTENTO</v>
          </cell>
          <cell r="D2657">
            <v>4</v>
          </cell>
        </row>
        <row r="2658">
          <cell r="A2658" t="str">
            <v>694 - FU MINISTERIO BERAKHAH INTERNACIONAL TOCUMEN #2</v>
          </cell>
          <cell r="D2658">
            <v>10</v>
          </cell>
        </row>
        <row r="2659">
          <cell r="A2659" t="str">
            <v>695 - FU MINISTERIO BERAKHAH INTERNACIONAL 24 DIC</v>
          </cell>
          <cell r="D2659">
            <v>3</v>
          </cell>
        </row>
        <row r="2660">
          <cell r="A2660" t="str">
            <v>444-FU MINISTERIO BERAKHAH INTERNACIONAL COMEDOR LAS GARZAS #1</v>
          </cell>
          <cell r="D2660">
            <v>9</v>
          </cell>
        </row>
        <row r="2661">
          <cell r="A2661" t="str">
            <v>366-FU CENTRO MISIONERO EL SHADAI (ESTE)</v>
          </cell>
          <cell r="D2661">
            <v>3</v>
          </cell>
        </row>
        <row r="2662">
          <cell r="A2662" t="str">
            <v>498-FU COMEDOR NIÑOS DE BENDICION</v>
          </cell>
          <cell r="E2662">
            <v>3</v>
          </cell>
        </row>
        <row r="2663">
          <cell r="A2663" t="str">
            <v>288 IG MINISTERIO EVANGELISTICO DE SANACION Y RESTAURACION, SENALES, MILAGROS Y MARAVILLAS (ESTE)</v>
          </cell>
          <cell r="D2663">
            <v>3</v>
          </cell>
        </row>
        <row r="2664">
          <cell r="A2664" t="str">
            <v>373-FU MINISTERIO INTERNACIONAL BOANERGES</v>
          </cell>
          <cell r="I2664">
            <v>11</v>
          </cell>
        </row>
        <row r="2665">
          <cell r="A2665" t="str">
            <v>183 ED - BELÉN CASA DE PAN (ESTE)</v>
          </cell>
          <cell r="D2665">
            <v>3</v>
          </cell>
        </row>
        <row r="2666">
          <cell r="A2666" t="str">
            <v>211 IG - IGLESIA CRISTIANA KADOSH</v>
          </cell>
          <cell r="C2666">
            <v>3</v>
          </cell>
        </row>
        <row r="2667">
          <cell r="A2667" t="str">
            <v>368-FU MINISTERIO PACTO DE SANTIDAD</v>
          </cell>
          <cell r="C2667">
            <v>5.5</v>
          </cell>
        </row>
        <row r="2668">
          <cell r="A2668" t="str">
            <v>363-FU FUNDACION MINISTERIO DEL EVANGELIO ETERNO DEL REINO (NORTE)</v>
          </cell>
          <cell r="G2668">
            <v>3</v>
          </cell>
        </row>
        <row r="2669">
          <cell r="A2669" t="str">
            <v>2 PA - PARROQUIA SAN JUAN MARIA VIANNEY (NORTE)</v>
          </cell>
          <cell r="I2669">
            <v>4</v>
          </cell>
        </row>
        <row r="2670">
          <cell r="A2670" t="str">
            <v>696 - FU MINISTERIO BERAKHAH INTERNACIONAL CHEPO #1</v>
          </cell>
          <cell r="D2670">
            <v>28</v>
          </cell>
        </row>
        <row r="2671">
          <cell r="A2671" t="str">
            <v>222 ED - MISERICORDIAR</v>
          </cell>
          <cell r="D2671">
            <v>43.5</v>
          </cell>
        </row>
        <row r="2672">
          <cell r="A2672" t="str">
            <v>259 IG - ALCANCE VICTORIA PANAMÁ</v>
          </cell>
          <cell r="C2672">
            <v>15.5</v>
          </cell>
        </row>
        <row r="2673">
          <cell r="A2673" t="str">
            <v>379-FU Fundacion Ministerio Apostolico Manantial de Vida</v>
          </cell>
          <cell r="H2673">
            <v>4</v>
          </cell>
        </row>
        <row r="2674">
          <cell r="A2674" t="str">
            <v>387-AS Asociacion ODSSAR-OBC</v>
          </cell>
          <cell r="D2674">
            <v>4</v>
          </cell>
        </row>
        <row r="2675">
          <cell r="A2675" t="str">
            <v>300 ED - BENEFICIARIOS</v>
          </cell>
          <cell r="D2675">
            <v>1.5</v>
          </cell>
        </row>
        <row r="2676">
          <cell r="A2676" t="str">
            <v>657 - FU CENTRO COMUNITARIO MONTAÑAS DE ESPERANZA (RETIRO EN EL BAP)</v>
          </cell>
          <cell r="D2676">
            <v>8</v>
          </cell>
        </row>
        <row r="2677">
          <cell r="A2677" t="str">
            <v>630-IG MIN.INTL.DE CRISTO PAZ DE DIOS</v>
          </cell>
          <cell r="C2677">
            <v>3</v>
          </cell>
        </row>
        <row r="2678">
          <cell r="A2678" t="str">
            <v>397-FU FUNDACION SHALOM PANAMA</v>
          </cell>
          <cell r="E2678">
            <v>1.5</v>
          </cell>
        </row>
        <row r="2679">
          <cell r="A2679" t="str">
            <v>697 - FU MINISTERIO BERAKHAH INTERNACIONAL CHEPO #2</v>
          </cell>
          <cell r="D2679">
            <v>3</v>
          </cell>
        </row>
        <row r="2680">
          <cell r="A2680" t="str">
            <v>195 ED - JUNTOS PODEMOS</v>
          </cell>
          <cell r="C2680">
            <v>15</v>
          </cell>
        </row>
        <row r="2681">
          <cell r="A2681" t="str">
            <v>235 FU - FUNDACION GRUPO ENVIADOS</v>
          </cell>
          <cell r="D2681">
            <v>3</v>
          </cell>
        </row>
        <row r="2682">
          <cell r="A2682" t="str">
            <v>380-ED COMEDOR COMUNITARIO CASA DEL ALFARERO</v>
          </cell>
          <cell r="D2682">
            <v>7</v>
          </cell>
        </row>
        <row r="2683">
          <cell r="A2683" t="str">
            <v>451-IG IGLESIA MANANTIAL DE VIDA (ESTE)</v>
          </cell>
          <cell r="D2683">
            <v>6</v>
          </cell>
        </row>
        <row r="2684">
          <cell r="A2684" t="str">
            <v>597- IG MINISTERIO APOSTOLICO NEMUEL INTERNACIONAL</v>
          </cell>
          <cell r="D2684">
            <v>12</v>
          </cell>
        </row>
        <row r="2685">
          <cell r="A2685" t="str">
            <v>647 - IG CRISTO REY CAMBIANDO VIDAS (ESTE)</v>
          </cell>
          <cell r="D2685">
            <v>15</v>
          </cell>
        </row>
        <row r="2686">
          <cell r="A2686" t="str">
            <v>339-AS ASOCIACION RESIDENCIA LISBETH</v>
          </cell>
          <cell r="D2686">
            <v>5.5</v>
          </cell>
        </row>
        <row r="2687">
          <cell r="A2687" t="str">
            <v>381-FU FUNDAMIDOM</v>
          </cell>
          <cell r="E2687">
            <v>4</v>
          </cell>
        </row>
        <row r="2688">
          <cell r="A2688" t="str">
            <v>491-FU Fundación Aleluya</v>
          </cell>
          <cell r="G2688">
            <v>14</v>
          </cell>
        </row>
        <row r="2689">
          <cell r="A2689" t="str">
            <v>377-FU CENTRO CRISTIANO CASA DE DIOS PANAMA</v>
          </cell>
          <cell r="G2689">
            <v>6</v>
          </cell>
        </row>
        <row r="2690">
          <cell r="A2690" t="str">
            <v>360-IG IGLESIA CRISTIANA CASA DE REUNION</v>
          </cell>
          <cell r="G2690">
            <v>11</v>
          </cell>
        </row>
        <row r="2691">
          <cell r="A2691" t="str">
            <v>684 - FU FUNDACION CASA DEL REY JESUS (CENTRO 2)</v>
          </cell>
          <cell r="C2691">
            <v>29.5</v>
          </cell>
        </row>
        <row r="2692">
          <cell r="A2692" t="str">
            <v>723 ASOCIACION AQUI ESTOY</v>
          </cell>
          <cell r="E2692">
            <v>7</v>
          </cell>
        </row>
        <row r="2693">
          <cell r="A2693" t="str">
            <v>229 PA - PARROQUIA SAN CRISTOBAL DE CHEPO</v>
          </cell>
          <cell r="D2693">
            <v>11</v>
          </cell>
        </row>
        <row r="2694">
          <cell r="A2694" t="str">
            <v>390-FU FUNDACION CRISTIANA FAMILIAR EL TALLER DEL MAESTRO (CENTRO1)</v>
          </cell>
          <cell r="C2694">
            <v>4</v>
          </cell>
        </row>
        <row r="2695">
          <cell r="A2695" t="str">
            <v>737- ASOCIACION CRISTIANA EBEN-EZER (ESTE)</v>
          </cell>
          <cell r="D2695">
            <v>6</v>
          </cell>
        </row>
        <row r="2696">
          <cell r="A2696" t="str">
            <v>738- IG MINISTERIO DIOS CON NOSOTROS EMANUEL</v>
          </cell>
          <cell r="D2696">
            <v>3</v>
          </cell>
        </row>
        <row r="2697">
          <cell r="A2697" t="str">
            <v>733-IG LA ORACION FUERTE AL ESPIRITU SANTO</v>
          </cell>
          <cell r="C2697">
            <v>17.5</v>
          </cell>
        </row>
        <row r="2698">
          <cell r="A2698" t="str">
            <v>745-FU CASA DE MISERICORDIA</v>
          </cell>
          <cell r="C2698">
            <v>16</v>
          </cell>
        </row>
        <row r="2699">
          <cell r="A2699" t="str">
            <v>741-IG BUNKER DE ESPERANZA</v>
          </cell>
          <cell r="D2699">
            <v>6</v>
          </cell>
        </row>
        <row r="2700">
          <cell r="A2700" t="str">
            <v>275 IG CONCILIO GENERAL DE LAS ASAMBLEAS DE DIOS DE PANAMÁ</v>
          </cell>
          <cell r="C2700">
            <v>3</v>
          </cell>
        </row>
        <row r="2701">
          <cell r="A2701" t="str">
            <v>785-FU FUNDACION GOTAS DE ESPERANZA</v>
          </cell>
          <cell r="E2701">
            <v>12</v>
          </cell>
        </row>
        <row r="2702">
          <cell r="A2702" t="str">
            <v>394-IG IGLESIA ESCUADRONES DEL EJERCITO DE DIOS (CENTRO2)</v>
          </cell>
          <cell r="C2702">
            <v>17</v>
          </cell>
        </row>
        <row r="2703">
          <cell r="A2703" t="str">
            <v>789-FU Fundación Rescate de Alimentos</v>
          </cell>
          <cell r="C2703">
            <v>3</v>
          </cell>
        </row>
        <row r="2704">
          <cell r="A2704" t="str">
            <v>793-FU Fundación Príncipes de Jehová</v>
          </cell>
          <cell r="I2704">
            <v>3</v>
          </cell>
        </row>
        <row r="2705">
          <cell r="A2705" t="str">
            <v>791-FU FUNDACION DIVINO NINO JESUS DE MI CORAZON</v>
          </cell>
          <cell r="D2705">
            <v>3</v>
          </cell>
        </row>
        <row r="2706">
          <cell r="A2706" t="str">
            <v>138 OR - HERMANAS FRANCISCANAS DE MARIA INMACULADALA</v>
          </cell>
          <cell r="H2706">
            <v>8</v>
          </cell>
        </row>
        <row r="2707">
          <cell r="A2707" t="str">
            <v>661 - FU FUNDACION MAS INTEGRADOS (DARIEN)</v>
          </cell>
          <cell r="F2707">
            <v>8</v>
          </cell>
        </row>
        <row r="2708">
          <cell r="A2708" t="str">
            <v>753-AS CLUB ACTIVO 20-30 DE CHITRE</v>
          </cell>
          <cell r="L2708">
            <v>6</v>
          </cell>
        </row>
        <row r="2709">
          <cell r="A2709" t="str">
            <v>463-FU MINISTERIO BERAKHAH INTERNACIONAL COMEDOR OASIS DE ESPERANZA (ESTE)</v>
          </cell>
          <cell r="D2709">
            <v>9</v>
          </cell>
        </row>
        <row r="2710">
          <cell r="A2710" t="str">
            <v>802-IG IGLESIA INTERNACIONAL DEL EVANGELIO CUADRANGULAR DE PANAMÁ</v>
          </cell>
          <cell r="C2710">
            <v>7</v>
          </cell>
        </row>
        <row r="2711">
          <cell r="A2711" t="str">
            <v>MERCALIMENTOS PANAMA, S.A</v>
          </cell>
          <cell r="C2711">
            <v>896.5</v>
          </cell>
          <cell r="D2711">
            <v>385.5</v>
          </cell>
          <cell r="E2711">
            <v>146.5</v>
          </cell>
          <cell r="F2711">
            <v>13</v>
          </cell>
          <cell r="G2711">
            <v>100.5</v>
          </cell>
          <cell r="H2711">
            <v>91.5</v>
          </cell>
          <cell r="I2711">
            <v>40</v>
          </cell>
          <cell r="J2711">
            <v>30</v>
          </cell>
          <cell r="L2711">
            <v>8</v>
          </cell>
          <cell r="O2711">
            <v>16</v>
          </cell>
        </row>
        <row r="2712">
          <cell r="A2712" t="str">
            <v>662-IG MINISTERIO EVANGELICO EL APOSENTO ALTO (CENTRO 1)</v>
          </cell>
          <cell r="C2712">
            <v>10</v>
          </cell>
        </row>
        <row r="2713">
          <cell r="A2713" t="str">
            <v>702 - FU MINISTERIO BERAKHAH INTERNACIONAL ARRAIJAN</v>
          </cell>
          <cell r="E2713">
            <v>3.5</v>
          </cell>
        </row>
        <row r="2714">
          <cell r="A2714" t="str">
            <v>298-FU - MINISTERIO FUENTE DE VIDA PARA EL PERDIDO</v>
          </cell>
          <cell r="F2714">
            <v>4</v>
          </cell>
        </row>
        <row r="2715">
          <cell r="A2715" t="str">
            <v>104 AS - ASOCIACIÓN HOGAR FELICIDAD</v>
          </cell>
          <cell r="E2715">
            <v>51.5</v>
          </cell>
        </row>
        <row r="2716">
          <cell r="A2716" t="str">
            <v>175 AS - ASOCIACIÓN RESTAURANDO VIDAS</v>
          </cell>
          <cell r="D2716">
            <v>10</v>
          </cell>
        </row>
        <row r="2717">
          <cell r="A2717" t="str">
            <v>178 IG - TEMPLO ZURIEL EL REFUGIO</v>
          </cell>
          <cell r="G2717">
            <v>82</v>
          </cell>
        </row>
        <row r="2718">
          <cell r="A2718" t="str">
            <v>207 IG - IGLESIA CENTRO DE VIDA CRISTIANA</v>
          </cell>
          <cell r="D2718">
            <v>18</v>
          </cell>
        </row>
        <row r="2719">
          <cell r="A2719" t="str">
            <v>636- FU JAH - LIVE (JAHL) - COLON</v>
          </cell>
          <cell r="H2719">
            <v>54</v>
          </cell>
        </row>
        <row r="2720">
          <cell r="A2720" t="str">
            <v>224 OR MISIONERAS DE LA CARIDAD DE COLON</v>
          </cell>
          <cell r="H2720">
            <v>5</v>
          </cell>
        </row>
        <row r="2721">
          <cell r="A2721" t="str">
            <v>365-IG COMEDOR HEFZIBA</v>
          </cell>
          <cell r="I2721">
            <v>19</v>
          </cell>
        </row>
        <row r="2722">
          <cell r="A2722" t="str">
            <v>635 TEMPLO ADULAM</v>
          </cell>
          <cell r="E2722">
            <v>7</v>
          </cell>
        </row>
        <row r="2723">
          <cell r="A2723" t="str">
            <v>470-FU IGLESIA MONTE SANTO</v>
          </cell>
          <cell r="D2723">
            <v>6</v>
          </cell>
        </row>
        <row r="2724">
          <cell r="A2724" t="str">
            <v>687 - FU FUNDACION ARCA DE JESUS</v>
          </cell>
          <cell r="E2724">
            <v>8</v>
          </cell>
        </row>
        <row r="2725">
          <cell r="A2725" t="str">
            <v>218 ED - LOS PREFERIDOS DEL SEÑOR (CENTRO2)</v>
          </cell>
          <cell r="C2725">
            <v>310</v>
          </cell>
        </row>
        <row r="2726">
          <cell r="A2726" t="str">
            <v>187 IG - IGLESIA DE DIOS DE LA PROFECÍA</v>
          </cell>
          <cell r="D2726">
            <v>41</v>
          </cell>
        </row>
        <row r="2727">
          <cell r="A2727" t="str">
            <v>321-IG IGLESIA DIOS ES MI PROVEEDOR Y SUSTENTO</v>
          </cell>
          <cell r="D2727">
            <v>6</v>
          </cell>
        </row>
        <row r="2728">
          <cell r="A2728" t="str">
            <v>443-FU MINISTERIO BERAKHAH INTERNACIONAL COMEDOR LAS GARZAS #2</v>
          </cell>
          <cell r="D2728">
            <v>10</v>
          </cell>
        </row>
        <row r="2729">
          <cell r="A2729" t="str">
            <v>694 - FU MINISTERIO BERAKHAH INTERNACIONAL TOCUMEN #2</v>
          </cell>
          <cell r="D2729">
            <v>10</v>
          </cell>
        </row>
        <row r="2730">
          <cell r="A2730" t="str">
            <v>695 - FU MINISTERIO BERAKHAH INTERNACIONAL 24 DIC</v>
          </cell>
          <cell r="D2730">
            <v>28</v>
          </cell>
        </row>
        <row r="2731">
          <cell r="A2731" t="str">
            <v>366-FU CENTRO MISIONERO EL SHADAI (ESTE)</v>
          </cell>
          <cell r="D2731">
            <v>15</v>
          </cell>
        </row>
        <row r="2732">
          <cell r="A2732" t="str">
            <v>498-FU COMEDOR NIÑOS DE BENDICION</v>
          </cell>
          <cell r="E2732">
            <v>4</v>
          </cell>
        </row>
        <row r="2733">
          <cell r="A2733" t="str">
            <v>288 IG MINISTERIO EVANGELISTICO DE SANACION Y RESTAURACION, SENALES, MILAGROS Y MARAVILLAS (ESTE)</v>
          </cell>
          <cell r="D2733">
            <v>12</v>
          </cell>
        </row>
        <row r="2734">
          <cell r="A2734" t="str">
            <v>373-FU MINISTERIO INTERNACIONAL BOANERGES</v>
          </cell>
          <cell r="I2734">
            <v>4</v>
          </cell>
        </row>
        <row r="2735">
          <cell r="A2735" t="str">
            <v>197 FU FUNDACION SOCIAL CULTURAL Y AMBIENTAL DE VERACRUZ (OESTE)</v>
          </cell>
          <cell r="E2735">
            <v>15</v>
          </cell>
        </row>
        <row r="2736">
          <cell r="A2736" t="str">
            <v>183 ED - BELÉN CASA DE PAN (ESTE)</v>
          </cell>
          <cell r="D2736">
            <v>5</v>
          </cell>
        </row>
        <row r="2737">
          <cell r="A2737" t="str">
            <v>431-IG IGLESIA ADVENTISTA DISTRITO 8</v>
          </cell>
          <cell r="D2737">
            <v>5</v>
          </cell>
        </row>
        <row r="2738">
          <cell r="A2738" t="str">
            <v>643 - IG TEMPLO PUERTA DEL CIELO (CHIRIQUI)</v>
          </cell>
          <cell r="J2738">
            <v>3</v>
          </cell>
        </row>
        <row r="2739">
          <cell r="A2739" t="str">
            <v>368-FU MINISTERIO PACTO DE SANTIDAD</v>
          </cell>
          <cell r="C2739">
            <v>15</v>
          </cell>
        </row>
        <row r="2740">
          <cell r="A2740" t="str">
            <v>654 - IG M.I.A.F NUEVA JERUSALEN PANAMA (ESTE)</v>
          </cell>
          <cell r="D2740">
            <v>4</v>
          </cell>
        </row>
        <row r="2741">
          <cell r="A2741" t="str">
            <v>487-FU FUNDACION CASA AVE MARIA</v>
          </cell>
          <cell r="E2741">
            <v>6</v>
          </cell>
        </row>
        <row r="2742">
          <cell r="A2742" t="str">
            <v>696 - FU MINISTERIO BERAKHAH INTERNACIONAL CHEPO #1</v>
          </cell>
          <cell r="D2742">
            <v>4.5</v>
          </cell>
        </row>
        <row r="2743">
          <cell r="A2743" t="str">
            <v>222 ED - MISERICORDIAR</v>
          </cell>
          <cell r="D2743">
            <v>26</v>
          </cell>
        </row>
        <row r="2744">
          <cell r="A2744" t="str">
            <v>259 IG - ALCANCE VICTORIA PANAMÁ</v>
          </cell>
          <cell r="C2744">
            <v>15</v>
          </cell>
        </row>
        <row r="2745">
          <cell r="A2745" t="str">
            <v>379-FU Fundacion Ministerio Apostolico Manantial de Vida</v>
          </cell>
          <cell r="H2745">
            <v>15.5</v>
          </cell>
        </row>
        <row r="2746">
          <cell r="A2746" t="str">
            <v>644 - IG TEMPLO SENDA DE VIDA (CHIRIQUÍ)</v>
          </cell>
          <cell r="J2746">
            <v>12</v>
          </cell>
        </row>
        <row r="2747">
          <cell r="A2747" t="str">
            <v>387-AS Asociacion ODSSAR-OBC</v>
          </cell>
          <cell r="D2747">
            <v>5</v>
          </cell>
        </row>
        <row r="2748">
          <cell r="A2748" t="str">
            <v>300 ED - BENEFICIARIOS</v>
          </cell>
          <cell r="D2748">
            <v>2</v>
          </cell>
        </row>
        <row r="2749">
          <cell r="A2749" t="str">
            <v>657 - FU CENTRO COMUNITARIO MONTAÑAS DE ESPERANZA (RETIRO EN EL BAP)</v>
          </cell>
          <cell r="D2749">
            <v>8</v>
          </cell>
        </row>
        <row r="2750">
          <cell r="A2750" t="str">
            <v>630-IG MIN.INTL.DE CRISTO PAZ DE DIOS</v>
          </cell>
          <cell r="C2750">
            <v>81.5</v>
          </cell>
        </row>
        <row r="2751">
          <cell r="A2751" t="str">
            <v>397-FU FUNDACION SHALOM PANAMA</v>
          </cell>
          <cell r="E2751">
            <v>13</v>
          </cell>
        </row>
        <row r="2752">
          <cell r="A2752" t="str">
            <v>697 - FU MINISTERIO BERAKHAH INTERNACIONAL CHEPO #2</v>
          </cell>
          <cell r="D2752">
            <v>2.5</v>
          </cell>
        </row>
        <row r="2753">
          <cell r="A2753" t="str">
            <v>195 ED - JUNTOS PODEMOS</v>
          </cell>
          <cell r="C2753">
            <v>5</v>
          </cell>
        </row>
        <row r="2754">
          <cell r="A2754" t="str">
            <v>709 - FU FUNRECRISTO</v>
          </cell>
          <cell r="D2754">
            <v>3</v>
          </cell>
        </row>
        <row r="2755">
          <cell r="A2755" t="str">
            <v>450-FU MINISTERIO DE RESTAURACION EFESIOS 4 (ESTE)</v>
          </cell>
          <cell r="D2755">
            <v>12</v>
          </cell>
        </row>
        <row r="2756">
          <cell r="A2756" t="str">
            <v>235 FU - FUNDACION GRUPO ENVIADOS</v>
          </cell>
          <cell r="D2756">
            <v>11</v>
          </cell>
        </row>
        <row r="2757">
          <cell r="A2757" t="str">
            <v>380-ED COMEDOR COMUNITARIO CASA DEL ALFARERO</v>
          </cell>
          <cell r="D2757">
            <v>4</v>
          </cell>
        </row>
        <row r="2758">
          <cell r="A2758" t="str">
            <v>202 FU - FUNDACIÓN HOGAR SAN JOSÉ (ESTE)</v>
          </cell>
          <cell r="D2758">
            <v>5</v>
          </cell>
        </row>
        <row r="2759">
          <cell r="A2759" t="str">
            <v>417-AS CLUB DE LEONES DE PEDREGAL (ESTE)</v>
          </cell>
          <cell r="D2759">
            <v>13</v>
          </cell>
        </row>
        <row r="2760">
          <cell r="A2760" t="str">
            <v>252 IG - MINISTERIO INTERNACIONAL DE AMISTADES CRISTIANAS</v>
          </cell>
          <cell r="D2760">
            <v>4</v>
          </cell>
        </row>
        <row r="2761">
          <cell r="A2761" t="str">
            <v>339-AS ASOCIACION RESIDENCIA LISBETH</v>
          </cell>
          <cell r="D2761">
            <v>11</v>
          </cell>
        </row>
        <row r="2762">
          <cell r="A2762" t="str">
            <v>144 OR - HERMANAS DE SAN JOSÉ DE LA APARICIÓN (RETIRA EN EL BANCO)</v>
          </cell>
          <cell r="D2762">
            <v>14</v>
          </cell>
        </row>
        <row r="2763">
          <cell r="A2763" t="str">
            <v>270 FU - FUNDACIÓN MISERICORDIA DE DON BOSCO (OESTE)</v>
          </cell>
          <cell r="E2763">
            <v>3</v>
          </cell>
        </row>
        <row r="2764">
          <cell r="A2764" t="str">
            <v>274 IG - AMIGOS DE JESÚS (CENTRO1)</v>
          </cell>
          <cell r="D2764">
            <v>8</v>
          </cell>
        </row>
        <row r="2765">
          <cell r="A2765" t="str">
            <v>698 - FU MINISTERIO BERAKHAH INTERNACIONAL PASO BLANCO</v>
          </cell>
          <cell r="D2765">
            <v>18.5</v>
          </cell>
        </row>
        <row r="2766">
          <cell r="A2766" t="str">
            <v>377-FU CENTRO CRISTIANO CASA DE DIOS PANAMA</v>
          </cell>
          <cell r="G2766">
            <v>7</v>
          </cell>
        </row>
        <row r="2767">
          <cell r="A2767" t="str">
            <v>656 - FU FUNDACION COCINA DEL REINO Y AMIGOS (CENTRO 1)</v>
          </cell>
          <cell r="C2767">
            <v>10</v>
          </cell>
        </row>
        <row r="2768">
          <cell r="A2768" t="str">
            <v>595-FU CENTRO DE LA MUJER Y LA NIÑEZ</v>
          </cell>
          <cell r="C2768">
            <v>8</v>
          </cell>
        </row>
        <row r="2769">
          <cell r="A2769" t="str">
            <v>118 FU - FUNDACIÓN UN NUEVO AMANECER</v>
          </cell>
          <cell r="E2769">
            <v>7.5</v>
          </cell>
        </row>
        <row r="2770">
          <cell r="A2770" t="str">
            <v>360-IG IGLESIA CRISTIANA CASA DE REUNION</v>
          </cell>
          <cell r="G2770">
            <v>7.5</v>
          </cell>
        </row>
        <row r="2771">
          <cell r="A2771" t="str">
            <v>719 FU FUNDACION VIDA NUEVA EL SHADDAI</v>
          </cell>
          <cell r="G2771">
            <v>4</v>
          </cell>
        </row>
        <row r="2772">
          <cell r="A2772" t="str">
            <v>684 - FU FUNDACION CASA DEL REY JESUS (CENTRO 2)</v>
          </cell>
          <cell r="C2772">
            <v>186</v>
          </cell>
        </row>
        <row r="2773">
          <cell r="A2773" t="str">
            <v>723 ASOCIACION AQUI ESTOY</v>
          </cell>
          <cell r="E2773">
            <v>2</v>
          </cell>
        </row>
        <row r="2774">
          <cell r="A2774" t="str">
            <v>229 PA - PARROQUIA SAN CRISTOBAL DE CHEPO</v>
          </cell>
          <cell r="D2774">
            <v>15</v>
          </cell>
        </row>
        <row r="2775">
          <cell r="A2775" t="str">
            <v>166 FU - FUNDACION CURAME</v>
          </cell>
          <cell r="C2775">
            <v>2</v>
          </cell>
        </row>
        <row r="2776">
          <cell r="A2776" t="str">
            <v>736-IG JESUS HACE MILAGROS</v>
          </cell>
          <cell r="J2776">
            <v>3</v>
          </cell>
        </row>
        <row r="2777">
          <cell r="A2777" t="str">
            <v>215 IG - IGLESIA INTERNACIONAL DEL EVANGELIO CUADRANGULAR DE (CHIRIQUÍ)</v>
          </cell>
          <cell r="J2777">
            <v>12</v>
          </cell>
        </row>
        <row r="2778">
          <cell r="A2778" t="str">
            <v>737- ASOCIACION CRISTIANA EBEN-EZER (ESTE)</v>
          </cell>
          <cell r="D2778">
            <v>12</v>
          </cell>
        </row>
        <row r="2779">
          <cell r="A2779" t="str">
            <v>738- IG MINISTERIO DIOS CON NOSOTROS EMANUEL</v>
          </cell>
          <cell r="D2779">
            <v>2</v>
          </cell>
        </row>
        <row r="2780">
          <cell r="A2780" t="str">
            <v>743- ED CLUB FAMILIA DEPORTIVA</v>
          </cell>
          <cell r="C2780">
            <v>6</v>
          </cell>
        </row>
        <row r="2781">
          <cell r="A2781" t="str">
            <v>733-IG LA ORACION FUERTE AL ESPIRITU SANTO</v>
          </cell>
          <cell r="C2781">
            <v>9</v>
          </cell>
        </row>
        <row r="2782">
          <cell r="A2782" t="str">
            <v>281-FU FUNDACIÓN CAMBIO CREATIVO</v>
          </cell>
          <cell r="H2782">
            <v>6</v>
          </cell>
        </row>
        <row r="2783">
          <cell r="A2783" t="str">
            <v>275 IG CONCILIO GENERAL DE LAS ASAMBLEAS DE DIOS DE PANAMÁ</v>
          </cell>
          <cell r="C2783">
            <v>4</v>
          </cell>
        </row>
        <row r="2784">
          <cell r="A2784" t="str">
            <v>752-IG Ministerio Tabernáculo De Santidad Internacional (Chitre)</v>
          </cell>
          <cell r="L2784">
            <v>3</v>
          </cell>
        </row>
        <row r="2785">
          <cell r="A2785" t="str">
            <v>758-FU RESTAURANDO EL PRIMER AMOR</v>
          </cell>
          <cell r="I2785">
            <v>1</v>
          </cell>
        </row>
        <row r="2786">
          <cell r="A2786" t="str">
            <v>201 OR - MISIONERAS MADRE LAURA</v>
          </cell>
          <cell r="C2786">
            <v>2</v>
          </cell>
        </row>
        <row r="2787">
          <cell r="A2787" t="str">
            <v>765-IG EXPANSION MISIONERA RIOS DE AGUA VIVA</v>
          </cell>
          <cell r="L2787">
            <v>5</v>
          </cell>
        </row>
        <row r="2788">
          <cell r="A2788" t="str">
            <v>766-IG MINISTERIO BET-EL</v>
          </cell>
          <cell r="O2788">
            <v>6</v>
          </cell>
        </row>
        <row r="2789">
          <cell r="A2789" t="str">
            <v>394-IG IGLESIA ESCUADRONES DEL EJERCITO DE DIOS (CENTRO2)</v>
          </cell>
          <cell r="C2789">
            <v>11</v>
          </cell>
        </row>
        <row r="2790">
          <cell r="A2790" t="str">
            <v>789-FU Fundación Rescate de Alimentos</v>
          </cell>
          <cell r="C2790">
            <v>14</v>
          </cell>
        </row>
        <row r="2791">
          <cell r="A2791" t="str">
            <v>793-FU Fundación Príncipes de Jehová</v>
          </cell>
          <cell r="I2791">
            <v>14</v>
          </cell>
        </row>
        <row r="2792">
          <cell r="A2792" t="str">
            <v>69 FU - FUNDACIÓN VIDA ABUNDANTE</v>
          </cell>
          <cell r="C2792">
            <v>75</v>
          </cell>
        </row>
        <row r="2793">
          <cell r="A2793" t="str">
            <v>138 OR - HERMANAS FRANCISCANAS DE MARIA INMACULADALA</v>
          </cell>
          <cell r="H2793">
            <v>11</v>
          </cell>
        </row>
        <row r="2794">
          <cell r="A2794" t="str">
            <v>3 IG - IGLESIA DEL NAZARENO</v>
          </cell>
          <cell r="E2794">
            <v>16</v>
          </cell>
        </row>
        <row r="2795">
          <cell r="A2795" t="str">
            <v>232 IG MINISTERIO TIEMPO DE COSECHA</v>
          </cell>
          <cell r="I2795">
            <v>2</v>
          </cell>
        </row>
        <row r="2796">
          <cell r="A2796" t="str">
            <v>253 FU - FUNDACIÓN PARA EL BIENESTAR SOCIAL (CENTRO2)</v>
          </cell>
          <cell r="C2796">
            <v>18</v>
          </cell>
        </row>
        <row r="2797">
          <cell r="A2797" t="str">
            <v>463-FU MINISTERIO BERAKHAH INTERNACIONAL COMEDOR OASIS DE ESPERANZA (ESTE)</v>
          </cell>
          <cell r="D2797">
            <v>15</v>
          </cell>
        </row>
        <row r="2798">
          <cell r="A2798" t="str">
            <v>650 - IG ASOCIACION CRISTIANA EBEN - EZER #27 (ESTE)</v>
          </cell>
          <cell r="D2798">
            <v>10</v>
          </cell>
        </row>
        <row r="2799">
          <cell r="A2799" t="str">
            <v>375-FU Ministerio a Dios sea la Gloria</v>
          </cell>
          <cell r="C2799">
            <v>5</v>
          </cell>
        </row>
        <row r="2800">
          <cell r="A2800" t="str">
            <v>802-IG IGLESIA INTERNACIONAL DEL EVANGELIO CUADRANGULAR DE PANAMÁ</v>
          </cell>
          <cell r="C2800">
            <v>5</v>
          </cell>
        </row>
        <row r="2801">
          <cell r="A2801" t="str">
            <v>814-IG Templo Morada Santa</v>
          </cell>
          <cell r="F2801">
            <v>9</v>
          </cell>
        </row>
        <row r="2802">
          <cell r="A2802" t="str">
            <v>496-AS CUERPO DE VOLUNTARIAS DEL HOSPITAL DEL NIÑO</v>
          </cell>
          <cell r="C2802">
            <v>80</v>
          </cell>
        </row>
        <row r="2803">
          <cell r="A2803" t="str">
            <v>392-FU Fundacion Jerusalen Trono de Jehova III</v>
          </cell>
          <cell r="E2803">
            <v>5</v>
          </cell>
        </row>
        <row r="2804">
          <cell r="A2804" t="str">
            <v>641 - IG IGLESIA EVANGELICA QUIRIAT SALEM (ESTE)</v>
          </cell>
          <cell r="D2804">
            <v>10</v>
          </cell>
        </row>
        <row r="2805">
          <cell r="A2805" t="str">
            <v>471-FU FUNDACION BUSCANDO UNA OPORTUNIDAD</v>
          </cell>
          <cell r="E2805">
            <v>5</v>
          </cell>
        </row>
        <row r="2806">
          <cell r="A2806" t="str">
            <v>5 AS - ASOCIACIÓN DAME UNA OPORTUNIDAD</v>
          </cell>
          <cell r="C2806">
            <v>9</v>
          </cell>
        </row>
        <row r="2807">
          <cell r="A2807" t="str">
            <v>708 - FU MINISTERIO BERAKHAH INTERNACIONAL GUARARE</v>
          </cell>
          <cell r="O2807">
            <v>10</v>
          </cell>
        </row>
        <row r="2808">
          <cell r="A2808" t="str">
            <v>782-FU Fundación Calicanto</v>
          </cell>
          <cell r="C2808">
            <v>16</v>
          </cell>
        </row>
        <row r="2809">
          <cell r="A2809" t="str">
            <v>FRESCAFHISH, S.A</v>
          </cell>
          <cell r="C2809">
            <v>8</v>
          </cell>
          <cell r="D2809">
            <v>64</v>
          </cell>
          <cell r="E2809">
            <v>16</v>
          </cell>
          <cell r="I2809">
            <v>16</v>
          </cell>
          <cell r="J2809">
            <v>105</v>
          </cell>
          <cell r="K2809">
            <v>40</v>
          </cell>
          <cell r="L2809">
            <v>20</v>
          </cell>
          <cell r="M2809">
            <v>155</v>
          </cell>
          <cell r="O2809">
            <v>25</v>
          </cell>
        </row>
        <row r="2810">
          <cell r="A2810" t="str">
            <v>365-IG COMEDOR HEFZIBA</v>
          </cell>
          <cell r="I2810">
            <v>8</v>
          </cell>
        </row>
        <row r="2811">
          <cell r="A2811" t="str">
            <v>635 TEMPLO ADULAM</v>
          </cell>
          <cell r="E2811">
            <v>8</v>
          </cell>
        </row>
        <row r="2812">
          <cell r="A2812" t="str">
            <v>218 ED - LOS PREFERIDOS DEL SEÑOR (CENTRO2)</v>
          </cell>
          <cell r="C2812">
            <v>8</v>
          </cell>
        </row>
        <row r="2813">
          <cell r="A2813" t="str">
            <v>187 IG - IGLESIA DE DIOS DE LA PROFECÍA</v>
          </cell>
          <cell r="D2813">
            <v>16</v>
          </cell>
        </row>
        <row r="2814">
          <cell r="A2814" t="str">
            <v>197 FU FUNDACION SOCIAL CULTURAL Y AMBIENTAL DE VERACRUZ (OESTE)</v>
          </cell>
          <cell r="E2814">
            <v>8</v>
          </cell>
        </row>
        <row r="2815">
          <cell r="A2815" t="str">
            <v>431-IG IGLESIA ADVENTISTA DISTRITO 8</v>
          </cell>
          <cell r="D2815">
            <v>8</v>
          </cell>
        </row>
        <row r="2816">
          <cell r="A2816" t="str">
            <v>643 - IG TEMPLO PUERTA DEL CIELO (CHIRIQUI)</v>
          </cell>
          <cell r="J2816">
            <v>25</v>
          </cell>
        </row>
        <row r="2817">
          <cell r="A2817" t="str">
            <v>668 - FU FUNDACION CRISTIANA LA FE EN MARCHA</v>
          </cell>
          <cell r="J2817">
            <v>15</v>
          </cell>
        </row>
        <row r="2818">
          <cell r="A2818" t="str">
            <v>644 - IG TEMPLO SENDA DE VIDA (CHIRIQUÍ)</v>
          </cell>
          <cell r="J2818">
            <v>30</v>
          </cell>
        </row>
        <row r="2819">
          <cell r="A2819" t="str">
            <v>300 ED - BENEFICIARIOS</v>
          </cell>
          <cell r="D2819">
            <v>40</v>
          </cell>
        </row>
        <row r="2820">
          <cell r="A2820" t="str">
            <v>263 IG TABERNÁCULO DE DIOS DE SAN MIGUEL DEL EXQUISITO</v>
          </cell>
          <cell r="J2820">
            <v>35</v>
          </cell>
        </row>
        <row r="2821">
          <cell r="A2821" t="str">
            <v>750-IG MTSI Santiago</v>
          </cell>
          <cell r="M2821">
            <v>150</v>
          </cell>
        </row>
        <row r="2822">
          <cell r="A2822" t="str">
            <v>613-FU FUNDACION INMARE</v>
          </cell>
          <cell r="K2822">
            <v>40</v>
          </cell>
        </row>
        <row r="2823">
          <cell r="A2823" t="str">
            <v>766-IG MINISTERIO BET-EL</v>
          </cell>
          <cell r="O2823">
            <v>20</v>
          </cell>
        </row>
        <row r="2824">
          <cell r="A2824" t="str">
            <v>734-FU MINISTERIO DE SALVACION EL CAMINO DE DIOS</v>
          </cell>
          <cell r="I2824">
            <v>8</v>
          </cell>
        </row>
        <row r="2825">
          <cell r="A2825" t="str">
            <v>708 - FU MINISTERIO BERAKHAH INTERNACIONAL GUARARE</v>
          </cell>
          <cell r="O2825">
            <v>5</v>
          </cell>
        </row>
        <row r="2826">
          <cell r="A2826" t="str">
            <v>728-FU ANCEC SANTIAGO</v>
          </cell>
          <cell r="M2826">
            <v>5</v>
          </cell>
        </row>
        <row r="2827">
          <cell r="A2827" t="str">
            <v>821-IG Ministerio de Adoracion Y Restauracion Guardadores del Pacto</v>
          </cell>
          <cell r="L2827">
            <v>20</v>
          </cell>
        </row>
        <row r="2828">
          <cell r="A2828" t="str">
            <v>Federación Nacional de Cooperativas Salineras de Panamá (FENCOSPA, R.L.)</v>
          </cell>
          <cell r="O2828">
            <v>42</v>
          </cell>
        </row>
        <row r="2829">
          <cell r="A2829" t="str">
            <v>766-IG MINISTERIO BET-EL</v>
          </cell>
          <cell r="O2829">
            <v>42</v>
          </cell>
        </row>
        <row r="2830">
          <cell r="A2830" t="str">
            <v>IMPORTADORA RICAMAR - SUPER 99</v>
          </cell>
          <cell r="C2830">
            <v>13.5</v>
          </cell>
          <cell r="D2830">
            <v>12</v>
          </cell>
          <cell r="E2830">
            <v>12</v>
          </cell>
          <cell r="F2830">
            <v>3</v>
          </cell>
          <cell r="G2830">
            <v>3</v>
          </cell>
          <cell r="I2830">
            <v>3</v>
          </cell>
        </row>
        <row r="2831">
          <cell r="A2831" t="str">
            <v>662-IG MINISTERIO EVANGELICO EL APOSENTO ALTO (CENTRO 1)</v>
          </cell>
          <cell r="C2831">
            <v>1.5</v>
          </cell>
        </row>
        <row r="2832">
          <cell r="A2832" t="str">
            <v>104 AS - ASOCIACIÓN HOGAR FELICIDAD</v>
          </cell>
          <cell r="E2832">
            <v>1.5</v>
          </cell>
        </row>
        <row r="2833">
          <cell r="A2833" t="str">
            <v>407-IG ASOCIACION CRISTIANA INTERNACIONAL EBEN-EZER (OESTE)</v>
          </cell>
          <cell r="E2833">
            <v>1.5</v>
          </cell>
        </row>
        <row r="2834">
          <cell r="A2834" t="str">
            <v>694 - FU MINISTERIO BERAKHAH INTERNACIONAL TOCUMEN #2</v>
          </cell>
          <cell r="D2834">
            <v>3</v>
          </cell>
        </row>
        <row r="2835">
          <cell r="A2835" t="str">
            <v>444-FU MINISTERIO BERAKHAH INTERNACIONAL COMEDOR LAS GARZAS #1</v>
          </cell>
          <cell r="D2835">
            <v>1.5</v>
          </cell>
        </row>
        <row r="2836">
          <cell r="A2836" t="str">
            <v>288 IG MINISTERIO EVANGELISTICO DE SANACION Y RESTAURACION, SENALES, MILAGROS Y MARAVILLAS (ESTE)</v>
          </cell>
          <cell r="D2836">
            <v>1.5</v>
          </cell>
        </row>
        <row r="2837">
          <cell r="A2837" t="str">
            <v>373-FU MINISTERIO INTERNACIONAL BOANERGES</v>
          </cell>
          <cell r="I2837">
            <v>1.5</v>
          </cell>
        </row>
        <row r="2838">
          <cell r="A2838" t="str">
            <v>654 - IG M.I.A.F NUEVA JERUSALEN PANAMA (ESTE)</v>
          </cell>
          <cell r="D2838">
            <v>1.5</v>
          </cell>
        </row>
        <row r="2839">
          <cell r="A2839" t="str">
            <v>2 PA - PARROQUIA SAN JUAN MARIA VIANNEY (NORTE)</v>
          </cell>
          <cell r="I2839">
            <v>1.5</v>
          </cell>
        </row>
        <row r="2840">
          <cell r="A2840" t="str">
            <v>472-FU FUNDACION TALITA CUMI</v>
          </cell>
          <cell r="D2840">
            <v>1.5</v>
          </cell>
        </row>
        <row r="2841">
          <cell r="A2841" t="str">
            <v>259 IG - ALCANCE VICTORIA PANAMÁ</v>
          </cell>
          <cell r="C2841">
            <v>3</v>
          </cell>
        </row>
        <row r="2842">
          <cell r="A2842" t="str">
            <v>397-FU FUNDACION SHALOM PANAMA</v>
          </cell>
          <cell r="E2842">
            <v>1.5</v>
          </cell>
        </row>
        <row r="2843">
          <cell r="A2843" t="str">
            <v>339-AS ASOCIACION RESIDENCIA LISBETH</v>
          </cell>
          <cell r="D2843">
            <v>1.5</v>
          </cell>
        </row>
        <row r="2844">
          <cell r="A2844" t="str">
            <v>381-FU FUNDAMIDOM</v>
          </cell>
          <cell r="E2844">
            <v>3</v>
          </cell>
        </row>
        <row r="2845">
          <cell r="A2845" t="str">
            <v>377-FU CENTRO CRISTIANO CASA DE DIOS PANAMA</v>
          </cell>
          <cell r="G2845">
            <v>1.5</v>
          </cell>
        </row>
        <row r="2846">
          <cell r="A2846" t="str">
            <v>595-FU CENTRO DE LA MUJER Y LA NIÑEZ</v>
          </cell>
          <cell r="C2846">
            <v>1.5</v>
          </cell>
        </row>
        <row r="2847">
          <cell r="A2847" t="str">
            <v>360-IG IGLESIA CRISTIANA CASA DE REUNION</v>
          </cell>
          <cell r="G2847">
            <v>1.5</v>
          </cell>
        </row>
        <row r="2848">
          <cell r="A2848" t="str">
            <v>723 ASOCIACION AQUI ESTOY</v>
          </cell>
          <cell r="E2848">
            <v>1.5</v>
          </cell>
        </row>
        <row r="2849">
          <cell r="A2849" t="str">
            <v>390-FU FUNDACION CRISTIANA FAMILIAR EL TALLER DEL MAESTRO (CENTRO1)</v>
          </cell>
          <cell r="C2849">
            <v>3</v>
          </cell>
        </row>
        <row r="2850">
          <cell r="A2850" t="str">
            <v>738- IG MINISTERIO DIOS CON NOSOTROS EMANUEL</v>
          </cell>
          <cell r="D2850">
            <v>1.5</v>
          </cell>
        </row>
        <row r="2851">
          <cell r="A2851" t="str">
            <v>745-FU CASA DE MISERICORDIA</v>
          </cell>
          <cell r="C2851">
            <v>1.5</v>
          </cell>
        </row>
        <row r="2852">
          <cell r="A2852" t="str">
            <v>789-FU Fundación Rescate de Alimentos</v>
          </cell>
          <cell r="C2852">
            <v>3</v>
          </cell>
        </row>
        <row r="2853">
          <cell r="A2853" t="str">
            <v>3 IG - IGLESIA DEL NAZARENO</v>
          </cell>
          <cell r="E2853">
            <v>3</v>
          </cell>
        </row>
        <row r="2854">
          <cell r="A2854" t="str">
            <v>661 - FU FUNDACION MAS INTEGRADOS (DARIEN)</v>
          </cell>
          <cell r="F2854">
            <v>3</v>
          </cell>
        </row>
        <row r="2855">
          <cell r="A2855" t="str">
            <v>AGENCIAS ESCOFFERY, S.A</v>
          </cell>
          <cell r="C2855">
            <v>82</v>
          </cell>
          <cell r="D2855">
            <v>158</v>
          </cell>
          <cell r="E2855">
            <v>28</v>
          </cell>
          <cell r="H2855">
            <v>16</v>
          </cell>
        </row>
        <row r="2856">
          <cell r="A2856" t="str">
            <v>207 IG - IGLESIA CENTRO DE VIDA CRISTIANA</v>
          </cell>
          <cell r="D2856">
            <v>4</v>
          </cell>
        </row>
        <row r="2857">
          <cell r="A2857" t="str">
            <v>636- FU JAH - LIVE (JAHL) - COLON</v>
          </cell>
          <cell r="H2857">
            <v>6</v>
          </cell>
        </row>
        <row r="2858">
          <cell r="A2858" t="str">
            <v>218 ED - LOS PREFERIDOS DEL SEÑOR (CENTRO2)</v>
          </cell>
          <cell r="C2858">
            <v>6</v>
          </cell>
        </row>
        <row r="2859">
          <cell r="A2859" t="str">
            <v>187 IG - IGLESIA DE DIOS DE LA PROFECÍA</v>
          </cell>
          <cell r="D2859">
            <v>20</v>
          </cell>
        </row>
        <row r="2860">
          <cell r="A2860" t="str">
            <v>694 - FU MINISTERIO BERAKHAH INTERNACIONAL TOCUMEN #2</v>
          </cell>
          <cell r="D2860">
            <v>2</v>
          </cell>
        </row>
        <row r="2861">
          <cell r="A2861" t="str">
            <v>366-FU CENTRO MISIONERO EL SHADAI (ESTE)</v>
          </cell>
          <cell r="D2861">
            <v>22</v>
          </cell>
        </row>
        <row r="2862">
          <cell r="A2862" t="str">
            <v>288 IG MINISTERIO EVANGELISTICO DE SANACION Y RESTAURACION, SENALES, MILAGROS Y MARAVILLAS (ESTE)</v>
          </cell>
          <cell r="D2862">
            <v>20</v>
          </cell>
        </row>
        <row r="2863">
          <cell r="A2863" t="str">
            <v>197 FU FUNDACION SOCIAL CULTURAL Y AMBIENTAL DE VERACRUZ (OESTE)</v>
          </cell>
          <cell r="E2863">
            <v>6</v>
          </cell>
        </row>
        <row r="2864">
          <cell r="A2864" t="str">
            <v>431-IG IGLESIA ADVENTISTA DISTRITO 8</v>
          </cell>
          <cell r="D2864">
            <v>6</v>
          </cell>
        </row>
        <row r="2865">
          <cell r="A2865" t="str">
            <v>222 ED - MISERICORDIAR</v>
          </cell>
          <cell r="D2865">
            <v>26</v>
          </cell>
        </row>
        <row r="2866">
          <cell r="A2866" t="str">
            <v>300 ED - BENEFICIARIOS</v>
          </cell>
          <cell r="D2866">
            <v>8</v>
          </cell>
        </row>
        <row r="2867">
          <cell r="A2867" t="str">
            <v>630-IG MIN.INTL.DE CRISTO PAZ DE DIOS</v>
          </cell>
          <cell r="C2867">
            <v>16</v>
          </cell>
        </row>
        <row r="2868">
          <cell r="A2868" t="str">
            <v>397-FU FUNDACION SHALOM PANAMA</v>
          </cell>
          <cell r="E2868">
            <v>4</v>
          </cell>
        </row>
        <row r="2869">
          <cell r="A2869" t="str">
            <v>670 - FU FUNDACION MINISTERIIO CRISTIANO EL REINO DE DIOS (ESTE)</v>
          </cell>
          <cell r="D2869">
            <v>10</v>
          </cell>
        </row>
        <row r="2870">
          <cell r="A2870" t="str">
            <v>235 FU - FUNDACION GRUPO ENVIADOS</v>
          </cell>
          <cell r="D2870">
            <v>16</v>
          </cell>
        </row>
        <row r="2871">
          <cell r="A2871" t="str">
            <v>647 - IG CRISTO REY CAMBIANDO VIDAS (ESTE)</v>
          </cell>
          <cell r="D2871">
            <v>4</v>
          </cell>
        </row>
        <row r="2872">
          <cell r="A2872" t="str">
            <v>417-AS CLUB DE LEONES DE PEDREGAL (ESTE)</v>
          </cell>
          <cell r="D2872">
            <v>10</v>
          </cell>
        </row>
        <row r="2873">
          <cell r="A2873" t="str">
            <v>144 OR - HERMANAS DE SAN JOSÉ DE LA APARICIÓN (RETIRA EN EL BANCO)</v>
          </cell>
          <cell r="D2873">
            <v>6</v>
          </cell>
        </row>
        <row r="2874">
          <cell r="A2874" t="str">
            <v>381-FU FUNDAMIDOM</v>
          </cell>
          <cell r="E2874">
            <v>2</v>
          </cell>
        </row>
        <row r="2875">
          <cell r="A2875" t="str">
            <v>684 - FU FUNDACION CASA DEL REY JESUS (CENTRO 2)</v>
          </cell>
          <cell r="C2875">
            <v>4</v>
          </cell>
        </row>
        <row r="2876">
          <cell r="A2876" t="str">
            <v>229 PA - PARROQUIA SAN CRISTOBAL DE CHEPO</v>
          </cell>
          <cell r="D2876">
            <v>4</v>
          </cell>
        </row>
        <row r="2877">
          <cell r="A2877" t="str">
            <v>281-FU FUNDACIÓN CAMBIO CREATIVO</v>
          </cell>
          <cell r="H2877">
            <v>10</v>
          </cell>
        </row>
        <row r="2878">
          <cell r="A2878" t="str">
            <v>275 IG CONCILIO GENERAL DE LAS ASAMBLEAS DE DIOS DE PANAMÁ</v>
          </cell>
          <cell r="C2878">
            <v>4</v>
          </cell>
        </row>
        <row r="2879">
          <cell r="A2879" t="str">
            <v>394-IG IGLESIA ESCUADRONES DEL EJERCITO DE DIOS (CENTRO2)</v>
          </cell>
          <cell r="C2879">
            <v>4</v>
          </cell>
        </row>
        <row r="2880">
          <cell r="A2880" t="str">
            <v>253 FU - FUNDACIÓN PARA EL BIENESTAR SOCIAL (CENTRO2)</v>
          </cell>
          <cell r="C2880">
            <v>10</v>
          </cell>
        </row>
        <row r="2881">
          <cell r="A2881" t="str">
            <v>496-AS CUERPO DE VOLUNTARIAS DEL HOSPITAL DEL NIÑO</v>
          </cell>
          <cell r="C2881">
            <v>30</v>
          </cell>
        </row>
        <row r="2882">
          <cell r="A2882" t="str">
            <v>471-FU FUNDACION BUSCANDO UNA OPORTUNIDAD</v>
          </cell>
          <cell r="E2882">
            <v>6</v>
          </cell>
        </row>
        <row r="2883">
          <cell r="A2883" t="str">
            <v>5 AS - ASOCIACIÓN DAME UNA OPORTUNIDAD</v>
          </cell>
          <cell r="C2883">
            <v>8</v>
          </cell>
        </row>
        <row r="2884">
          <cell r="A2884" t="str">
            <v>827-FU Fundación Transformemos mi comunidad</v>
          </cell>
          <cell r="E2884">
            <v>10</v>
          </cell>
        </row>
        <row r="2885">
          <cell r="A2885" t="str">
            <v>Total general</v>
          </cell>
          <cell r="B2885">
            <v>8071.1600000000017</v>
          </cell>
          <cell r="C2885">
            <v>33274.289999999979</v>
          </cell>
          <cell r="D2885">
            <v>52191.29000000003</v>
          </cell>
          <cell r="E2885">
            <v>21221.819999999992</v>
          </cell>
          <cell r="F2885">
            <v>1720.3300000000002</v>
          </cell>
          <cell r="G2885">
            <v>4682.4699999999993</v>
          </cell>
          <cell r="H2885">
            <v>14179.62</v>
          </cell>
          <cell r="I2885">
            <v>8710.840000000002</v>
          </cell>
          <cell r="J2885">
            <v>16694.45</v>
          </cell>
          <cell r="K2885">
            <v>15281.279999999999</v>
          </cell>
          <cell r="L2885">
            <v>4874.0599999999995</v>
          </cell>
          <cell r="M2885">
            <v>21156.19</v>
          </cell>
          <cell r="N2885">
            <v>1434.49</v>
          </cell>
          <cell r="O2885">
            <v>1355.24</v>
          </cell>
        </row>
      </sheetData>
      <sheetData sheetId="9">
        <row r="1">
          <cell r="A1" t="str">
            <v>OB excepción</v>
          </cell>
          <cell r="M1" t="str">
            <v>CENTRO</v>
          </cell>
          <cell r="N1" t="str">
            <v>ESTE</v>
          </cell>
          <cell r="O1" t="str">
            <v>OESTE</v>
          </cell>
          <cell r="P1" t="str">
            <v>DARIEN</v>
          </cell>
          <cell r="Q1" t="str">
            <v>San Miguelito</v>
          </cell>
          <cell r="R1" t="str">
            <v>COLON</v>
          </cell>
          <cell r="S1" t="str">
            <v>NORTE</v>
          </cell>
          <cell r="T1" t="str">
            <v>CHIRIQUI</v>
          </cell>
          <cell r="U1" t="str">
            <v>COCLE</v>
          </cell>
          <cell r="V1" t="str">
            <v>HERRERA</v>
          </cell>
          <cell r="W1" t="str">
            <v>VERAGUAS</v>
          </cell>
          <cell r="X1" t="str">
            <v>Bocas</v>
          </cell>
          <cell r="Y1" t="str">
            <v>Los Santos</v>
          </cell>
          <cell r="Z1" t="str">
            <v>Comarca Ngabe Bugle</v>
          </cell>
        </row>
        <row r="2">
          <cell r="A2" t="str">
            <v>Mes</v>
          </cell>
          <cell r="J2" t="str">
            <v>OB excepción</v>
          </cell>
        </row>
        <row r="3">
          <cell r="A3" t="str">
            <v>Action Name</v>
          </cell>
          <cell r="J3" t="str">
            <v>Mes</v>
          </cell>
        </row>
        <row r="4">
          <cell r="A4" t="str">
            <v>Tipo GFN</v>
          </cell>
          <cell r="J4" t="str">
            <v>Action Name</v>
          </cell>
        </row>
        <row r="5">
          <cell r="A5" t="str">
            <v>Código de Transacción SF</v>
          </cell>
          <cell r="J5" t="str">
            <v>Tipo GFN</v>
          </cell>
        </row>
        <row r="6">
          <cell r="J6" t="str">
            <v>Código de Transacción SF</v>
          </cell>
          <cell r="M6">
            <v>135014</v>
          </cell>
          <cell r="N6">
            <v>135715.11428571428</v>
          </cell>
          <cell r="O6">
            <v>108075</v>
          </cell>
          <cell r="P6">
            <v>6129</v>
          </cell>
          <cell r="Q6">
            <v>108735</v>
          </cell>
          <cell r="R6">
            <v>10237</v>
          </cell>
          <cell r="S6">
            <v>34835</v>
          </cell>
          <cell r="T6">
            <v>22773</v>
          </cell>
          <cell r="U6">
            <v>13602</v>
          </cell>
          <cell r="V6">
            <v>3695</v>
          </cell>
          <cell r="W6">
            <v>9576</v>
          </cell>
          <cell r="X6">
            <v>0</v>
          </cell>
          <cell r="Y6">
            <v>600</v>
          </cell>
        </row>
        <row r="7">
          <cell r="A7" t="str">
            <v>DONANTE</v>
          </cell>
          <cell r="C7" t="str">
            <v># Sin Edad</v>
          </cell>
          <cell r="D7" t="str">
            <v># de Niños 0-5</v>
          </cell>
          <cell r="E7" t="str">
            <v># de Niños 6-10</v>
          </cell>
          <cell r="F7" t="str">
            <v># de Niños 11-18</v>
          </cell>
          <cell r="G7" t="str">
            <v># de Benefeciarios en Total</v>
          </cell>
        </row>
        <row r="8">
          <cell r="A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J8" t="str">
            <v>Promedio de # de Benefeciarios en Total</v>
          </cell>
        </row>
        <row r="9">
          <cell r="A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325</v>
          </cell>
          <cell r="J9" t="str">
            <v>DONANTE</v>
          </cell>
          <cell r="M9" t="str">
            <v>Panama Centro</v>
          </cell>
          <cell r="N9" t="str">
            <v>Panama Este</v>
          </cell>
          <cell r="O9" t="str">
            <v>Provincia de Panama Oeste</v>
          </cell>
          <cell r="P9" t="str">
            <v>Provincia de Darién</v>
          </cell>
          <cell r="Q9" t="str">
            <v>San Miguelito</v>
          </cell>
          <cell r="R9" t="str">
            <v>Provincia de Colon</v>
          </cell>
          <cell r="S9" t="str">
            <v>Panama Norte</v>
          </cell>
          <cell r="T9" t="str">
            <v>Provincia de Chiriquí</v>
          </cell>
          <cell r="U9" t="str">
            <v>Provincia de Coclé</v>
          </cell>
          <cell r="V9" t="str">
            <v>Provincia de Herrera</v>
          </cell>
          <cell r="W9" t="str">
            <v>Provincia de Veraguas</v>
          </cell>
          <cell r="X9" t="str">
            <v>Provincia de Bocas del Toro</v>
          </cell>
          <cell r="Y9" t="str">
            <v>Provincia de Los Santos</v>
          </cell>
        </row>
        <row r="10">
          <cell r="A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212</v>
          </cell>
          <cell r="J10">
            <v>0</v>
          </cell>
        </row>
        <row r="11">
          <cell r="A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30</v>
          </cell>
          <cell r="J11">
            <v>0</v>
          </cell>
          <cell r="M11">
            <v>325</v>
          </cell>
        </row>
        <row r="12">
          <cell r="A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102</v>
          </cell>
          <cell r="J12">
            <v>0</v>
          </cell>
          <cell r="N12">
            <v>212</v>
          </cell>
        </row>
        <row r="13">
          <cell r="A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J13">
            <v>0</v>
          </cell>
          <cell r="O13">
            <v>30</v>
          </cell>
        </row>
        <row r="14">
          <cell r="A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180</v>
          </cell>
          <cell r="J14">
            <v>0</v>
          </cell>
          <cell r="P14">
            <v>102</v>
          </cell>
        </row>
        <row r="15">
          <cell r="A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70</v>
          </cell>
          <cell r="J15">
            <v>0</v>
          </cell>
          <cell r="N15">
            <v>100</v>
          </cell>
        </row>
        <row r="16">
          <cell r="A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1060</v>
          </cell>
          <cell r="J16">
            <v>0</v>
          </cell>
          <cell r="O16">
            <v>180</v>
          </cell>
        </row>
        <row r="17">
          <cell r="A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J17">
            <v>0</v>
          </cell>
          <cell r="N17">
            <v>70</v>
          </cell>
        </row>
        <row r="18">
          <cell r="A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250</v>
          </cell>
          <cell r="J18">
            <v>0</v>
          </cell>
          <cell r="Q18">
            <v>1060</v>
          </cell>
        </row>
        <row r="19">
          <cell r="A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180</v>
          </cell>
          <cell r="J19">
            <v>0</v>
          </cell>
          <cell r="N19">
            <v>100</v>
          </cell>
        </row>
        <row r="20">
          <cell r="A20">
            <v>0</v>
          </cell>
          <cell r="C20">
            <v>40</v>
          </cell>
          <cell r="D20">
            <v>0</v>
          </cell>
          <cell r="E20">
            <v>0</v>
          </cell>
          <cell r="F20">
            <v>0</v>
          </cell>
          <cell r="G20">
            <v>40</v>
          </cell>
          <cell r="J20">
            <v>0</v>
          </cell>
          <cell r="N20">
            <v>250</v>
          </cell>
        </row>
        <row r="21">
          <cell r="A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73</v>
          </cell>
          <cell r="J21">
            <v>0</v>
          </cell>
          <cell r="R21">
            <v>180</v>
          </cell>
        </row>
        <row r="22">
          <cell r="A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65</v>
          </cell>
          <cell r="J22">
            <v>0</v>
          </cell>
          <cell r="R22">
            <v>40</v>
          </cell>
        </row>
        <row r="23">
          <cell r="A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70</v>
          </cell>
          <cell r="J23">
            <v>0</v>
          </cell>
          <cell r="S23">
            <v>73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1090</v>
          </cell>
          <cell r="J24">
            <v>0</v>
          </cell>
          <cell r="O24">
            <v>65</v>
          </cell>
        </row>
        <row r="25">
          <cell r="A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J25">
            <v>0</v>
          </cell>
          <cell r="N25">
            <v>70</v>
          </cell>
        </row>
        <row r="26">
          <cell r="A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282</v>
          </cell>
          <cell r="J26">
            <v>0</v>
          </cell>
          <cell r="O26">
            <v>1090</v>
          </cell>
        </row>
        <row r="27">
          <cell r="A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467</v>
          </cell>
          <cell r="J27">
            <v>0</v>
          </cell>
          <cell r="M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82</v>
          </cell>
          <cell r="J28">
            <v>0</v>
          </cell>
          <cell r="N28">
            <v>282</v>
          </cell>
        </row>
        <row r="29">
          <cell r="A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881</v>
          </cell>
          <cell r="J29">
            <v>0</v>
          </cell>
          <cell r="N29">
            <v>467</v>
          </cell>
        </row>
        <row r="30">
          <cell r="A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38</v>
          </cell>
          <cell r="J30">
            <v>0</v>
          </cell>
          <cell r="T30">
            <v>82</v>
          </cell>
        </row>
        <row r="31">
          <cell r="A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70</v>
          </cell>
          <cell r="J31">
            <v>0</v>
          </cell>
          <cell r="N31">
            <v>881</v>
          </cell>
        </row>
        <row r="32">
          <cell r="A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60</v>
          </cell>
          <cell r="J32">
            <v>0</v>
          </cell>
          <cell r="N32">
            <v>38</v>
          </cell>
        </row>
        <row r="33">
          <cell r="A33">
            <v>0</v>
          </cell>
          <cell r="C33">
            <v>0</v>
          </cell>
          <cell r="D33">
            <v>13</v>
          </cell>
          <cell r="E33">
            <v>37</v>
          </cell>
          <cell r="F33">
            <v>28</v>
          </cell>
          <cell r="G33">
            <v>243</v>
          </cell>
          <cell r="J33">
            <v>0</v>
          </cell>
          <cell r="N33">
            <v>70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130</v>
          </cell>
          <cell r="J34">
            <v>0</v>
          </cell>
          <cell r="N34">
            <v>60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62</v>
          </cell>
          <cell r="J35">
            <v>0</v>
          </cell>
          <cell r="N35">
            <v>243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116</v>
          </cell>
          <cell r="J36">
            <v>0</v>
          </cell>
          <cell r="N36">
            <v>130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542</v>
          </cell>
          <cell r="J37">
            <v>0</v>
          </cell>
          <cell r="N37">
            <v>62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211</v>
          </cell>
          <cell r="J38">
            <v>0</v>
          </cell>
          <cell r="O38">
            <v>116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138</v>
          </cell>
          <cell r="J39">
            <v>0</v>
          </cell>
          <cell r="N39">
            <v>542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147</v>
          </cell>
          <cell r="J40">
            <v>0</v>
          </cell>
          <cell r="S40">
            <v>211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52</v>
          </cell>
          <cell r="J41">
            <v>0</v>
          </cell>
          <cell r="O41">
            <v>138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500</v>
          </cell>
          <cell r="J42">
            <v>0</v>
          </cell>
          <cell r="N42">
            <v>147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62</v>
          </cell>
          <cell r="J43">
            <v>0</v>
          </cell>
          <cell r="S43">
            <v>52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215</v>
          </cell>
          <cell r="J44">
            <v>0</v>
          </cell>
          <cell r="M44">
            <v>500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155</v>
          </cell>
          <cell r="J45">
            <v>0</v>
          </cell>
          <cell r="N45">
            <v>62</v>
          </cell>
        </row>
        <row r="46">
          <cell r="A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84</v>
          </cell>
          <cell r="J46">
            <v>0</v>
          </cell>
          <cell r="M46">
            <v>215</v>
          </cell>
        </row>
        <row r="47">
          <cell r="A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105</v>
          </cell>
          <cell r="J47">
            <v>0</v>
          </cell>
          <cell r="M47">
            <v>155</v>
          </cell>
        </row>
        <row r="48">
          <cell r="A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100</v>
          </cell>
          <cell r="J48">
            <v>0</v>
          </cell>
          <cell r="T48">
            <v>84</v>
          </cell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264</v>
          </cell>
          <cell r="J49">
            <v>0</v>
          </cell>
          <cell r="N49">
            <v>105</v>
          </cell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55</v>
          </cell>
          <cell r="J50">
            <v>0</v>
          </cell>
          <cell r="M50">
            <v>100</v>
          </cell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57</v>
          </cell>
          <cell r="J51">
            <v>0</v>
          </cell>
          <cell r="N51">
            <v>264</v>
          </cell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60</v>
          </cell>
          <cell r="J52">
            <v>0</v>
          </cell>
          <cell r="S52">
            <v>55</v>
          </cell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115</v>
          </cell>
          <cell r="J53">
            <v>0</v>
          </cell>
          <cell r="Q53">
            <v>57</v>
          </cell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179</v>
          </cell>
          <cell r="J54">
            <v>0</v>
          </cell>
          <cell r="O54">
            <v>60</v>
          </cell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50</v>
          </cell>
          <cell r="J55">
            <v>0</v>
          </cell>
          <cell r="T55">
            <v>115</v>
          </cell>
        </row>
        <row r="56">
          <cell r="A56">
            <v>0</v>
          </cell>
          <cell r="C56">
            <v>162</v>
          </cell>
          <cell r="D56">
            <v>0</v>
          </cell>
          <cell r="E56">
            <v>0</v>
          </cell>
          <cell r="F56">
            <v>0</v>
          </cell>
          <cell r="G56">
            <v>162</v>
          </cell>
          <cell r="J56">
            <v>0</v>
          </cell>
          <cell r="S56">
            <v>179</v>
          </cell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86</v>
          </cell>
          <cell r="J57">
            <v>0</v>
          </cell>
          <cell r="N57">
            <v>50</v>
          </cell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201</v>
          </cell>
          <cell r="J58">
            <v>0</v>
          </cell>
          <cell r="N58">
            <v>162</v>
          </cell>
        </row>
        <row r="59">
          <cell r="A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73</v>
          </cell>
          <cell r="J59">
            <v>0</v>
          </cell>
          <cell r="N59">
            <v>86</v>
          </cell>
        </row>
        <row r="60">
          <cell r="A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181</v>
          </cell>
          <cell r="J60">
            <v>0</v>
          </cell>
          <cell r="M60">
            <v>201</v>
          </cell>
        </row>
        <row r="61">
          <cell r="A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635</v>
          </cell>
          <cell r="J61">
            <v>0</v>
          </cell>
          <cell r="T61">
            <v>73</v>
          </cell>
        </row>
        <row r="62">
          <cell r="A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201</v>
          </cell>
          <cell r="J62">
            <v>0</v>
          </cell>
          <cell r="R62">
            <v>181</v>
          </cell>
        </row>
        <row r="63">
          <cell r="A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J63">
            <v>0</v>
          </cell>
          <cell r="T63">
            <v>635</v>
          </cell>
        </row>
        <row r="64">
          <cell r="A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284</v>
          </cell>
          <cell r="J64">
            <v>0</v>
          </cell>
          <cell r="N64">
            <v>201</v>
          </cell>
        </row>
        <row r="65">
          <cell r="A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150</v>
          </cell>
          <cell r="J65">
            <v>0</v>
          </cell>
          <cell r="N65">
            <v>0</v>
          </cell>
        </row>
        <row r="66">
          <cell r="A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250</v>
          </cell>
          <cell r="J66">
            <v>0</v>
          </cell>
          <cell r="N66">
            <v>284</v>
          </cell>
        </row>
        <row r="67">
          <cell r="A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1200</v>
          </cell>
          <cell r="J67">
            <v>0</v>
          </cell>
          <cell r="M67">
            <v>150</v>
          </cell>
        </row>
        <row r="68">
          <cell r="A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20</v>
          </cell>
          <cell r="J68">
            <v>0</v>
          </cell>
          <cell r="N68">
            <v>250</v>
          </cell>
        </row>
        <row r="69">
          <cell r="A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110</v>
          </cell>
          <cell r="J69">
            <v>0</v>
          </cell>
          <cell r="O69">
            <v>1200</v>
          </cell>
        </row>
        <row r="70">
          <cell r="A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390</v>
          </cell>
          <cell r="J70">
            <v>0</v>
          </cell>
          <cell r="N70">
            <v>20</v>
          </cell>
        </row>
        <row r="71">
          <cell r="A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410</v>
          </cell>
          <cell r="J71">
            <v>0</v>
          </cell>
          <cell r="S71">
            <v>110</v>
          </cell>
        </row>
        <row r="72">
          <cell r="A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140</v>
          </cell>
          <cell r="J72">
            <v>0</v>
          </cell>
          <cell r="M72">
            <v>390</v>
          </cell>
        </row>
        <row r="73">
          <cell r="A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250</v>
          </cell>
          <cell r="J73">
            <v>0</v>
          </cell>
          <cell r="O73">
            <v>410</v>
          </cell>
        </row>
        <row r="74">
          <cell r="A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120</v>
          </cell>
          <cell r="J74">
            <v>0</v>
          </cell>
          <cell r="O74">
            <v>140</v>
          </cell>
        </row>
        <row r="75">
          <cell r="A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356</v>
          </cell>
          <cell r="J75">
            <v>0</v>
          </cell>
          <cell r="N75">
            <v>250</v>
          </cell>
        </row>
        <row r="76">
          <cell r="A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90</v>
          </cell>
          <cell r="J76">
            <v>0</v>
          </cell>
          <cell r="N76">
            <v>120</v>
          </cell>
        </row>
        <row r="77">
          <cell r="A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84</v>
          </cell>
          <cell r="J77">
            <v>0</v>
          </cell>
          <cell r="N77">
            <v>356</v>
          </cell>
        </row>
        <row r="78">
          <cell r="A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22</v>
          </cell>
          <cell r="J78">
            <v>0</v>
          </cell>
          <cell r="N78">
            <v>90</v>
          </cell>
        </row>
        <row r="79">
          <cell r="A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230</v>
          </cell>
          <cell r="J79">
            <v>0</v>
          </cell>
          <cell r="N79">
            <v>84</v>
          </cell>
        </row>
        <row r="80">
          <cell r="A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103</v>
          </cell>
          <cell r="J80">
            <v>0</v>
          </cell>
          <cell r="N80">
            <v>22</v>
          </cell>
        </row>
        <row r="81">
          <cell r="A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J81">
            <v>0</v>
          </cell>
          <cell r="N81">
            <v>230</v>
          </cell>
        </row>
        <row r="82">
          <cell r="A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165</v>
          </cell>
          <cell r="J82">
            <v>0</v>
          </cell>
          <cell r="N82">
            <v>103</v>
          </cell>
        </row>
        <row r="83">
          <cell r="A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456</v>
          </cell>
          <cell r="J83">
            <v>0</v>
          </cell>
          <cell r="N83">
            <v>0</v>
          </cell>
        </row>
        <row r="84">
          <cell r="A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251</v>
          </cell>
          <cell r="J84">
            <v>0</v>
          </cell>
          <cell r="N84">
            <v>165</v>
          </cell>
        </row>
        <row r="85">
          <cell r="A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60</v>
          </cell>
          <cell r="J85">
            <v>0</v>
          </cell>
          <cell r="N85">
            <v>456</v>
          </cell>
        </row>
        <row r="86">
          <cell r="A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75</v>
          </cell>
          <cell r="J86">
            <v>0</v>
          </cell>
          <cell r="N86">
            <v>251</v>
          </cell>
        </row>
        <row r="87">
          <cell r="A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1017</v>
          </cell>
          <cell r="J87">
            <v>0</v>
          </cell>
          <cell r="N87">
            <v>60</v>
          </cell>
        </row>
        <row r="88">
          <cell r="A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50</v>
          </cell>
          <cell r="J88">
            <v>0</v>
          </cell>
          <cell r="N88">
            <v>75</v>
          </cell>
        </row>
        <row r="89">
          <cell r="A89">
            <v>0</v>
          </cell>
          <cell r="C89">
            <v>0</v>
          </cell>
          <cell r="D89">
            <v>16</v>
          </cell>
          <cell r="E89">
            <v>19</v>
          </cell>
          <cell r="F89">
            <v>19</v>
          </cell>
          <cell r="G89">
            <v>219</v>
          </cell>
          <cell r="J89">
            <v>0</v>
          </cell>
          <cell r="O89">
            <v>1017</v>
          </cell>
        </row>
        <row r="90">
          <cell r="A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83</v>
          </cell>
          <cell r="J90">
            <v>0</v>
          </cell>
          <cell r="N90">
            <v>50</v>
          </cell>
        </row>
        <row r="91">
          <cell r="A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265</v>
          </cell>
          <cell r="J91">
            <v>0</v>
          </cell>
          <cell r="O91">
            <v>219</v>
          </cell>
        </row>
        <row r="92">
          <cell r="A92">
            <v>0</v>
          </cell>
          <cell r="C92">
            <v>100</v>
          </cell>
          <cell r="D92">
            <v>0</v>
          </cell>
          <cell r="E92">
            <v>0</v>
          </cell>
          <cell r="F92">
            <v>0</v>
          </cell>
          <cell r="G92">
            <v>305</v>
          </cell>
          <cell r="J92">
            <v>0</v>
          </cell>
          <cell r="Q92">
            <v>83</v>
          </cell>
        </row>
        <row r="93">
          <cell r="A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152</v>
          </cell>
          <cell r="J93">
            <v>0</v>
          </cell>
          <cell r="M93">
            <v>265</v>
          </cell>
        </row>
        <row r="94">
          <cell r="A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37</v>
          </cell>
          <cell r="J94">
            <v>0</v>
          </cell>
          <cell r="S94">
            <v>305</v>
          </cell>
        </row>
        <row r="95">
          <cell r="A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J95">
            <v>0</v>
          </cell>
          <cell r="S95">
            <v>152</v>
          </cell>
        </row>
        <row r="96">
          <cell r="A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60</v>
          </cell>
          <cell r="J96">
            <v>0</v>
          </cell>
          <cell r="T96">
            <v>37</v>
          </cell>
        </row>
        <row r="97">
          <cell r="A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J97">
            <v>0</v>
          </cell>
          <cell r="U97">
            <v>0</v>
          </cell>
        </row>
        <row r="98">
          <cell r="A98">
            <v>0</v>
          </cell>
          <cell r="C98">
            <v>10</v>
          </cell>
          <cell r="D98">
            <v>0</v>
          </cell>
          <cell r="E98">
            <v>0</v>
          </cell>
          <cell r="F98">
            <v>0</v>
          </cell>
          <cell r="G98">
            <v>10</v>
          </cell>
          <cell r="J98">
            <v>0</v>
          </cell>
          <cell r="Q98">
            <v>60</v>
          </cell>
        </row>
        <row r="99">
          <cell r="A99">
            <v>0</v>
          </cell>
          <cell r="C99">
            <v>10</v>
          </cell>
          <cell r="D99">
            <v>0</v>
          </cell>
          <cell r="E99">
            <v>0</v>
          </cell>
          <cell r="F99">
            <v>0</v>
          </cell>
          <cell r="G99">
            <v>10</v>
          </cell>
          <cell r="J99">
            <v>0</v>
          </cell>
          <cell r="M99">
            <v>0</v>
          </cell>
        </row>
        <row r="100">
          <cell r="A100">
            <v>0</v>
          </cell>
          <cell r="C100">
            <v>50</v>
          </cell>
          <cell r="D100">
            <v>0</v>
          </cell>
          <cell r="E100">
            <v>0</v>
          </cell>
          <cell r="F100">
            <v>0</v>
          </cell>
          <cell r="G100">
            <v>50</v>
          </cell>
          <cell r="J100">
            <v>0</v>
          </cell>
          <cell r="M100">
            <v>10</v>
          </cell>
        </row>
        <row r="101">
          <cell r="A101">
            <v>0</v>
          </cell>
          <cell r="C101">
            <v>8</v>
          </cell>
          <cell r="D101">
            <v>0</v>
          </cell>
          <cell r="E101">
            <v>0</v>
          </cell>
          <cell r="F101">
            <v>0</v>
          </cell>
          <cell r="G101">
            <v>8</v>
          </cell>
          <cell r="J101">
            <v>0</v>
          </cell>
          <cell r="M101">
            <v>10</v>
          </cell>
        </row>
        <row r="102">
          <cell r="A102">
            <v>0</v>
          </cell>
          <cell r="C102">
            <v>5</v>
          </cell>
          <cell r="D102">
            <v>0</v>
          </cell>
          <cell r="E102">
            <v>0</v>
          </cell>
          <cell r="F102">
            <v>0</v>
          </cell>
          <cell r="G102">
            <v>5</v>
          </cell>
          <cell r="J102">
            <v>0</v>
          </cell>
          <cell r="O102">
            <v>50</v>
          </cell>
        </row>
        <row r="103">
          <cell r="A103">
            <v>0</v>
          </cell>
          <cell r="C103">
            <v>5</v>
          </cell>
          <cell r="D103">
            <v>0</v>
          </cell>
          <cell r="E103">
            <v>0</v>
          </cell>
          <cell r="F103">
            <v>0</v>
          </cell>
          <cell r="G103">
            <v>5</v>
          </cell>
          <cell r="J103">
            <v>0</v>
          </cell>
          <cell r="M103">
            <v>8</v>
          </cell>
        </row>
        <row r="104">
          <cell r="A104">
            <v>0</v>
          </cell>
          <cell r="C104">
            <v>169</v>
          </cell>
          <cell r="D104">
            <v>0</v>
          </cell>
          <cell r="E104">
            <v>0</v>
          </cell>
          <cell r="F104">
            <v>0</v>
          </cell>
          <cell r="G104">
            <v>169</v>
          </cell>
          <cell r="J104">
            <v>0</v>
          </cell>
          <cell r="O104">
            <v>5</v>
          </cell>
        </row>
        <row r="105">
          <cell r="A105">
            <v>0</v>
          </cell>
          <cell r="C105">
            <v>45</v>
          </cell>
          <cell r="D105">
            <v>0</v>
          </cell>
          <cell r="E105">
            <v>0</v>
          </cell>
          <cell r="F105">
            <v>0</v>
          </cell>
          <cell r="G105">
            <v>45</v>
          </cell>
          <cell r="J105">
            <v>0</v>
          </cell>
          <cell r="O105">
            <v>5</v>
          </cell>
        </row>
        <row r="106">
          <cell r="A106">
            <v>0</v>
          </cell>
          <cell r="C106">
            <v>80</v>
          </cell>
          <cell r="D106">
            <v>0</v>
          </cell>
          <cell r="E106">
            <v>0</v>
          </cell>
          <cell r="F106">
            <v>0</v>
          </cell>
          <cell r="G106">
            <v>80</v>
          </cell>
          <cell r="J106">
            <v>0</v>
          </cell>
          <cell r="O106">
            <v>169</v>
          </cell>
        </row>
        <row r="107">
          <cell r="A107">
            <v>0</v>
          </cell>
          <cell r="C107">
            <v>45</v>
          </cell>
          <cell r="D107">
            <v>0</v>
          </cell>
          <cell r="E107">
            <v>0</v>
          </cell>
          <cell r="F107">
            <v>0</v>
          </cell>
          <cell r="G107">
            <v>45</v>
          </cell>
          <cell r="J107">
            <v>0</v>
          </cell>
          <cell r="O107">
            <v>45</v>
          </cell>
        </row>
        <row r="108">
          <cell r="A108">
            <v>0</v>
          </cell>
          <cell r="C108">
            <v>10</v>
          </cell>
          <cell r="D108">
            <v>0</v>
          </cell>
          <cell r="E108">
            <v>0</v>
          </cell>
          <cell r="F108">
            <v>0</v>
          </cell>
          <cell r="G108">
            <v>10</v>
          </cell>
          <cell r="J108">
            <v>0</v>
          </cell>
          <cell r="S108">
            <v>80</v>
          </cell>
        </row>
        <row r="109">
          <cell r="A109">
            <v>0</v>
          </cell>
          <cell r="C109">
            <v>20</v>
          </cell>
          <cell r="D109">
            <v>0</v>
          </cell>
          <cell r="E109">
            <v>0</v>
          </cell>
          <cell r="F109">
            <v>0</v>
          </cell>
          <cell r="G109">
            <v>20</v>
          </cell>
          <cell r="J109">
            <v>0</v>
          </cell>
          <cell r="O109">
            <v>45</v>
          </cell>
        </row>
        <row r="110">
          <cell r="A110">
            <v>0</v>
          </cell>
          <cell r="C110">
            <v>50</v>
          </cell>
          <cell r="D110">
            <v>0</v>
          </cell>
          <cell r="E110">
            <v>0</v>
          </cell>
          <cell r="F110">
            <v>0</v>
          </cell>
          <cell r="G110">
            <v>50</v>
          </cell>
          <cell r="J110">
            <v>0</v>
          </cell>
          <cell r="S110">
            <v>10</v>
          </cell>
        </row>
        <row r="111">
          <cell r="A111">
            <v>0</v>
          </cell>
          <cell r="C111">
            <v>100</v>
          </cell>
          <cell r="D111">
            <v>0</v>
          </cell>
          <cell r="E111">
            <v>0</v>
          </cell>
          <cell r="F111">
            <v>0</v>
          </cell>
          <cell r="G111">
            <v>100</v>
          </cell>
          <cell r="J111">
            <v>0</v>
          </cell>
          <cell r="M111">
            <v>20</v>
          </cell>
        </row>
        <row r="112">
          <cell r="A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J112">
            <v>0</v>
          </cell>
          <cell r="M112">
            <v>50</v>
          </cell>
        </row>
        <row r="113">
          <cell r="A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J113">
            <v>0</v>
          </cell>
          <cell r="S113">
            <v>100</v>
          </cell>
        </row>
        <row r="114">
          <cell r="A114">
            <v>0</v>
          </cell>
          <cell r="C114">
            <v>225</v>
          </cell>
          <cell r="D114">
            <v>0</v>
          </cell>
          <cell r="E114">
            <v>0</v>
          </cell>
          <cell r="F114">
            <v>0</v>
          </cell>
          <cell r="G114">
            <v>225</v>
          </cell>
          <cell r="J114">
            <v>0</v>
          </cell>
        </row>
        <row r="115">
          <cell r="A115">
            <v>0</v>
          </cell>
          <cell r="C115">
            <v>10</v>
          </cell>
          <cell r="D115">
            <v>0</v>
          </cell>
          <cell r="E115">
            <v>0</v>
          </cell>
          <cell r="F115">
            <v>0</v>
          </cell>
          <cell r="G115">
            <v>10</v>
          </cell>
          <cell r="J115">
            <v>0</v>
          </cell>
        </row>
        <row r="116">
          <cell r="A116">
            <v>0</v>
          </cell>
          <cell r="C116">
            <v>10</v>
          </cell>
          <cell r="D116">
            <v>0</v>
          </cell>
          <cell r="E116">
            <v>0</v>
          </cell>
          <cell r="F116">
            <v>0</v>
          </cell>
          <cell r="G116">
            <v>10</v>
          </cell>
          <cell r="J116">
            <v>0</v>
          </cell>
          <cell r="W116">
            <v>225</v>
          </cell>
        </row>
        <row r="117">
          <cell r="A117">
            <v>0</v>
          </cell>
          <cell r="C117">
            <v>150</v>
          </cell>
          <cell r="D117">
            <v>0</v>
          </cell>
          <cell r="E117">
            <v>0</v>
          </cell>
          <cell r="F117">
            <v>0</v>
          </cell>
          <cell r="G117">
            <v>150</v>
          </cell>
          <cell r="J117">
            <v>0</v>
          </cell>
          <cell r="M117">
            <v>10</v>
          </cell>
        </row>
        <row r="118">
          <cell r="A118">
            <v>0</v>
          </cell>
          <cell r="C118">
            <v>5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J118">
            <v>0</v>
          </cell>
          <cell r="N118">
            <v>10</v>
          </cell>
        </row>
        <row r="119">
          <cell r="A119">
            <v>0</v>
          </cell>
          <cell r="C119">
            <v>20</v>
          </cell>
          <cell r="D119">
            <v>0</v>
          </cell>
          <cell r="E119">
            <v>0</v>
          </cell>
          <cell r="F119">
            <v>0</v>
          </cell>
          <cell r="G119">
            <v>20</v>
          </cell>
          <cell r="J119">
            <v>0</v>
          </cell>
          <cell r="N119">
            <v>150</v>
          </cell>
        </row>
        <row r="120">
          <cell r="A120">
            <v>0</v>
          </cell>
          <cell r="C120">
            <v>25</v>
          </cell>
          <cell r="D120">
            <v>0</v>
          </cell>
          <cell r="E120">
            <v>0</v>
          </cell>
          <cell r="F120">
            <v>0</v>
          </cell>
          <cell r="G120">
            <v>25</v>
          </cell>
          <cell r="J120">
            <v>0</v>
          </cell>
          <cell r="N120">
            <v>5</v>
          </cell>
        </row>
        <row r="121">
          <cell r="A121">
            <v>0</v>
          </cell>
          <cell r="C121">
            <v>50</v>
          </cell>
          <cell r="D121">
            <v>0</v>
          </cell>
          <cell r="E121">
            <v>0</v>
          </cell>
          <cell r="F121">
            <v>0</v>
          </cell>
          <cell r="G121">
            <v>50</v>
          </cell>
          <cell r="J121">
            <v>0</v>
          </cell>
          <cell r="P121">
            <v>20</v>
          </cell>
        </row>
        <row r="122">
          <cell r="A122">
            <v>0</v>
          </cell>
          <cell r="C122">
            <v>65</v>
          </cell>
          <cell r="D122">
            <v>0</v>
          </cell>
          <cell r="E122">
            <v>0</v>
          </cell>
          <cell r="F122">
            <v>0</v>
          </cell>
          <cell r="G122">
            <v>65</v>
          </cell>
          <cell r="J122">
            <v>0</v>
          </cell>
          <cell r="N122">
            <v>25</v>
          </cell>
        </row>
        <row r="123">
          <cell r="A123">
            <v>0</v>
          </cell>
          <cell r="C123">
            <v>20</v>
          </cell>
          <cell r="D123">
            <v>0</v>
          </cell>
          <cell r="E123">
            <v>0</v>
          </cell>
          <cell r="F123">
            <v>0</v>
          </cell>
          <cell r="G123">
            <v>20</v>
          </cell>
          <cell r="J123">
            <v>0</v>
          </cell>
          <cell r="O123">
            <v>50</v>
          </cell>
        </row>
        <row r="124">
          <cell r="A124">
            <v>0</v>
          </cell>
          <cell r="C124">
            <v>50</v>
          </cell>
          <cell r="D124">
            <v>0</v>
          </cell>
          <cell r="E124">
            <v>0</v>
          </cell>
          <cell r="F124">
            <v>0</v>
          </cell>
          <cell r="G124">
            <v>50</v>
          </cell>
          <cell r="J124">
            <v>0</v>
          </cell>
          <cell r="N124">
            <v>65</v>
          </cell>
        </row>
        <row r="125">
          <cell r="A125">
            <v>0</v>
          </cell>
          <cell r="C125">
            <v>10</v>
          </cell>
          <cell r="D125">
            <v>0</v>
          </cell>
          <cell r="E125">
            <v>0</v>
          </cell>
          <cell r="F125">
            <v>0</v>
          </cell>
          <cell r="G125">
            <v>10</v>
          </cell>
          <cell r="J125">
            <v>0</v>
          </cell>
          <cell r="U125">
            <v>20</v>
          </cell>
        </row>
        <row r="126">
          <cell r="A126">
            <v>0</v>
          </cell>
          <cell r="C126">
            <v>5</v>
          </cell>
          <cell r="D126">
            <v>0</v>
          </cell>
          <cell r="E126">
            <v>0</v>
          </cell>
          <cell r="F126">
            <v>0</v>
          </cell>
          <cell r="G126">
            <v>5</v>
          </cell>
          <cell r="J126">
            <v>0</v>
          </cell>
          <cell r="T126">
            <v>50</v>
          </cell>
        </row>
        <row r="127">
          <cell r="A127">
            <v>0</v>
          </cell>
          <cell r="C127">
            <v>30</v>
          </cell>
          <cell r="D127">
            <v>0</v>
          </cell>
          <cell r="E127">
            <v>0</v>
          </cell>
          <cell r="F127">
            <v>0</v>
          </cell>
          <cell r="G127">
            <v>30</v>
          </cell>
          <cell r="J127">
            <v>0</v>
          </cell>
          <cell r="Q127">
            <v>10</v>
          </cell>
        </row>
        <row r="128">
          <cell r="A128">
            <v>0</v>
          </cell>
          <cell r="C128">
            <v>50</v>
          </cell>
          <cell r="D128">
            <v>0</v>
          </cell>
          <cell r="E128">
            <v>0</v>
          </cell>
          <cell r="F128">
            <v>0</v>
          </cell>
          <cell r="G128">
            <v>50</v>
          </cell>
          <cell r="J128">
            <v>0</v>
          </cell>
          <cell r="T128">
            <v>5</v>
          </cell>
        </row>
        <row r="129">
          <cell r="A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J129">
            <v>0</v>
          </cell>
          <cell r="M129">
            <v>30</v>
          </cell>
        </row>
        <row r="130">
          <cell r="A130">
            <v>0</v>
          </cell>
          <cell r="C130">
            <v>15</v>
          </cell>
          <cell r="D130">
            <v>0</v>
          </cell>
          <cell r="E130">
            <v>0</v>
          </cell>
          <cell r="F130">
            <v>0</v>
          </cell>
          <cell r="G130">
            <v>15</v>
          </cell>
          <cell r="J130">
            <v>0</v>
          </cell>
          <cell r="S130">
            <v>50</v>
          </cell>
        </row>
        <row r="131">
          <cell r="A131">
            <v>0</v>
          </cell>
          <cell r="C131">
            <v>70</v>
          </cell>
          <cell r="D131">
            <v>0</v>
          </cell>
          <cell r="E131">
            <v>0</v>
          </cell>
          <cell r="F131">
            <v>0</v>
          </cell>
          <cell r="G131">
            <v>70</v>
          </cell>
          <cell r="J131">
            <v>0</v>
          </cell>
          <cell r="R131">
            <v>0</v>
          </cell>
        </row>
        <row r="132">
          <cell r="A132">
            <v>0</v>
          </cell>
          <cell r="C132">
            <v>70</v>
          </cell>
          <cell r="D132">
            <v>0</v>
          </cell>
          <cell r="E132">
            <v>0</v>
          </cell>
          <cell r="F132">
            <v>0</v>
          </cell>
          <cell r="G132">
            <v>70</v>
          </cell>
          <cell r="J132">
            <v>0</v>
          </cell>
          <cell r="R132">
            <v>15</v>
          </cell>
        </row>
        <row r="133">
          <cell r="A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J133">
            <v>0</v>
          </cell>
          <cell r="R133">
            <v>70</v>
          </cell>
        </row>
        <row r="134">
          <cell r="A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J134">
            <v>0</v>
          </cell>
          <cell r="R134">
            <v>70</v>
          </cell>
        </row>
        <row r="135">
          <cell r="A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910</v>
          </cell>
          <cell r="J135">
            <v>0</v>
          </cell>
        </row>
        <row r="136">
          <cell r="A136">
            <v>0</v>
          </cell>
          <cell r="C136">
            <v>0</v>
          </cell>
          <cell r="D136">
            <v>40</v>
          </cell>
          <cell r="E136">
            <v>60</v>
          </cell>
          <cell r="F136">
            <v>40</v>
          </cell>
          <cell r="G136">
            <v>305</v>
          </cell>
          <cell r="J136">
            <v>0</v>
          </cell>
          <cell r="V136">
            <v>0</v>
          </cell>
        </row>
        <row r="137">
          <cell r="A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400</v>
          </cell>
          <cell r="J137">
            <v>0</v>
          </cell>
          <cell r="M137">
            <v>910</v>
          </cell>
        </row>
        <row r="138">
          <cell r="A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68</v>
          </cell>
          <cell r="J138">
            <v>0</v>
          </cell>
          <cell r="U138">
            <v>305</v>
          </cell>
        </row>
        <row r="139">
          <cell r="A139">
            <v>0</v>
          </cell>
          <cell r="C139">
            <v>0</v>
          </cell>
          <cell r="D139">
            <v>10</v>
          </cell>
          <cell r="E139">
            <v>20</v>
          </cell>
          <cell r="F139">
            <v>25</v>
          </cell>
          <cell r="G139">
            <v>175</v>
          </cell>
          <cell r="J139">
            <v>0</v>
          </cell>
          <cell r="M139">
            <v>400</v>
          </cell>
        </row>
        <row r="140">
          <cell r="A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256</v>
          </cell>
          <cell r="J140">
            <v>0</v>
          </cell>
          <cell r="O140">
            <v>68</v>
          </cell>
        </row>
        <row r="141">
          <cell r="A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31</v>
          </cell>
          <cell r="J141">
            <v>0</v>
          </cell>
          <cell r="M141">
            <v>175</v>
          </cell>
        </row>
        <row r="142">
          <cell r="A142">
            <v>0</v>
          </cell>
          <cell r="C142">
            <v>73</v>
          </cell>
          <cell r="D142">
            <v>0</v>
          </cell>
          <cell r="E142">
            <v>0</v>
          </cell>
          <cell r="F142">
            <v>0</v>
          </cell>
          <cell r="G142">
            <v>496</v>
          </cell>
          <cell r="J142">
            <v>0</v>
          </cell>
          <cell r="O142">
            <v>256</v>
          </cell>
        </row>
        <row r="143">
          <cell r="A143">
            <v>0</v>
          </cell>
          <cell r="C143">
            <v>4</v>
          </cell>
          <cell r="D143">
            <v>0</v>
          </cell>
          <cell r="E143">
            <v>0</v>
          </cell>
          <cell r="F143">
            <v>0</v>
          </cell>
          <cell r="G143">
            <v>4</v>
          </cell>
          <cell r="J143">
            <v>0</v>
          </cell>
          <cell r="R143">
            <v>31</v>
          </cell>
        </row>
        <row r="144">
          <cell r="A144">
            <v>0</v>
          </cell>
          <cell r="C144">
            <v>40</v>
          </cell>
          <cell r="D144">
            <v>0</v>
          </cell>
          <cell r="E144">
            <v>0</v>
          </cell>
          <cell r="F144">
            <v>0</v>
          </cell>
          <cell r="G144">
            <v>40</v>
          </cell>
          <cell r="J144">
            <v>0</v>
          </cell>
          <cell r="Q144">
            <v>496</v>
          </cell>
        </row>
        <row r="145">
          <cell r="A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30</v>
          </cell>
          <cell r="J145">
            <v>0</v>
          </cell>
        </row>
        <row r="146">
          <cell r="A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J146">
            <v>0</v>
          </cell>
          <cell r="M146">
            <v>40</v>
          </cell>
        </row>
        <row r="147">
          <cell r="A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J147">
            <v>0</v>
          </cell>
          <cell r="T147">
            <v>30</v>
          </cell>
        </row>
        <row r="148">
          <cell r="A148">
            <v>0</v>
          </cell>
          <cell r="C148">
            <v>5</v>
          </cell>
          <cell r="D148">
            <v>0</v>
          </cell>
          <cell r="E148">
            <v>0</v>
          </cell>
          <cell r="F148">
            <v>0</v>
          </cell>
          <cell r="G148">
            <v>5</v>
          </cell>
          <cell r="J148">
            <v>0</v>
          </cell>
          <cell r="X148">
            <v>0</v>
          </cell>
        </row>
        <row r="149">
          <cell r="A149">
            <v>0</v>
          </cell>
          <cell r="C149">
            <v>8</v>
          </cell>
          <cell r="D149">
            <v>0</v>
          </cell>
          <cell r="E149">
            <v>0</v>
          </cell>
          <cell r="F149">
            <v>0</v>
          </cell>
          <cell r="G149">
            <v>8</v>
          </cell>
          <cell r="J149">
            <v>0</v>
          </cell>
          <cell r="N149">
            <v>0</v>
          </cell>
        </row>
        <row r="150">
          <cell r="A150">
            <v>0</v>
          </cell>
          <cell r="C150">
            <v>0</v>
          </cell>
          <cell r="D150">
            <v>680</v>
          </cell>
          <cell r="E150">
            <v>450</v>
          </cell>
          <cell r="F150">
            <v>450</v>
          </cell>
          <cell r="G150">
            <v>4560</v>
          </cell>
          <cell r="J150">
            <v>0</v>
          </cell>
        </row>
        <row r="151">
          <cell r="A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J151">
            <v>0</v>
          </cell>
          <cell r="M151">
            <v>8</v>
          </cell>
        </row>
        <row r="152">
          <cell r="A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400</v>
          </cell>
          <cell r="J152">
            <v>0</v>
          </cell>
          <cell r="Q152">
            <v>4560</v>
          </cell>
        </row>
        <row r="153">
          <cell r="A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34</v>
          </cell>
          <cell r="J153">
            <v>0</v>
          </cell>
          <cell r="W153">
            <v>0</v>
          </cell>
        </row>
        <row r="154">
          <cell r="A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100</v>
          </cell>
          <cell r="J154">
            <v>0</v>
          </cell>
          <cell r="M154">
            <v>400</v>
          </cell>
        </row>
        <row r="155">
          <cell r="A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96</v>
          </cell>
          <cell r="J155">
            <v>0</v>
          </cell>
          <cell r="O155">
            <v>34</v>
          </cell>
        </row>
        <row r="156">
          <cell r="A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98</v>
          </cell>
          <cell r="J156">
            <v>0</v>
          </cell>
          <cell r="M156">
            <v>100</v>
          </cell>
        </row>
        <row r="157">
          <cell r="A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230</v>
          </cell>
          <cell r="J157">
            <v>0</v>
          </cell>
          <cell r="S157">
            <v>96</v>
          </cell>
        </row>
        <row r="158">
          <cell r="A158">
            <v>0</v>
          </cell>
          <cell r="C158">
            <v>200</v>
          </cell>
          <cell r="D158">
            <v>0</v>
          </cell>
          <cell r="E158">
            <v>0</v>
          </cell>
          <cell r="F158">
            <v>0</v>
          </cell>
          <cell r="G158">
            <v>200</v>
          </cell>
          <cell r="J158">
            <v>0</v>
          </cell>
          <cell r="N158">
            <v>223.4</v>
          </cell>
        </row>
        <row r="159">
          <cell r="A159">
            <v>0</v>
          </cell>
          <cell r="C159">
            <v>200</v>
          </cell>
          <cell r="D159">
            <v>25</v>
          </cell>
          <cell r="E159">
            <v>100</v>
          </cell>
          <cell r="F159">
            <v>25</v>
          </cell>
          <cell r="G159">
            <v>350</v>
          </cell>
          <cell r="J159">
            <v>0</v>
          </cell>
        </row>
        <row r="160">
          <cell r="A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J160">
            <v>0</v>
          </cell>
          <cell r="M160">
            <v>350</v>
          </cell>
        </row>
        <row r="161">
          <cell r="A161">
            <v>0</v>
          </cell>
          <cell r="C161">
            <v>225</v>
          </cell>
          <cell r="D161">
            <v>0</v>
          </cell>
          <cell r="E161">
            <v>0</v>
          </cell>
          <cell r="F161">
            <v>0</v>
          </cell>
          <cell r="G161">
            <v>352</v>
          </cell>
          <cell r="J161">
            <v>0</v>
          </cell>
        </row>
        <row r="162">
          <cell r="A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628</v>
          </cell>
          <cell r="J162">
            <v>0</v>
          </cell>
          <cell r="M162">
            <v>352</v>
          </cell>
        </row>
        <row r="163">
          <cell r="A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50</v>
          </cell>
          <cell r="J163">
            <v>0</v>
          </cell>
          <cell r="W163">
            <v>628</v>
          </cell>
        </row>
        <row r="164">
          <cell r="A164">
            <v>0</v>
          </cell>
          <cell r="C164">
            <v>85</v>
          </cell>
          <cell r="D164">
            <v>22</v>
          </cell>
          <cell r="E164">
            <v>25</v>
          </cell>
          <cell r="F164">
            <v>29</v>
          </cell>
          <cell r="G164">
            <v>192</v>
          </cell>
          <cell r="J164">
            <v>0</v>
          </cell>
          <cell r="T164">
            <v>50</v>
          </cell>
        </row>
        <row r="165">
          <cell r="A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J165">
            <v>0</v>
          </cell>
          <cell r="T165">
            <v>192</v>
          </cell>
        </row>
        <row r="166">
          <cell r="A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510</v>
          </cell>
          <cell r="J166">
            <v>0</v>
          </cell>
        </row>
        <row r="167">
          <cell r="A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97</v>
          </cell>
          <cell r="J167">
            <v>0</v>
          </cell>
          <cell r="N167">
            <v>510</v>
          </cell>
        </row>
        <row r="168">
          <cell r="A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40</v>
          </cell>
          <cell r="J168">
            <v>0</v>
          </cell>
          <cell r="N168">
            <v>97</v>
          </cell>
        </row>
        <row r="169">
          <cell r="A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1350</v>
          </cell>
          <cell r="J169">
            <v>0</v>
          </cell>
          <cell r="M169">
            <v>40</v>
          </cell>
        </row>
        <row r="170">
          <cell r="A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77</v>
          </cell>
          <cell r="J170">
            <v>0</v>
          </cell>
          <cell r="M170">
            <v>1350</v>
          </cell>
        </row>
        <row r="171">
          <cell r="A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130</v>
          </cell>
          <cell r="J171">
            <v>0</v>
          </cell>
          <cell r="M171">
            <v>77</v>
          </cell>
        </row>
        <row r="172">
          <cell r="A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J172">
            <v>0</v>
          </cell>
          <cell r="N172">
            <v>130</v>
          </cell>
        </row>
        <row r="173">
          <cell r="A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J173">
            <v>0</v>
          </cell>
          <cell r="W173">
            <v>0</v>
          </cell>
        </row>
        <row r="174">
          <cell r="A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251</v>
          </cell>
          <cell r="J174">
            <v>0</v>
          </cell>
          <cell r="W174">
            <v>0</v>
          </cell>
        </row>
        <row r="175">
          <cell r="A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J175">
            <v>0</v>
          </cell>
          <cell r="U175">
            <v>251</v>
          </cell>
        </row>
        <row r="176">
          <cell r="A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40</v>
          </cell>
          <cell r="J176">
            <v>0</v>
          </cell>
        </row>
        <row r="177">
          <cell r="A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120</v>
          </cell>
          <cell r="J177">
            <v>0</v>
          </cell>
          <cell r="S177">
            <v>40</v>
          </cell>
        </row>
        <row r="178">
          <cell r="A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125</v>
          </cell>
          <cell r="J178">
            <v>0</v>
          </cell>
          <cell r="N178">
            <v>120</v>
          </cell>
        </row>
        <row r="179">
          <cell r="A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J179">
            <v>0</v>
          </cell>
          <cell r="M179">
            <v>125</v>
          </cell>
        </row>
        <row r="180">
          <cell r="A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50</v>
          </cell>
          <cell r="J180">
            <v>0</v>
          </cell>
          <cell r="V180">
            <v>0</v>
          </cell>
        </row>
        <row r="181">
          <cell r="A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25</v>
          </cell>
          <cell r="J181">
            <v>0</v>
          </cell>
          <cell r="S181">
            <v>50</v>
          </cell>
        </row>
        <row r="182">
          <cell r="A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J182">
            <v>0</v>
          </cell>
          <cell r="M182">
            <v>25</v>
          </cell>
        </row>
        <row r="183">
          <cell r="A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J183">
            <v>0</v>
          </cell>
          <cell r="V183">
            <v>0</v>
          </cell>
        </row>
        <row r="184">
          <cell r="A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J184">
            <v>0</v>
          </cell>
          <cell r="Y184">
            <v>0</v>
          </cell>
        </row>
        <row r="185">
          <cell r="A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J185">
            <v>0</v>
          </cell>
          <cell r="W185">
            <v>0</v>
          </cell>
        </row>
        <row r="186">
          <cell r="A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209</v>
          </cell>
          <cell r="J186">
            <v>0</v>
          </cell>
          <cell r="O186">
            <v>0</v>
          </cell>
        </row>
        <row r="187">
          <cell r="A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J187">
            <v>0</v>
          </cell>
          <cell r="M187">
            <v>209</v>
          </cell>
        </row>
        <row r="188">
          <cell r="A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J188">
            <v>0</v>
          </cell>
          <cell r="M188">
            <v>0</v>
          </cell>
        </row>
        <row r="189">
          <cell r="A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150</v>
          </cell>
          <cell r="J189">
            <v>0</v>
          </cell>
          <cell r="N189">
            <v>0</v>
          </cell>
        </row>
        <row r="190">
          <cell r="A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6</v>
          </cell>
          <cell r="J190">
            <v>0</v>
          </cell>
          <cell r="S190">
            <v>150</v>
          </cell>
        </row>
        <row r="191">
          <cell r="A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100</v>
          </cell>
          <cell r="J191">
            <v>0</v>
          </cell>
          <cell r="N191">
            <v>6</v>
          </cell>
        </row>
        <row r="192">
          <cell r="A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200</v>
          </cell>
          <cell r="J192">
            <v>0</v>
          </cell>
          <cell r="O192">
            <v>100</v>
          </cell>
        </row>
        <row r="193">
          <cell r="A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240</v>
          </cell>
          <cell r="J193">
            <v>0</v>
          </cell>
          <cell r="M193">
            <v>200</v>
          </cell>
        </row>
        <row r="194">
          <cell r="A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J194">
            <v>0</v>
          </cell>
          <cell r="O194">
            <v>240</v>
          </cell>
        </row>
        <row r="195">
          <cell r="A195">
            <v>0</v>
          </cell>
          <cell r="C195">
            <v>1190</v>
          </cell>
          <cell r="D195">
            <v>0</v>
          </cell>
          <cell r="E195">
            <v>0</v>
          </cell>
          <cell r="F195">
            <v>0</v>
          </cell>
          <cell r="G195">
            <v>1190</v>
          </cell>
          <cell r="J195">
            <v>0</v>
          </cell>
          <cell r="R195">
            <v>0</v>
          </cell>
        </row>
        <row r="196">
          <cell r="A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200</v>
          </cell>
          <cell r="J196">
            <v>0</v>
          </cell>
          <cell r="S196">
            <v>1190</v>
          </cell>
        </row>
        <row r="197">
          <cell r="A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173</v>
          </cell>
          <cell r="J197">
            <v>0</v>
          </cell>
          <cell r="S197">
            <v>200</v>
          </cell>
        </row>
        <row r="198">
          <cell r="A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J198">
            <v>0</v>
          </cell>
          <cell r="P198">
            <v>173</v>
          </cell>
        </row>
        <row r="199">
          <cell r="A199">
            <v>0</v>
          </cell>
          <cell r="C199">
            <v>200</v>
          </cell>
          <cell r="D199">
            <v>0</v>
          </cell>
          <cell r="E199">
            <v>0</v>
          </cell>
          <cell r="F199">
            <v>0</v>
          </cell>
          <cell r="G199">
            <v>200</v>
          </cell>
          <cell r="J199">
            <v>0</v>
          </cell>
          <cell r="V199">
            <v>0</v>
          </cell>
        </row>
        <row r="200">
          <cell r="A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696</v>
          </cell>
          <cell r="J200">
            <v>0</v>
          </cell>
          <cell r="V200">
            <v>200</v>
          </cell>
        </row>
        <row r="201">
          <cell r="A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J201">
            <v>0</v>
          </cell>
          <cell r="U201">
            <v>696</v>
          </cell>
        </row>
        <row r="202">
          <cell r="A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265</v>
          </cell>
          <cell r="J202">
            <v>0</v>
          </cell>
          <cell r="Q202">
            <v>0</v>
          </cell>
        </row>
        <row r="203">
          <cell r="A203">
            <v>0</v>
          </cell>
          <cell r="C203">
            <v>0</v>
          </cell>
          <cell r="D203">
            <v>35</v>
          </cell>
          <cell r="E203">
            <v>0</v>
          </cell>
          <cell r="F203">
            <v>0</v>
          </cell>
          <cell r="G203">
            <v>110</v>
          </cell>
          <cell r="J203">
            <v>0</v>
          </cell>
          <cell r="M203">
            <v>265</v>
          </cell>
        </row>
        <row r="204">
          <cell r="A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130</v>
          </cell>
          <cell r="J204">
            <v>0</v>
          </cell>
          <cell r="N204">
            <v>110</v>
          </cell>
        </row>
        <row r="205">
          <cell r="A205">
            <v>0</v>
          </cell>
          <cell r="C205">
            <v>100</v>
          </cell>
          <cell r="D205">
            <v>0</v>
          </cell>
          <cell r="E205">
            <v>0</v>
          </cell>
          <cell r="F205">
            <v>0</v>
          </cell>
          <cell r="G205">
            <v>1300</v>
          </cell>
          <cell r="J205">
            <v>0</v>
          </cell>
          <cell r="N205">
            <v>130</v>
          </cell>
        </row>
        <row r="206">
          <cell r="A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52</v>
          </cell>
          <cell r="J206">
            <v>0</v>
          </cell>
          <cell r="M206">
            <v>1300</v>
          </cell>
        </row>
        <row r="207">
          <cell r="A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360</v>
          </cell>
          <cell r="J207">
            <v>0</v>
          </cell>
          <cell r="M207">
            <v>52</v>
          </cell>
        </row>
        <row r="208">
          <cell r="A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150</v>
          </cell>
          <cell r="J208">
            <v>0</v>
          </cell>
          <cell r="M208">
            <v>360</v>
          </cell>
        </row>
        <row r="209">
          <cell r="A209">
            <v>0</v>
          </cell>
          <cell r="C209">
            <v>0</v>
          </cell>
          <cell r="D209">
            <v>120</v>
          </cell>
          <cell r="E209">
            <v>180</v>
          </cell>
          <cell r="F209">
            <v>60</v>
          </cell>
          <cell r="G209">
            <v>630</v>
          </cell>
          <cell r="J209">
            <v>0</v>
          </cell>
          <cell r="P209">
            <v>150</v>
          </cell>
        </row>
        <row r="210">
          <cell r="A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50</v>
          </cell>
          <cell r="J210">
            <v>0</v>
          </cell>
          <cell r="M210">
            <v>630</v>
          </cell>
        </row>
        <row r="211">
          <cell r="A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600</v>
          </cell>
          <cell r="J211">
            <v>0</v>
          </cell>
          <cell r="M211">
            <v>50</v>
          </cell>
        </row>
        <row r="212">
          <cell r="A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105</v>
          </cell>
          <cell r="J212">
            <v>0</v>
          </cell>
          <cell r="M212">
            <v>600</v>
          </cell>
        </row>
        <row r="213">
          <cell r="A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490</v>
          </cell>
          <cell r="J213">
            <v>0</v>
          </cell>
          <cell r="O213">
            <v>105</v>
          </cell>
        </row>
        <row r="214">
          <cell r="A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480</v>
          </cell>
          <cell r="J214">
            <v>0</v>
          </cell>
          <cell r="N214">
            <v>490</v>
          </cell>
        </row>
        <row r="215">
          <cell r="A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740</v>
          </cell>
          <cell r="J215">
            <v>0</v>
          </cell>
          <cell r="O215">
            <v>480</v>
          </cell>
        </row>
        <row r="216">
          <cell r="A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J216">
            <v>0</v>
          </cell>
          <cell r="M216">
            <v>740</v>
          </cell>
        </row>
        <row r="217">
          <cell r="A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50</v>
          </cell>
          <cell r="J217">
            <v>0</v>
          </cell>
          <cell r="T217">
            <v>0</v>
          </cell>
        </row>
        <row r="218">
          <cell r="A218">
            <v>0</v>
          </cell>
          <cell r="C218">
            <v>1200</v>
          </cell>
          <cell r="D218">
            <v>0</v>
          </cell>
          <cell r="E218">
            <v>0</v>
          </cell>
          <cell r="F218">
            <v>0</v>
          </cell>
          <cell r="G218">
            <v>1800</v>
          </cell>
          <cell r="J218">
            <v>0</v>
          </cell>
          <cell r="Y218">
            <v>50</v>
          </cell>
        </row>
        <row r="219">
          <cell r="A219">
            <v>0</v>
          </cell>
          <cell r="C219">
            <v>160</v>
          </cell>
          <cell r="D219">
            <v>0</v>
          </cell>
          <cell r="E219">
            <v>0</v>
          </cell>
          <cell r="F219">
            <v>0</v>
          </cell>
          <cell r="G219">
            <v>430</v>
          </cell>
          <cell r="J219">
            <v>0</v>
          </cell>
          <cell r="T219">
            <v>1800</v>
          </cell>
        </row>
        <row r="220">
          <cell r="A220">
            <v>0</v>
          </cell>
          <cell r="C220">
            <v>300</v>
          </cell>
          <cell r="D220">
            <v>0</v>
          </cell>
          <cell r="E220">
            <v>0</v>
          </cell>
          <cell r="F220">
            <v>0</v>
          </cell>
          <cell r="G220">
            <v>300</v>
          </cell>
          <cell r="J220">
            <v>0</v>
          </cell>
          <cell r="V220">
            <v>430</v>
          </cell>
        </row>
        <row r="221">
          <cell r="A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80</v>
          </cell>
          <cell r="J221">
            <v>0</v>
          </cell>
          <cell r="U221">
            <v>300</v>
          </cell>
        </row>
        <row r="222">
          <cell r="A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J222">
            <v>0</v>
          </cell>
          <cell r="U222">
            <v>80</v>
          </cell>
        </row>
        <row r="223">
          <cell r="A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200</v>
          </cell>
          <cell r="J223">
            <v>0</v>
          </cell>
          <cell r="U223">
            <v>0</v>
          </cell>
        </row>
        <row r="224">
          <cell r="A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39</v>
          </cell>
          <cell r="J224">
            <v>0</v>
          </cell>
          <cell r="W224">
            <v>200</v>
          </cell>
        </row>
        <row r="225">
          <cell r="A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30</v>
          </cell>
          <cell r="J225">
            <v>0</v>
          </cell>
          <cell r="V225">
            <v>39</v>
          </cell>
        </row>
        <row r="226">
          <cell r="A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J226">
            <v>0</v>
          </cell>
          <cell r="V226">
            <v>30</v>
          </cell>
        </row>
        <row r="227">
          <cell r="A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346</v>
          </cell>
          <cell r="J227">
            <v>0</v>
          </cell>
          <cell r="N227">
            <v>0</v>
          </cell>
        </row>
        <row r="228">
          <cell r="A228">
            <v>0</v>
          </cell>
          <cell r="C228">
            <v>195</v>
          </cell>
          <cell r="D228">
            <v>0</v>
          </cell>
          <cell r="E228">
            <v>0</v>
          </cell>
          <cell r="F228">
            <v>0</v>
          </cell>
          <cell r="G228">
            <v>195</v>
          </cell>
          <cell r="J228">
            <v>0</v>
          </cell>
          <cell r="O228">
            <v>346</v>
          </cell>
        </row>
        <row r="229">
          <cell r="A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J229">
            <v>0</v>
          </cell>
          <cell r="W229">
            <v>195</v>
          </cell>
        </row>
        <row r="230">
          <cell r="A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J230">
            <v>0</v>
          </cell>
          <cell r="O230">
            <v>0</v>
          </cell>
        </row>
        <row r="231">
          <cell r="A231" t="str">
            <v>GRUPO REY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325</v>
          </cell>
          <cell r="J231">
            <v>0</v>
          </cell>
          <cell r="O231">
            <v>0</v>
          </cell>
        </row>
        <row r="232">
          <cell r="A232" t="str">
            <v>GRUPO REY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212</v>
          </cell>
          <cell r="J232" t="str">
            <v>GRUPO REY</v>
          </cell>
          <cell r="M232">
            <v>325</v>
          </cell>
        </row>
        <row r="233">
          <cell r="A233" t="str">
            <v>GRUPO REY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30</v>
          </cell>
          <cell r="J233" t="str">
            <v>GRUPO REY</v>
          </cell>
          <cell r="N233">
            <v>212</v>
          </cell>
        </row>
        <row r="234">
          <cell r="A234" t="str">
            <v>GRUPO REY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102</v>
          </cell>
          <cell r="J234" t="str">
            <v>GRUPO REY</v>
          </cell>
          <cell r="O234">
            <v>30</v>
          </cell>
        </row>
        <row r="235">
          <cell r="A235" t="str">
            <v>GRUPO REY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100</v>
          </cell>
          <cell r="J235" t="str">
            <v>GRUPO REY</v>
          </cell>
          <cell r="P235">
            <v>102</v>
          </cell>
        </row>
        <row r="236">
          <cell r="A236" t="str">
            <v>GRUPO REY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180</v>
          </cell>
          <cell r="J236" t="str">
            <v>GRUPO REY</v>
          </cell>
          <cell r="N236">
            <v>100</v>
          </cell>
        </row>
        <row r="237">
          <cell r="A237" t="str">
            <v>GRUPO REY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70</v>
          </cell>
          <cell r="J237" t="str">
            <v>GRUPO REY</v>
          </cell>
          <cell r="O237">
            <v>180</v>
          </cell>
        </row>
        <row r="238">
          <cell r="A238" t="str">
            <v>GRUPO REY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1060</v>
          </cell>
          <cell r="J238" t="str">
            <v>GRUPO REY</v>
          </cell>
          <cell r="N238">
            <v>70</v>
          </cell>
        </row>
        <row r="239">
          <cell r="A239" t="str">
            <v>GRUPO REY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100</v>
          </cell>
          <cell r="J239" t="str">
            <v>GRUPO REY</v>
          </cell>
          <cell r="Q239">
            <v>1060</v>
          </cell>
        </row>
        <row r="240">
          <cell r="A240" t="str">
            <v>GRUPO REY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250</v>
          </cell>
          <cell r="J240" t="str">
            <v>GRUPO REY</v>
          </cell>
          <cell r="N240">
            <v>100</v>
          </cell>
        </row>
        <row r="241">
          <cell r="A241" t="str">
            <v>GRUPO REY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180</v>
          </cell>
          <cell r="J241" t="str">
            <v>GRUPO REY</v>
          </cell>
          <cell r="N241">
            <v>250</v>
          </cell>
        </row>
        <row r="242">
          <cell r="A242" t="str">
            <v>GRUPO REY</v>
          </cell>
          <cell r="C242">
            <v>40</v>
          </cell>
          <cell r="D242">
            <v>0</v>
          </cell>
          <cell r="E242">
            <v>0</v>
          </cell>
          <cell r="F242">
            <v>0</v>
          </cell>
          <cell r="G242">
            <v>40</v>
          </cell>
          <cell r="J242" t="str">
            <v>GRUPO REY</v>
          </cell>
          <cell r="R242">
            <v>180</v>
          </cell>
        </row>
        <row r="243">
          <cell r="A243" t="str">
            <v>GRUPO REY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73</v>
          </cell>
          <cell r="J243" t="str">
            <v>GRUPO REY</v>
          </cell>
          <cell r="R243">
            <v>40</v>
          </cell>
        </row>
        <row r="244">
          <cell r="A244" t="str">
            <v>GRUPO REY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65</v>
          </cell>
          <cell r="J244" t="str">
            <v>GRUPO REY</v>
          </cell>
          <cell r="S244">
            <v>73</v>
          </cell>
        </row>
        <row r="245">
          <cell r="A245" t="str">
            <v>GRUPO REY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70</v>
          </cell>
          <cell r="J245" t="str">
            <v>GRUPO REY</v>
          </cell>
          <cell r="O245">
            <v>65</v>
          </cell>
        </row>
        <row r="246">
          <cell r="A246" t="str">
            <v>GRUPO REY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1090</v>
          </cell>
          <cell r="J246" t="str">
            <v>GRUPO REY</v>
          </cell>
          <cell r="N246">
            <v>70</v>
          </cell>
        </row>
        <row r="247">
          <cell r="A247" t="str">
            <v>GRUPO REY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J247" t="str">
            <v>GRUPO REY</v>
          </cell>
          <cell r="O247">
            <v>1090</v>
          </cell>
        </row>
        <row r="248">
          <cell r="A248" t="str">
            <v>GRUPO REY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282</v>
          </cell>
          <cell r="J248" t="str">
            <v>GRUPO REY</v>
          </cell>
          <cell r="M248">
            <v>0</v>
          </cell>
        </row>
        <row r="249">
          <cell r="A249" t="str">
            <v>GRUPO REY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467</v>
          </cell>
          <cell r="J249" t="str">
            <v>GRUPO REY</v>
          </cell>
          <cell r="N249">
            <v>282</v>
          </cell>
        </row>
        <row r="250">
          <cell r="A250" t="str">
            <v>GRUPO REY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38</v>
          </cell>
          <cell r="J250" t="str">
            <v>GRUPO REY</v>
          </cell>
          <cell r="N250">
            <v>467</v>
          </cell>
        </row>
        <row r="251">
          <cell r="A251" t="str">
            <v>GRUPO REY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70</v>
          </cell>
          <cell r="J251" t="str">
            <v>GRUPO REY</v>
          </cell>
          <cell r="N251">
            <v>38</v>
          </cell>
        </row>
        <row r="252">
          <cell r="A252" t="str">
            <v>GRUPO REY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60</v>
          </cell>
          <cell r="J252" t="str">
            <v>GRUPO REY</v>
          </cell>
          <cell r="N252">
            <v>70</v>
          </cell>
        </row>
        <row r="253">
          <cell r="A253" t="str">
            <v>GRUPO REY</v>
          </cell>
          <cell r="C253">
            <v>0</v>
          </cell>
          <cell r="D253">
            <v>13</v>
          </cell>
          <cell r="E253">
            <v>37</v>
          </cell>
          <cell r="F253">
            <v>28</v>
          </cell>
          <cell r="G253">
            <v>243</v>
          </cell>
          <cell r="J253" t="str">
            <v>GRUPO REY</v>
          </cell>
          <cell r="N253">
            <v>60</v>
          </cell>
        </row>
        <row r="254">
          <cell r="A254" t="str">
            <v>GRUPO REY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62</v>
          </cell>
          <cell r="J254" t="str">
            <v>GRUPO REY</v>
          </cell>
          <cell r="N254">
            <v>243</v>
          </cell>
        </row>
        <row r="255">
          <cell r="A255" t="str">
            <v>GRUPO REY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116</v>
          </cell>
          <cell r="J255" t="str">
            <v>GRUPO REY</v>
          </cell>
          <cell r="N255">
            <v>62</v>
          </cell>
        </row>
        <row r="256">
          <cell r="A256" t="str">
            <v>GRUPO REY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542</v>
          </cell>
          <cell r="J256" t="str">
            <v>GRUPO REY</v>
          </cell>
          <cell r="O256">
            <v>116</v>
          </cell>
        </row>
        <row r="257">
          <cell r="A257" t="str">
            <v>GRUPO REY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211</v>
          </cell>
          <cell r="J257" t="str">
            <v>GRUPO REY</v>
          </cell>
          <cell r="N257">
            <v>542</v>
          </cell>
        </row>
        <row r="258">
          <cell r="A258" t="str">
            <v>GRUPO REY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138</v>
          </cell>
          <cell r="J258" t="str">
            <v>GRUPO REY</v>
          </cell>
          <cell r="S258">
            <v>211</v>
          </cell>
        </row>
        <row r="259">
          <cell r="A259" t="str">
            <v>GRUPO REY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147</v>
          </cell>
          <cell r="J259" t="str">
            <v>GRUPO REY</v>
          </cell>
          <cell r="O259">
            <v>138</v>
          </cell>
        </row>
        <row r="260">
          <cell r="A260" t="str">
            <v>GRUPO REY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52</v>
          </cell>
          <cell r="J260" t="str">
            <v>GRUPO REY</v>
          </cell>
          <cell r="N260">
            <v>147</v>
          </cell>
        </row>
        <row r="261">
          <cell r="A261" t="str">
            <v>GRUPO REY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62</v>
          </cell>
          <cell r="J261" t="str">
            <v>GRUPO REY</v>
          </cell>
          <cell r="S261">
            <v>52</v>
          </cell>
        </row>
        <row r="262">
          <cell r="A262" t="str">
            <v>GRUPO REY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215</v>
          </cell>
          <cell r="J262" t="str">
            <v>GRUPO REY</v>
          </cell>
          <cell r="N262">
            <v>62</v>
          </cell>
        </row>
        <row r="263">
          <cell r="A263" t="str">
            <v>GRUPO REY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155</v>
          </cell>
          <cell r="J263" t="str">
            <v>GRUPO REY</v>
          </cell>
          <cell r="M263">
            <v>215</v>
          </cell>
        </row>
        <row r="264">
          <cell r="A264" t="str">
            <v>GRUPO REY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105</v>
          </cell>
          <cell r="J264" t="str">
            <v>GRUPO REY</v>
          </cell>
          <cell r="M264">
            <v>155</v>
          </cell>
        </row>
        <row r="265">
          <cell r="A265" t="str">
            <v>GRUPO REY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100</v>
          </cell>
          <cell r="J265" t="str">
            <v>GRUPO REY</v>
          </cell>
          <cell r="N265">
            <v>105</v>
          </cell>
        </row>
        <row r="266">
          <cell r="A266" t="str">
            <v>GRUPO REY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264</v>
          </cell>
          <cell r="J266" t="str">
            <v>GRUPO REY</v>
          </cell>
          <cell r="M266">
            <v>100</v>
          </cell>
        </row>
        <row r="267">
          <cell r="A267" t="str">
            <v>GRUPO REY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55</v>
          </cell>
          <cell r="J267" t="str">
            <v>GRUPO REY</v>
          </cell>
          <cell r="N267">
            <v>264</v>
          </cell>
        </row>
        <row r="268">
          <cell r="A268" t="str">
            <v>GRUPO REY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57</v>
          </cell>
          <cell r="J268" t="str">
            <v>GRUPO REY</v>
          </cell>
          <cell r="S268">
            <v>55</v>
          </cell>
        </row>
        <row r="269">
          <cell r="A269" t="str">
            <v>GRUPO REY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60</v>
          </cell>
          <cell r="J269" t="str">
            <v>GRUPO REY</v>
          </cell>
          <cell r="Q269">
            <v>57</v>
          </cell>
        </row>
        <row r="270">
          <cell r="A270" t="str">
            <v>GRUPO REY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179</v>
          </cell>
          <cell r="J270" t="str">
            <v>GRUPO REY</v>
          </cell>
          <cell r="O270">
            <v>60</v>
          </cell>
        </row>
        <row r="271">
          <cell r="A271" t="str">
            <v>GRUPO REY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50</v>
          </cell>
          <cell r="J271" t="str">
            <v>GRUPO REY</v>
          </cell>
          <cell r="S271">
            <v>179</v>
          </cell>
        </row>
        <row r="272">
          <cell r="A272" t="str">
            <v>GRUPO REY</v>
          </cell>
          <cell r="C272">
            <v>162</v>
          </cell>
          <cell r="D272">
            <v>0</v>
          </cell>
          <cell r="E272">
            <v>0</v>
          </cell>
          <cell r="F272">
            <v>0</v>
          </cell>
          <cell r="G272">
            <v>162</v>
          </cell>
          <cell r="J272" t="str">
            <v>GRUPO REY</v>
          </cell>
          <cell r="N272">
            <v>50</v>
          </cell>
        </row>
        <row r="273">
          <cell r="A273" t="str">
            <v>GRUPO REY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86</v>
          </cell>
          <cell r="J273" t="str">
            <v>GRUPO REY</v>
          </cell>
          <cell r="N273">
            <v>162</v>
          </cell>
        </row>
        <row r="274">
          <cell r="A274" t="str">
            <v>GRUPO REY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201</v>
          </cell>
          <cell r="J274" t="str">
            <v>GRUPO REY</v>
          </cell>
          <cell r="N274">
            <v>86</v>
          </cell>
        </row>
        <row r="275">
          <cell r="A275" t="str">
            <v>GRUPO REY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181</v>
          </cell>
          <cell r="J275" t="str">
            <v>GRUPO REY</v>
          </cell>
          <cell r="M275">
            <v>201</v>
          </cell>
        </row>
        <row r="276">
          <cell r="A276" t="str">
            <v>GRUPO REY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201</v>
          </cell>
          <cell r="J276" t="str">
            <v>GRUPO REY</v>
          </cell>
          <cell r="R276">
            <v>181</v>
          </cell>
        </row>
        <row r="277">
          <cell r="A277" t="str">
            <v>GRUPO REY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J277" t="str">
            <v>GRUPO REY</v>
          </cell>
          <cell r="N277">
            <v>201</v>
          </cell>
        </row>
        <row r="278">
          <cell r="A278" t="str">
            <v>GRUPO REY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284</v>
          </cell>
          <cell r="J278" t="str">
            <v>GRUPO REY</v>
          </cell>
          <cell r="N278">
            <v>0</v>
          </cell>
        </row>
        <row r="279">
          <cell r="A279" t="str">
            <v>GRUPO REY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150</v>
          </cell>
          <cell r="J279" t="str">
            <v>GRUPO REY</v>
          </cell>
          <cell r="N279">
            <v>284</v>
          </cell>
        </row>
        <row r="280">
          <cell r="A280" t="str">
            <v>GRUPO REY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250</v>
          </cell>
          <cell r="J280" t="str">
            <v>GRUPO REY</v>
          </cell>
          <cell r="M280">
            <v>150</v>
          </cell>
        </row>
        <row r="281">
          <cell r="A281" t="str">
            <v>GRUPO REY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1200</v>
          </cell>
          <cell r="J281" t="str">
            <v>GRUPO REY</v>
          </cell>
          <cell r="N281">
            <v>250</v>
          </cell>
        </row>
        <row r="282">
          <cell r="A282" t="str">
            <v>GRUPO REY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20</v>
          </cell>
          <cell r="J282" t="str">
            <v>GRUPO REY</v>
          </cell>
          <cell r="O282">
            <v>1200</v>
          </cell>
        </row>
        <row r="283">
          <cell r="A283" t="str">
            <v>GRUPO REY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110</v>
          </cell>
          <cell r="J283" t="str">
            <v>GRUPO REY</v>
          </cell>
          <cell r="N283">
            <v>20</v>
          </cell>
        </row>
        <row r="284">
          <cell r="A284" t="str">
            <v>GRUPO REY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390</v>
          </cell>
          <cell r="J284" t="str">
            <v>GRUPO REY</v>
          </cell>
          <cell r="S284">
            <v>110</v>
          </cell>
        </row>
        <row r="285">
          <cell r="A285" t="str">
            <v>GRUPO REY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140</v>
          </cell>
          <cell r="J285" t="str">
            <v>GRUPO REY</v>
          </cell>
          <cell r="M285">
            <v>390</v>
          </cell>
        </row>
        <row r="286">
          <cell r="A286" t="str">
            <v>GRUPO REY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250</v>
          </cell>
          <cell r="J286" t="str">
            <v>GRUPO REY</v>
          </cell>
          <cell r="O286">
            <v>140</v>
          </cell>
        </row>
        <row r="287">
          <cell r="A287" t="str">
            <v>GRUPO REY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120</v>
          </cell>
          <cell r="J287" t="str">
            <v>GRUPO REY</v>
          </cell>
          <cell r="N287">
            <v>250</v>
          </cell>
        </row>
        <row r="288">
          <cell r="A288" t="str">
            <v>GRUPO REY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356</v>
          </cell>
          <cell r="J288" t="str">
            <v>GRUPO REY</v>
          </cell>
          <cell r="N288">
            <v>120</v>
          </cell>
        </row>
        <row r="289">
          <cell r="A289" t="str">
            <v>GRUPO REY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90</v>
          </cell>
          <cell r="J289" t="str">
            <v>GRUPO REY</v>
          </cell>
          <cell r="N289">
            <v>356</v>
          </cell>
        </row>
        <row r="290">
          <cell r="A290" t="str">
            <v>GRUPO REY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67</v>
          </cell>
          <cell r="J290" t="str">
            <v>GRUPO REY</v>
          </cell>
          <cell r="N290">
            <v>90</v>
          </cell>
        </row>
        <row r="291">
          <cell r="A291" t="str">
            <v>GRUPO REY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84</v>
          </cell>
          <cell r="J291" t="str">
            <v>GRUPO REY</v>
          </cell>
          <cell r="N291">
            <v>67</v>
          </cell>
        </row>
        <row r="292">
          <cell r="A292" t="str">
            <v>GRUPO REY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22</v>
          </cell>
          <cell r="J292" t="str">
            <v>GRUPO REY</v>
          </cell>
          <cell r="N292">
            <v>84</v>
          </cell>
        </row>
        <row r="293">
          <cell r="A293" t="str">
            <v>GRUPO REY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230</v>
          </cell>
          <cell r="J293" t="str">
            <v>GRUPO REY</v>
          </cell>
          <cell r="N293">
            <v>22</v>
          </cell>
        </row>
        <row r="294">
          <cell r="A294" t="str">
            <v>GRUPO REY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103</v>
          </cell>
          <cell r="J294" t="str">
            <v>GRUPO REY</v>
          </cell>
          <cell r="N294">
            <v>230</v>
          </cell>
        </row>
        <row r="295">
          <cell r="A295" t="str">
            <v>GRUPO REY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J295" t="str">
            <v>GRUPO REY</v>
          </cell>
          <cell r="N295">
            <v>103</v>
          </cell>
        </row>
        <row r="296">
          <cell r="A296" t="str">
            <v>GRUPO REY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165</v>
          </cell>
          <cell r="J296" t="str">
            <v>GRUPO REY</v>
          </cell>
          <cell r="N296">
            <v>0</v>
          </cell>
        </row>
        <row r="297">
          <cell r="A297" t="str">
            <v>GRUPO REY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456</v>
          </cell>
          <cell r="J297" t="str">
            <v>GRUPO REY</v>
          </cell>
          <cell r="N297">
            <v>165</v>
          </cell>
        </row>
        <row r="298">
          <cell r="A298" t="str">
            <v>GRUPO REY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251</v>
          </cell>
          <cell r="J298" t="str">
            <v>GRUPO REY</v>
          </cell>
          <cell r="N298">
            <v>456</v>
          </cell>
        </row>
        <row r="299">
          <cell r="A299" t="str">
            <v>GRUPO REY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60</v>
          </cell>
          <cell r="J299" t="str">
            <v>GRUPO REY</v>
          </cell>
          <cell r="N299">
            <v>251</v>
          </cell>
        </row>
        <row r="300">
          <cell r="A300" t="str">
            <v>GRUPO REY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75</v>
          </cell>
          <cell r="J300" t="str">
            <v>GRUPO REY</v>
          </cell>
          <cell r="N300">
            <v>60</v>
          </cell>
        </row>
        <row r="301">
          <cell r="A301" t="str">
            <v>GRUPO REY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1017</v>
          </cell>
          <cell r="J301" t="str">
            <v>GRUPO REY</v>
          </cell>
          <cell r="N301">
            <v>75</v>
          </cell>
        </row>
        <row r="302">
          <cell r="A302" t="str">
            <v>GRUPO REY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107</v>
          </cell>
          <cell r="J302" t="str">
            <v>GRUPO REY</v>
          </cell>
          <cell r="O302">
            <v>1017</v>
          </cell>
        </row>
        <row r="303">
          <cell r="A303" t="str">
            <v>GRUPO REY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50</v>
          </cell>
          <cell r="J303" t="str">
            <v>GRUPO REY</v>
          </cell>
          <cell r="N303">
            <v>107</v>
          </cell>
        </row>
        <row r="304">
          <cell r="A304" t="str">
            <v>GRUPO REY</v>
          </cell>
          <cell r="C304">
            <v>0</v>
          </cell>
          <cell r="D304">
            <v>16</v>
          </cell>
          <cell r="E304">
            <v>19</v>
          </cell>
          <cell r="F304">
            <v>19</v>
          </cell>
          <cell r="G304">
            <v>219</v>
          </cell>
          <cell r="J304" t="str">
            <v>GRUPO REY</v>
          </cell>
          <cell r="N304">
            <v>50</v>
          </cell>
        </row>
        <row r="305">
          <cell r="A305" t="str">
            <v>GRUPO REY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83</v>
          </cell>
          <cell r="J305" t="str">
            <v>GRUPO REY</v>
          </cell>
          <cell r="O305">
            <v>219</v>
          </cell>
        </row>
        <row r="306">
          <cell r="A306" t="str">
            <v>GRUPO REY</v>
          </cell>
          <cell r="C306">
            <v>100</v>
          </cell>
          <cell r="D306">
            <v>0</v>
          </cell>
          <cell r="E306">
            <v>0</v>
          </cell>
          <cell r="F306">
            <v>0</v>
          </cell>
          <cell r="G306">
            <v>305</v>
          </cell>
          <cell r="J306" t="str">
            <v>GRUPO REY</v>
          </cell>
          <cell r="Q306">
            <v>83</v>
          </cell>
        </row>
        <row r="307">
          <cell r="A307" t="str">
            <v>GRUPO REY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152</v>
          </cell>
          <cell r="J307" t="str">
            <v>GRUPO REY</v>
          </cell>
          <cell r="S307">
            <v>305</v>
          </cell>
        </row>
        <row r="308">
          <cell r="A308" t="str">
            <v>GRUPO REY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J308" t="str">
            <v>GRUPO REY</v>
          </cell>
          <cell r="S308">
            <v>152</v>
          </cell>
        </row>
        <row r="309">
          <cell r="A309" t="str">
            <v>GRUPO REY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60</v>
          </cell>
          <cell r="J309" t="str">
            <v>GRUPO REY</v>
          </cell>
          <cell r="U309">
            <v>0</v>
          </cell>
        </row>
        <row r="310">
          <cell r="A310" t="str">
            <v>GRUPO REY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J310" t="str">
            <v>GRUPO REY</v>
          </cell>
          <cell r="Q310">
            <v>60</v>
          </cell>
        </row>
        <row r="311">
          <cell r="A311" t="str">
            <v>GRUPO REY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J311" t="str">
            <v>GRUPO REY</v>
          </cell>
        </row>
        <row r="312">
          <cell r="A312" t="str">
            <v>GRUPO REY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910</v>
          </cell>
          <cell r="J312" t="str">
            <v>GRUPO REY</v>
          </cell>
          <cell r="V312">
            <v>0</v>
          </cell>
        </row>
        <row r="313">
          <cell r="A313" t="str">
            <v>GRUPO REY</v>
          </cell>
          <cell r="C313">
            <v>0</v>
          </cell>
          <cell r="D313">
            <v>10</v>
          </cell>
          <cell r="E313">
            <v>20</v>
          </cell>
          <cell r="F313">
            <v>25</v>
          </cell>
          <cell r="G313">
            <v>175</v>
          </cell>
          <cell r="J313" t="str">
            <v>GRUPO REY</v>
          </cell>
          <cell r="M313">
            <v>910</v>
          </cell>
        </row>
        <row r="314">
          <cell r="A314" t="str">
            <v>GRUPO REY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256</v>
          </cell>
          <cell r="J314" t="str">
            <v>GRUPO REY</v>
          </cell>
          <cell r="M314">
            <v>175</v>
          </cell>
        </row>
        <row r="315">
          <cell r="A315" t="str">
            <v>GRUPO REY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31</v>
          </cell>
          <cell r="J315" t="str">
            <v>GRUPO REY</v>
          </cell>
          <cell r="O315">
            <v>256</v>
          </cell>
        </row>
        <row r="316">
          <cell r="A316" t="str">
            <v>GRUPO REY</v>
          </cell>
          <cell r="C316">
            <v>73</v>
          </cell>
          <cell r="D316">
            <v>0</v>
          </cell>
          <cell r="E316">
            <v>0</v>
          </cell>
          <cell r="F316">
            <v>0</v>
          </cell>
          <cell r="G316">
            <v>496</v>
          </cell>
          <cell r="J316" t="str">
            <v>GRUPO REY</v>
          </cell>
          <cell r="R316">
            <v>31</v>
          </cell>
        </row>
        <row r="317">
          <cell r="A317" t="str">
            <v>GRUPO REY</v>
          </cell>
          <cell r="C317">
            <v>0</v>
          </cell>
          <cell r="D317">
            <v>680</v>
          </cell>
          <cell r="E317">
            <v>450</v>
          </cell>
          <cell r="F317">
            <v>450</v>
          </cell>
          <cell r="G317">
            <v>4560</v>
          </cell>
          <cell r="J317" t="str">
            <v>GRUPO REY</v>
          </cell>
          <cell r="Q317">
            <v>496</v>
          </cell>
        </row>
        <row r="318">
          <cell r="A318" t="str">
            <v>GRUPO REY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J318" t="str">
            <v>GRUPO REY</v>
          </cell>
          <cell r="Q318">
            <v>4560</v>
          </cell>
        </row>
        <row r="319">
          <cell r="A319" t="str">
            <v>GRUPO REY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400</v>
          </cell>
          <cell r="J319" t="str">
            <v>GRUPO REY</v>
          </cell>
          <cell r="W319">
            <v>0</v>
          </cell>
        </row>
        <row r="320">
          <cell r="A320" t="str">
            <v>GRUPO REY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34</v>
          </cell>
          <cell r="J320" t="str">
            <v>GRUPO REY</v>
          </cell>
          <cell r="M320">
            <v>400</v>
          </cell>
        </row>
        <row r="321">
          <cell r="A321" t="str">
            <v>GRUPO REY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100</v>
          </cell>
          <cell r="J321" t="str">
            <v>GRUPO REY</v>
          </cell>
          <cell r="O321">
            <v>34</v>
          </cell>
        </row>
        <row r="322">
          <cell r="A322" t="str">
            <v>GRUPO REY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96</v>
          </cell>
          <cell r="J322" t="str">
            <v>GRUPO REY</v>
          </cell>
          <cell r="M322">
            <v>100</v>
          </cell>
        </row>
        <row r="323">
          <cell r="A323" t="str">
            <v>GRUPO REY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98</v>
          </cell>
          <cell r="J323" t="str">
            <v>GRUPO REY</v>
          </cell>
          <cell r="S323">
            <v>96</v>
          </cell>
        </row>
        <row r="324">
          <cell r="A324" t="str">
            <v>GRUPO REY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230</v>
          </cell>
          <cell r="J324" t="str">
            <v>GRUPO REY</v>
          </cell>
          <cell r="N324">
            <v>223.71428571428572</v>
          </cell>
        </row>
        <row r="325">
          <cell r="A325" t="str">
            <v>GRUPO REY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850</v>
          </cell>
          <cell r="J325" t="str">
            <v>GRUPO REY</v>
          </cell>
          <cell r="M325">
            <v>850</v>
          </cell>
        </row>
        <row r="326">
          <cell r="A326" t="str">
            <v>GRUPO REY</v>
          </cell>
          <cell r="C326">
            <v>200</v>
          </cell>
          <cell r="D326">
            <v>25</v>
          </cell>
          <cell r="E326">
            <v>100</v>
          </cell>
          <cell r="F326">
            <v>25</v>
          </cell>
          <cell r="G326">
            <v>350</v>
          </cell>
          <cell r="J326" t="str">
            <v>GRUPO REY</v>
          </cell>
          <cell r="M326">
            <v>350</v>
          </cell>
        </row>
        <row r="327">
          <cell r="A327" t="str">
            <v>GRUPO REY</v>
          </cell>
          <cell r="C327">
            <v>225</v>
          </cell>
          <cell r="D327">
            <v>0</v>
          </cell>
          <cell r="E327">
            <v>0</v>
          </cell>
          <cell r="F327">
            <v>0</v>
          </cell>
          <cell r="G327">
            <v>352</v>
          </cell>
          <cell r="J327" t="str">
            <v>GRUPO REY</v>
          </cell>
          <cell r="M327">
            <v>352</v>
          </cell>
        </row>
        <row r="328">
          <cell r="A328" t="str">
            <v>GRUPO REY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628</v>
          </cell>
          <cell r="J328" t="str">
            <v>GRUPO REY</v>
          </cell>
          <cell r="W328">
            <v>628</v>
          </cell>
        </row>
        <row r="329">
          <cell r="A329" t="str">
            <v>GRUPO REY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510</v>
          </cell>
          <cell r="J329" t="str">
            <v>GRUPO REY</v>
          </cell>
          <cell r="N329">
            <v>510</v>
          </cell>
        </row>
        <row r="330">
          <cell r="A330" t="str">
            <v>GRUPO REY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97</v>
          </cell>
          <cell r="J330" t="str">
            <v>GRUPO REY</v>
          </cell>
          <cell r="N330">
            <v>97</v>
          </cell>
        </row>
        <row r="331">
          <cell r="A331" t="str">
            <v>GRUPO REY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40</v>
          </cell>
          <cell r="J331" t="str">
            <v>GRUPO REY</v>
          </cell>
          <cell r="M331">
            <v>40</v>
          </cell>
        </row>
        <row r="332">
          <cell r="A332" t="str">
            <v>GRUPO REY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1350</v>
          </cell>
          <cell r="J332" t="str">
            <v>GRUPO REY</v>
          </cell>
          <cell r="M332">
            <v>1350</v>
          </cell>
        </row>
        <row r="333">
          <cell r="A333" t="str">
            <v>GRUPO REY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77</v>
          </cell>
          <cell r="J333" t="str">
            <v>GRUPO REY</v>
          </cell>
          <cell r="M333">
            <v>77</v>
          </cell>
        </row>
        <row r="334">
          <cell r="A334" t="str">
            <v>GRUPO REY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130</v>
          </cell>
          <cell r="J334" t="str">
            <v>GRUPO REY</v>
          </cell>
          <cell r="N334">
            <v>130</v>
          </cell>
        </row>
        <row r="335">
          <cell r="A335" t="str">
            <v>GRUPO REY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J335" t="str">
            <v>GRUPO REY</v>
          </cell>
          <cell r="W335">
            <v>0</v>
          </cell>
        </row>
        <row r="336">
          <cell r="A336" t="str">
            <v>GRUPO REY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J336" t="str">
            <v>GRUPO REY</v>
          </cell>
          <cell r="W336">
            <v>0</v>
          </cell>
        </row>
        <row r="337">
          <cell r="A337" t="str">
            <v>GRUPO REY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251</v>
          </cell>
          <cell r="J337" t="str">
            <v>GRUPO REY</v>
          </cell>
          <cell r="U337">
            <v>251</v>
          </cell>
        </row>
        <row r="338">
          <cell r="A338" t="str">
            <v>GRUPO REY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40</v>
          </cell>
          <cell r="J338" t="str">
            <v>GRUPO REY</v>
          </cell>
          <cell r="S338">
            <v>40</v>
          </cell>
        </row>
        <row r="339">
          <cell r="A339" t="str">
            <v>GRUPO REY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130</v>
          </cell>
          <cell r="J339" t="str">
            <v>GRUPO REY</v>
          </cell>
          <cell r="R339">
            <v>130</v>
          </cell>
        </row>
        <row r="340">
          <cell r="A340" t="str">
            <v>GRUPO REY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125</v>
          </cell>
          <cell r="J340" t="str">
            <v>GRUPO REY</v>
          </cell>
          <cell r="M340">
            <v>125</v>
          </cell>
        </row>
        <row r="341">
          <cell r="A341" t="str">
            <v>GRUPO REY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J341" t="str">
            <v>GRUPO REY</v>
          </cell>
          <cell r="V341">
            <v>0</v>
          </cell>
        </row>
        <row r="342">
          <cell r="A342" t="str">
            <v>GRUPO REY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25</v>
          </cell>
          <cell r="J342" t="str">
            <v>GRUPO REY</v>
          </cell>
          <cell r="M342">
            <v>25</v>
          </cell>
        </row>
        <row r="343">
          <cell r="A343" t="str">
            <v>GRUPO REY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J343" t="str">
            <v>GRUPO REY</v>
          </cell>
          <cell r="V343">
            <v>0</v>
          </cell>
        </row>
        <row r="344">
          <cell r="A344" t="str">
            <v>GRUPO REY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J344" t="str">
            <v>GRUPO REY</v>
          </cell>
          <cell r="Y344">
            <v>0</v>
          </cell>
        </row>
        <row r="345">
          <cell r="A345" t="str">
            <v>GRUPO REY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J345" t="str">
            <v>GRUPO REY</v>
          </cell>
          <cell r="O345">
            <v>0</v>
          </cell>
        </row>
        <row r="346">
          <cell r="A346" t="str">
            <v>GRUPO REY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209</v>
          </cell>
          <cell r="J346" t="str">
            <v>GRUPO REY</v>
          </cell>
          <cell r="M346">
            <v>209</v>
          </cell>
        </row>
        <row r="347">
          <cell r="A347" t="str">
            <v>GRUPO REY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J347" t="str">
            <v>GRUPO REY</v>
          </cell>
          <cell r="M347">
            <v>0</v>
          </cell>
        </row>
        <row r="348">
          <cell r="A348" t="str">
            <v>GRUPO REY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J348" t="str">
            <v>GRUPO REY</v>
          </cell>
          <cell r="N348">
            <v>0</v>
          </cell>
        </row>
        <row r="349">
          <cell r="A349" t="str">
            <v>GRUPO REY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150</v>
          </cell>
          <cell r="J349" t="str">
            <v>GRUPO REY</v>
          </cell>
          <cell r="S349">
            <v>150</v>
          </cell>
        </row>
        <row r="350">
          <cell r="A350" t="str">
            <v>GRUPO REY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6</v>
          </cell>
          <cell r="J350" t="str">
            <v>GRUPO REY</v>
          </cell>
          <cell r="N350">
            <v>6</v>
          </cell>
        </row>
        <row r="351">
          <cell r="A351" t="str">
            <v>GRUPO REY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J351" t="str">
            <v>GRUPO REY</v>
          </cell>
          <cell r="R351">
            <v>0</v>
          </cell>
        </row>
        <row r="352">
          <cell r="A352" t="str">
            <v>GRUPO REY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421</v>
          </cell>
          <cell r="J352" t="str">
            <v>GRUPO REY</v>
          </cell>
          <cell r="O352">
            <v>421</v>
          </cell>
        </row>
        <row r="353">
          <cell r="A353" t="str">
            <v>GRUPO REY</v>
          </cell>
          <cell r="C353">
            <v>1190</v>
          </cell>
          <cell r="D353">
            <v>0</v>
          </cell>
          <cell r="E353">
            <v>0</v>
          </cell>
          <cell r="F353">
            <v>0</v>
          </cell>
          <cell r="G353">
            <v>1190</v>
          </cell>
          <cell r="J353" t="str">
            <v>GRUPO REY</v>
          </cell>
          <cell r="S353">
            <v>1190</v>
          </cell>
        </row>
        <row r="354">
          <cell r="A354" t="str">
            <v>GRUPO REY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100</v>
          </cell>
          <cell r="J354" t="str">
            <v>GRUPO REY</v>
          </cell>
          <cell r="S354">
            <v>100</v>
          </cell>
        </row>
        <row r="355">
          <cell r="A355" t="str">
            <v>GRUPO REY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173</v>
          </cell>
          <cell r="J355" t="str">
            <v>GRUPO REY</v>
          </cell>
          <cell r="P355">
            <v>173</v>
          </cell>
        </row>
        <row r="356">
          <cell r="A356" t="str">
            <v>GRUPO REY</v>
          </cell>
          <cell r="C356">
            <v>200</v>
          </cell>
          <cell r="D356">
            <v>0</v>
          </cell>
          <cell r="E356">
            <v>0</v>
          </cell>
          <cell r="F356">
            <v>0</v>
          </cell>
          <cell r="G356">
            <v>200</v>
          </cell>
          <cell r="J356" t="str">
            <v>GRUPO REY</v>
          </cell>
          <cell r="V356">
            <v>200</v>
          </cell>
        </row>
        <row r="357">
          <cell r="A357" t="str">
            <v>GRUPO REY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265</v>
          </cell>
          <cell r="J357" t="str">
            <v>GRUPO REY</v>
          </cell>
          <cell r="M357">
            <v>265</v>
          </cell>
        </row>
        <row r="358">
          <cell r="A358" t="str">
            <v>GRUPO REY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130</v>
          </cell>
          <cell r="J358" t="str">
            <v>GRUPO REY</v>
          </cell>
          <cell r="N358">
            <v>130</v>
          </cell>
        </row>
        <row r="359">
          <cell r="A359" t="str">
            <v>GRUPO REY</v>
          </cell>
          <cell r="C359">
            <v>100</v>
          </cell>
          <cell r="D359">
            <v>0</v>
          </cell>
          <cell r="E359">
            <v>0</v>
          </cell>
          <cell r="F359">
            <v>0</v>
          </cell>
          <cell r="G359">
            <v>1300</v>
          </cell>
          <cell r="J359" t="str">
            <v>GRUPO REY</v>
          </cell>
          <cell r="M359">
            <v>1300</v>
          </cell>
        </row>
        <row r="360">
          <cell r="A360" t="str">
            <v>GRUPO REY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52</v>
          </cell>
          <cell r="J360" t="str">
            <v>GRUPO REY</v>
          </cell>
          <cell r="M360">
            <v>52</v>
          </cell>
        </row>
        <row r="361">
          <cell r="A361" t="str">
            <v>GRUPO REY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150</v>
          </cell>
          <cell r="J361" t="str">
            <v>GRUPO REY</v>
          </cell>
          <cell r="P361">
            <v>150</v>
          </cell>
        </row>
        <row r="362">
          <cell r="A362" t="str">
            <v>GRUPO REY</v>
          </cell>
          <cell r="C362">
            <v>0</v>
          </cell>
          <cell r="D362">
            <v>120</v>
          </cell>
          <cell r="E362">
            <v>180</v>
          </cell>
          <cell r="F362">
            <v>60</v>
          </cell>
          <cell r="G362">
            <v>630</v>
          </cell>
          <cell r="J362" t="str">
            <v>GRUPO REY</v>
          </cell>
          <cell r="M362">
            <v>630</v>
          </cell>
        </row>
        <row r="363">
          <cell r="A363" t="str">
            <v>GRUPO REY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50</v>
          </cell>
          <cell r="J363" t="str">
            <v>GRUPO REY</v>
          </cell>
          <cell r="M363">
            <v>50</v>
          </cell>
        </row>
        <row r="364">
          <cell r="A364" t="str">
            <v>GRUPO REY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600</v>
          </cell>
          <cell r="J364" t="str">
            <v>GRUPO REY</v>
          </cell>
          <cell r="M364">
            <v>600</v>
          </cell>
        </row>
        <row r="365">
          <cell r="A365" t="str">
            <v>GRUPO REY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40</v>
          </cell>
          <cell r="J365" t="str">
            <v>GRUPO REY</v>
          </cell>
          <cell r="S365">
            <v>40</v>
          </cell>
        </row>
        <row r="366">
          <cell r="A366" t="str">
            <v>GRUPO REY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105</v>
          </cell>
          <cell r="J366" t="str">
            <v>GRUPO REY</v>
          </cell>
          <cell r="O366">
            <v>105</v>
          </cell>
        </row>
        <row r="367">
          <cell r="A367" t="str">
            <v>GRUPO REY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490</v>
          </cell>
          <cell r="J367" t="str">
            <v>GRUPO REY</v>
          </cell>
          <cell r="N367">
            <v>490</v>
          </cell>
        </row>
        <row r="368">
          <cell r="A368" t="str">
            <v>GRUPO REY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480</v>
          </cell>
          <cell r="J368" t="str">
            <v>GRUPO REY</v>
          </cell>
          <cell r="O368">
            <v>480</v>
          </cell>
        </row>
        <row r="369">
          <cell r="A369" t="str">
            <v>GRUPO REY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50</v>
          </cell>
          <cell r="J369" t="str">
            <v>GRUPO REY</v>
          </cell>
          <cell r="Y369">
            <v>50</v>
          </cell>
        </row>
        <row r="370">
          <cell r="A370" t="str">
            <v>GRUPO REY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30</v>
          </cell>
          <cell r="J370" t="str">
            <v>GRUPO REY</v>
          </cell>
          <cell r="V370">
            <v>30</v>
          </cell>
        </row>
        <row r="371">
          <cell r="A371" t="str">
            <v>GRUPO REY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J371" t="str">
            <v>GRUPO REY</v>
          </cell>
          <cell r="N371">
            <v>0</v>
          </cell>
        </row>
        <row r="372">
          <cell r="A372" t="str">
            <v>GRUPO REY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346</v>
          </cell>
          <cell r="J372" t="str">
            <v>GRUPO REY</v>
          </cell>
          <cell r="O372">
            <v>346</v>
          </cell>
        </row>
        <row r="373">
          <cell r="A373" t="str">
            <v>Empresa Panameña de Alimentos, S. A.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325</v>
          </cell>
          <cell r="J373" t="str">
            <v>Empresa Panameña de Alimentos, S. A.</v>
          </cell>
          <cell r="M373">
            <v>325</v>
          </cell>
        </row>
        <row r="374">
          <cell r="A374" t="str">
            <v>Empresa Panameña de Alimentos, S. A.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30</v>
          </cell>
          <cell r="J374" t="str">
            <v>Empresa Panameña de Alimentos, S. A.</v>
          </cell>
          <cell r="O374">
            <v>30</v>
          </cell>
        </row>
        <row r="375">
          <cell r="A375" t="str">
            <v>Empresa Panameña de Alimentos, S. A.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102</v>
          </cell>
          <cell r="J375" t="str">
            <v>Empresa Panameña de Alimentos, S. A.</v>
          </cell>
          <cell r="P375">
            <v>102</v>
          </cell>
        </row>
        <row r="376">
          <cell r="A376" t="str">
            <v>Empresa Panameña de Alimentos, S. A.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100</v>
          </cell>
          <cell r="J376" t="str">
            <v>Empresa Panameña de Alimentos, S. A.</v>
          </cell>
          <cell r="N376">
            <v>100</v>
          </cell>
        </row>
        <row r="377">
          <cell r="A377" t="str">
            <v>Empresa Panameña de Alimentos, S. A.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180</v>
          </cell>
          <cell r="J377" t="str">
            <v>Empresa Panameña de Alimentos, S. A.</v>
          </cell>
          <cell r="O377">
            <v>180</v>
          </cell>
        </row>
        <row r="378">
          <cell r="A378" t="str">
            <v>Empresa Panameña de Alimentos, S. A.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70</v>
          </cell>
          <cell r="J378" t="str">
            <v>Empresa Panameña de Alimentos, S. A.</v>
          </cell>
          <cell r="N378">
            <v>70</v>
          </cell>
        </row>
        <row r="379">
          <cell r="A379" t="str">
            <v>Empresa Panameña de Alimentos, S. A.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1060</v>
          </cell>
          <cell r="J379" t="str">
            <v>Empresa Panameña de Alimentos, S. A.</v>
          </cell>
          <cell r="Q379">
            <v>1060</v>
          </cell>
        </row>
        <row r="380">
          <cell r="A380" t="str">
            <v>Empresa Panameña de Alimentos, S. A.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100</v>
          </cell>
          <cell r="J380" t="str">
            <v>Empresa Panameña de Alimentos, S. A.</v>
          </cell>
          <cell r="N380">
            <v>100</v>
          </cell>
        </row>
        <row r="381">
          <cell r="A381" t="str">
            <v>Empresa Panameña de Alimentos, S. A.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250</v>
          </cell>
          <cell r="J381" t="str">
            <v>Empresa Panameña de Alimentos, S. A.</v>
          </cell>
          <cell r="N381">
            <v>250</v>
          </cell>
        </row>
        <row r="382">
          <cell r="A382" t="str">
            <v>Empresa Panameña de Alimentos, S. A.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180</v>
          </cell>
          <cell r="J382" t="str">
            <v>Empresa Panameña de Alimentos, S. A.</v>
          </cell>
          <cell r="R382">
            <v>180</v>
          </cell>
        </row>
        <row r="383">
          <cell r="A383" t="str">
            <v>Empresa Panameña de Alimentos, S. A.</v>
          </cell>
          <cell r="C383">
            <v>40</v>
          </cell>
          <cell r="D383">
            <v>0</v>
          </cell>
          <cell r="E383">
            <v>0</v>
          </cell>
          <cell r="F383">
            <v>0</v>
          </cell>
          <cell r="G383">
            <v>40</v>
          </cell>
          <cell r="J383" t="str">
            <v>Empresa Panameña de Alimentos, S. A.</v>
          </cell>
          <cell r="R383">
            <v>40</v>
          </cell>
        </row>
        <row r="384">
          <cell r="A384" t="str">
            <v>Empresa Panameña de Alimentos, S. A.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73</v>
          </cell>
          <cell r="J384" t="str">
            <v>Empresa Panameña de Alimentos, S. A.</v>
          </cell>
          <cell r="S384">
            <v>73</v>
          </cell>
        </row>
        <row r="385">
          <cell r="A385" t="str">
            <v>Empresa Panameña de Alimentos, S. A.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325</v>
          </cell>
          <cell r="J385" t="str">
            <v>Empresa Panameña de Alimentos, S. A.</v>
          </cell>
          <cell r="O385">
            <v>325</v>
          </cell>
        </row>
        <row r="386">
          <cell r="A386" t="str">
            <v>Empresa Panameña de Alimentos, S. A.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65</v>
          </cell>
          <cell r="J386" t="str">
            <v>Empresa Panameña de Alimentos, S. A.</v>
          </cell>
          <cell r="O386">
            <v>65</v>
          </cell>
        </row>
        <row r="387">
          <cell r="A387" t="str">
            <v>Empresa Panameña de Alimentos, S. A.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70</v>
          </cell>
          <cell r="J387" t="str">
            <v>Empresa Panameña de Alimentos, S. A.</v>
          </cell>
          <cell r="N387">
            <v>70</v>
          </cell>
        </row>
        <row r="388">
          <cell r="A388" t="str">
            <v>Empresa Panameña de Alimentos, S. A.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1090</v>
          </cell>
          <cell r="J388" t="str">
            <v>Empresa Panameña de Alimentos, S. A.</v>
          </cell>
          <cell r="O388">
            <v>1090</v>
          </cell>
        </row>
        <row r="389">
          <cell r="A389" t="str">
            <v>Empresa Panameña de Alimentos, S. A.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J389" t="str">
            <v>Empresa Panameña de Alimentos, S. A.</v>
          </cell>
          <cell r="M389">
            <v>0</v>
          </cell>
        </row>
        <row r="390">
          <cell r="A390" t="str">
            <v>Empresa Panameña de Alimentos, S. A.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282</v>
          </cell>
          <cell r="J390" t="str">
            <v>Empresa Panameña de Alimentos, S. A.</v>
          </cell>
          <cell r="N390">
            <v>282</v>
          </cell>
        </row>
        <row r="391">
          <cell r="A391" t="str">
            <v>Empresa Panameña de Alimentos, S. A.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467</v>
          </cell>
          <cell r="J391" t="str">
            <v>Empresa Panameña de Alimentos, S. A.</v>
          </cell>
          <cell r="N391">
            <v>467</v>
          </cell>
        </row>
        <row r="392">
          <cell r="A392" t="str">
            <v>Empresa Panameña de Alimentos, S. A.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82</v>
          </cell>
          <cell r="J392" t="str">
            <v>Empresa Panameña de Alimentos, S. A.</v>
          </cell>
          <cell r="T392">
            <v>82</v>
          </cell>
        </row>
        <row r="393">
          <cell r="A393" t="str">
            <v>Empresa Panameña de Alimentos, S. A.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881</v>
          </cell>
          <cell r="J393" t="str">
            <v>Empresa Panameña de Alimentos, S. A.</v>
          </cell>
          <cell r="N393">
            <v>881</v>
          </cell>
        </row>
        <row r="394">
          <cell r="A394" t="str">
            <v>Empresa Panameña de Alimentos, S. A.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38</v>
          </cell>
          <cell r="J394" t="str">
            <v>Empresa Panameña de Alimentos, S. A.</v>
          </cell>
          <cell r="N394">
            <v>38</v>
          </cell>
        </row>
        <row r="395">
          <cell r="A395" t="str">
            <v>Empresa Panameña de Alimentos, S. A.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70</v>
          </cell>
          <cell r="J395" t="str">
            <v>Empresa Panameña de Alimentos, S. A.</v>
          </cell>
          <cell r="N395">
            <v>70</v>
          </cell>
        </row>
        <row r="396">
          <cell r="A396" t="str">
            <v>Empresa Panameña de Alimentos, S. A.</v>
          </cell>
          <cell r="C396">
            <v>0</v>
          </cell>
          <cell r="D396">
            <v>13</v>
          </cell>
          <cell r="E396">
            <v>37</v>
          </cell>
          <cell r="F396">
            <v>28</v>
          </cell>
          <cell r="G396">
            <v>243</v>
          </cell>
          <cell r="J396" t="str">
            <v>Empresa Panameña de Alimentos, S. A.</v>
          </cell>
          <cell r="N396">
            <v>243</v>
          </cell>
        </row>
        <row r="397">
          <cell r="A397" t="str">
            <v>Empresa Panameña de Alimentos, S. A.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62</v>
          </cell>
          <cell r="J397" t="str">
            <v>Empresa Panameña de Alimentos, S. A.</v>
          </cell>
          <cell r="N397">
            <v>62</v>
          </cell>
        </row>
        <row r="398">
          <cell r="A398" t="str">
            <v>Empresa Panameña de Alimentos, S. A.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116</v>
          </cell>
          <cell r="J398" t="str">
            <v>Empresa Panameña de Alimentos, S. A.</v>
          </cell>
          <cell r="O398">
            <v>116</v>
          </cell>
        </row>
        <row r="399">
          <cell r="A399" t="str">
            <v>Empresa Panameña de Alimentos, S. A.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542</v>
          </cell>
          <cell r="J399" t="str">
            <v>Empresa Panameña de Alimentos, S. A.</v>
          </cell>
          <cell r="N399">
            <v>542</v>
          </cell>
        </row>
        <row r="400">
          <cell r="A400" t="str">
            <v>Empresa Panameña de Alimentos, S. A.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211</v>
          </cell>
          <cell r="J400" t="str">
            <v>Empresa Panameña de Alimentos, S. A.</v>
          </cell>
          <cell r="S400">
            <v>211</v>
          </cell>
        </row>
        <row r="401">
          <cell r="A401" t="str">
            <v>Empresa Panameña de Alimentos, S. A.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138</v>
          </cell>
          <cell r="J401" t="str">
            <v>Empresa Panameña de Alimentos, S. A.</v>
          </cell>
          <cell r="O401">
            <v>138</v>
          </cell>
        </row>
        <row r="402">
          <cell r="A402" t="str">
            <v>Empresa Panameña de Alimentos, S. A.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147</v>
          </cell>
          <cell r="J402" t="str">
            <v>Empresa Panameña de Alimentos, S. A.</v>
          </cell>
          <cell r="N402">
            <v>147</v>
          </cell>
        </row>
        <row r="403">
          <cell r="A403" t="str">
            <v>Empresa Panameña de Alimentos, S. A.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52</v>
          </cell>
          <cell r="J403" t="str">
            <v>Empresa Panameña de Alimentos, S. A.</v>
          </cell>
          <cell r="S403">
            <v>52</v>
          </cell>
        </row>
        <row r="404">
          <cell r="A404" t="str">
            <v>Empresa Panameña de Alimentos, S. A.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500</v>
          </cell>
          <cell r="J404" t="str">
            <v>Empresa Panameña de Alimentos, S. A.</v>
          </cell>
          <cell r="M404">
            <v>500</v>
          </cell>
        </row>
        <row r="405">
          <cell r="A405" t="str">
            <v>Empresa Panameña de Alimentos, S. A.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62</v>
          </cell>
          <cell r="J405" t="str">
            <v>Empresa Panameña de Alimentos, S. A.</v>
          </cell>
          <cell r="N405">
            <v>62</v>
          </cell>
        </row>
        <row r="406">
          <cell r="A406" t="str">
            <v>Empresa Panameña de Alimentos, S. A.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215</v>
          </cell>
          <cell r="J406" t="str">
            <v>Empresa Panameña de Alimentos, S. A.</v>
          </cell>
          <cell r="M406">
            <v>215</v>
          </cell>
        </row>
        <row r="407">
          <cell r="A407" t="str">
            <v>Empresa Panameña de Alimentos, S. A.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155</v>
          </cell>
          <cell r="J407" t="str">
            <v>Empresa Panameña de Alimentos, S. A.</v>
          </cell>
          <cell r="M407">
            <v>155</v>
          </cell>
        </row>
        <row r="408">
          <cell r="A408" t="str">
            <v>Empresa Panameña de Alimentos, S. A.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100</v>
          </cell>
          <cell r="J408" t="str">
            <v>Empresa Panameña de Alimentos, S. A.</v>
          </cell>
          <cell r="M408">
            <v>100</v>
          </cell>
        </row>
        <row r="409">
          <cell r="A409" t="str">
            <v>Empresa Panameña de Alimentos, S. A.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264</v>
          </cell>
          <cell r="J409" t="str">
            <v>Empresa Panameña de Alimentos, S. A.</v>
          </cell>
          <cell r="N409">
            <v>264</v>
          </cell>
        </row>
        <row r="410">
          <cell r="A410" t="str">
            <v>Empresa Panameña de Alimentos, S. A.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60</v>
          </cell>
          <cell r="J410" t="str">
            <v>Empresa Panameña de Alimentos, S. A.</v>
          </cell>
          <cell r="O410">
            <v>60</v>
          </cell>
        </row>
        <row r="411">
          <cell r="A411" t="str">
            <v>Empresa Panameña de Alimentos, S. A.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115</v>
          </cell>
          <cell r="J411" t="str">
            <v>Empresa Panameña de Alimentos, S. A.</v>
          </cell>
          <cell r="T411">
            <v>115</v>
          </cell>
        </row>
        <row r="412">
          <cell r="A412" t="str">
            <v>Empresa Panameña de Alimentos, S. A.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179</v>
          </cell>
          <cell r="J412" t="str">
            <v>Empresa Panameña de Alimentos, S. A.</v>
          </cell>
          <cell r="S412">
            <v>179</v>
          </cell>
        </row>
        <row r="413">
          <cell r="A413" t="str">
            <v>Empresa Panameña de Alimentos, S. A.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50</v>
          </cell>
          <cell r="J413" t="str">
            <v>Empresa Panameña de Alimentos, S. A.</v>
          </cell>
          <cell r="N413">
            <v>50</v>
          </cell>
        </row>
        <row r="414">
          <cell r="A414" t="str">
            <v>Empresa Panameña de Alimentos, S. A.</v>
          </cell>
          <cell r="C414">
            <v>162</v>
          </cell>
          <cell r="D414">
            <v>0</v>
          </cell>
          <cell r="E414">
            <v>0</v>
          </cell>
          <cell r="F414">
            <v>0</v>
          </cell>
          <cell r="G414">
            <v>162</v>
          </cell>
          <cell r="J414" t="str">
            <v>Empresa Panameña de Alimentos, S. A.</v>
          </cell>
          <cell r="N414">
            <v>162</v>
          </cell>
        </row>
        <row r="415">
          <cell r="A415" t="str">
            <v>Empresa Panameña de Alimentos, S. A.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86</v>
          </cell>
          <cell r="J415" t="str">
            <v>Empresa Panameña de Alimentos, S. A.</v>
          </cell>
          <cell r="N415">
            <v>86</v>
          </cell>
        </row>
        <row r="416">
          <cell r="A416" t="str">
            <v>Empresa Panameña de Alimentos, S. A.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201</v>
          </cell>
          <cell r="J416" t="str">
            <v>Empresa Panameña de Alimentos, S. A.</v>
          </cell>
          <cell r="M416">
            <v>201</v>
          </cell>
        </row>
        <row r="417">
          <cell r="A417" t="str">
            <v>Empresa Panameña de Alimentos, S. A.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73</v>
          </cell>
          <cell r="J417" t="str">
            <v>Empresa Panameña de Alimentos, S. A.</v>
          </cell>
          <cell r="T417">
            <v>73</v>
          </cell>
        </row>
        <row r="418">
          <cell r="A418" t="str">
            <v>Empresa Panameña de Alimentos, S. A.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181</v>
          </cell>
          <cell r="J418" t="str">
            <v>Empresa Panameña de Alimentos, S. A.</v>
          </cell>
          <cell r="R418">
            <v>181</v>
          </cell>
        </row>
        <row r="419">
          <cell r="A419" t="str">
            <v>Empresa Panameña de Alimentos, S. A.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201</v>
          </cell>
          <cell r="J419" t="str">
            <v>Empresa Panameña de Alimentos, S. A.</v>
          </cell>
          <cell r="N419">
            <v>201</v>
          </cell>
        </row>
        <row r="420">
          <cell r="A420" t="str">
            <v>Empresa Panameña de Alimentos, S. A.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J420" t="str">
            <v>Empresa Panameña de Alimentos, S. A.</v>
          </cell>
          <cell r="N420">
            <v>0</v>
          </cell>
        </row>
        <row r="421">
          <cell r="A421" t="str">
            <v>Empresa Panameña de Alimentos, S. A.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284</v>
          </cell>
          <cell r="J421" t="str">
            <v>Empresa Panameña de Alimentos, S. A.</v>
          </cell>
          <cell r="N421">
            <v>284</v>
          </cell>
        </row>
        <row r="422">
          <cell r="A422" t="str">
            <v>Empresa Panameña de Alimentos, S. A.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150</v>
          </cell>
          <cell r="J422" t="str">
            <v>Empresa Panameña de Alimentos, S. A.</v>
          </cell>
          <cell r="M422">
            <v>150</v>
          </cell>
        </row>
        <row r="423">
          <cell r="A423" t="str">
            <v>Empresa Panameña de Alimentos, S. A.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1200</v>
          </cell>
          <cell r="J423" t="str">
            <v>Empresa Panameña de Alimentos, S. A.</v>
          </cell>
          <cell r="O423">
            <v>1200</v>
          </cell>
        </row>
        <row r="424">
          <cell r="A424" t="str">
            <v>Empresa Panameña de Alimentos, S. A.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20</v>
          </cell>
          <cell r="J424" t="str">
            <v>Empresa Panameña de Alimentos, S. A.</v>
          </cell>
          <cell r="N424">
            <v>20</v>
          </cell>
        </row>
        <row r="425">
          <cell r="A425" t="str">
            <v>Empresa Panameña de Alimentos, S. A.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390</v>
          </cell>
          <cell r="J425" t="str">
            <v>Empresa Panameña de Alimentos, S. A.</v>
          </cell>
          <cell r="M425">
            <v>390</v>
          </cell>
        </row>
        <row r="426">
          <cell r="A426" t="str">
            <v>Empresa Panameña de Alimentos, S. A.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250</v>
          </cell>
          <cell r="J426" t="str">
            <v>Empresa Panameña de Alimentos, S. A.</v>
          </cell>
          <cell r="N426">
            <v>250</v>
          </cell>
        </row>
        <row r="427">
          <cell r="A427" t="str">
            <v>Empresa Panameña de Alimentos, S. A.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120</v>
          </cell>
          <cell r="J427" t="str">
            <v>Empresa Panameña de Alimentos, S. A.</v>
          </cell>
          <cell r="N427">
            <v>120</v>
          </cell>
        </row>
        <row r="428">
          <cell r="A428" t="str">
            <v>Empresa Panameña de Alimentos, S. A.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356</v>
          </cell>
          <cell r="J428" t="str">
            <v>Empresa Panameña de Alimentos, S. A.</v>
          </cell>
          <cell r="N428">
            <v>356</v>
          </cell>
        </row>
        <row r="429">
          <cell r="A429" t="str">
            <v>Empresa Panameña de Alimentos, S. A.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90</v>
          </cell>
          <cell r="J429" t="str">
            <v>Empresa Panameña de Alimentos, S. A.</v>
          </cell>
          <cell r="N429">
            <v>90</v>
          </cell>
        </row>
        <row r="430">
          <cell r="A430" t="str">
            <v>Empresa Panameña de Alimentos, S. A.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67</v>
          </cell>
          <cell r="J430" t="str">
            <v>Empresa Panameña de Alimentos, S. A.</v>
          </cell>
          <cell r="N430">
            <v>67</v>
          </cell>
        </row>
        <row r="431">
          <cell r="A431" t="str">
            <v>Empresa Panameña de Alimentos, S. A.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84</v>
          </cell>
          <cell r="J431" t="str">
            <v>Empresa Panameña de Alimentos, S. A.</v>
          </cell>
          <cell r="N431">
            <v>84</v>
          </cell>
        </row>
        <row r="432">
          <cell r="A432" t="str">
            <v>Empresa Panameña de Alimentos, S. A.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22</v>
          </cell>
          <cell r="J432" t="str">
            <v>Empresa Panameña de Alimentos, S. A.</v>
          </cell>
          <cell r="N432">
            <v>22</v>
          </cell>
        </row>
        <row r="433">
          <cell r="A433" t="str">
            <v>Empresa Panameña de Alimentos, S. A.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230</v>
          </cell>
          <cell r="J433" t="str">
            <v>Empresa Panameña de Alimentos, S. A.</v>
          </cell>
          <cell r="N433">
            <v>230</v>
          </cell>
        </row>
        <row r="434">
          <cell r="A434" t="str">
            <v>Empresa Panameña de Alimentos, S. A.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205</v>
          </cell>
          <cell r="J434" t="str">
            <v>Empresa Panameña de Alimentos, S. A.</v>
          </cell>
          <cell r="N434">
            <v>205</v>
          </cell>
        </row>
        <row r="435">
          <cell r="A435" t="str">
            <v>Empresa Panameña de Alimentos, S. A.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J435" t="str">
            <v>Empresa Panameña de Alimentos, S. A.</v>
          </cell>
          <cell r="N435">
            <v>0</v>
          </cell>
        </row>
        <row r="436">
          <cell r="A436" t="str">
            <v>Empresa Panameña de Alimentos, S. A.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165</v>
          </cell>
          <cell r="J436" t="str">
            <v>Empresa Panameña de Alimentos, S. A.</v>
          </cell>
          <cell r="N436">
            <v>165</v>
          </cell>
        </row>
        <row r="437">
          <cell r="A437" t="str">
            <v>Empresa Panameña de Alimentos, S. A.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456</v>
          </cell>
          <cell r="J437" t="str">
            <v>Empresa Panameña de Alimentos, S. A.</v>
          </cell>
          <cell r="N437">
            <v>456</v>
          </cell>
        </row>
        <row r="438">
          <cell r="A438" t="str">
            <v>Empresa Panameña de Alimentos, S. A.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251</v>
          </cell>
          <cell r="J438" t="str">
            <v>Empresa Panameña de Alimentos, S. A.</v>
          </cell>
          <cell r="N438">
            <v>251</v>
          </cell>
        </row>
        <row r="439">
          <cell r="A439" t="str">
            <v>Empresa Panameña de Alimentos, S. A.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60</v>
          </cell>
          <cell r="J439" t="str">
            <v>Empresa Panameña de Alimentos, S. A.</v>
          </cell>
          <cell r="N439">
            <v>60</v>
          </cell>
        </row>
        <row r="440">
          <cell r="A440" t="str">
            <v>Empresa Panameña de Alimentos, S. A.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75</v>
          </cell>
          <cell r="J440" t="str">
            <v>Empresa Panameña de Alimentos, S. A.</v>
          </cell>
          <cell r="N440">
            <v>75</v>
          </cell>
        </row>
        <row r="441">
          <cell r="A441" t="str">
            <v>Empresa Panameña de Alimentos, S. A.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1017</v>
          </cell>
          <cell r="J441" t="str">
            <v>Empresa Panameña de Alimentos, S. A.</v>
          </cell>
          <cell r="O441">
            <v>1017</v>
          </cell>
        </row>
        <row r="442">
          <cell r="A442" t="str">
            <v>Empresa Panameña de Alimentos, S. A.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50</v>
          </cell>
          <cell r="J442" t="str">
            <v>Empresa Panameña de Alimentos, S. A.</v>
          </cell>
          <cell r="N442">
            <v>50</v>
          </cell>
        </row>
        <row r="443">
          <cell r="A443" t="str">
            <v>Empresa Panameña de Alimentos, S. A.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83</v>
          </cell>
          <cell r="J443" t="str">
            <v>Empresa Panameña de Alimentos, S. A.</v>
          </cell>
          <cell r="Q443">
            <v>83</v>
          </cell>
        </row>
        <row r="444">
          <cell r="A444" t="str">
            <v>Empresa Panameña de Alimentos, S. A.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152</v>
          </cell>
          <cell r="J444" t="str">
            <v>Empresa Panameña de Alimentos, S. A.</v>
          </cell>
          <cell r="S444">
            <v>152</v>
          </cell>
        </row>
        <row r="445">
          <cell r="A445" t="str">
            <v>Empresa Panameña de Alimentos, S. A.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60</v>
          </cell>
          <cell r="J445" t="str">
            <v>Empresa Panameña de Alimentos, S. A.</v>
          </cell>
          <cell r="Q445">
            <v>60</v>
          </cell>
        </row>
        <row r="446">
          <cell r="A446" t="str">
            <v>Empresa Panameña de Alimentos, S. A.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J446" t="str">
            <v>Empresa Panameña de Alimentos, S. A.</v>
          </cell>
        </row>
        <row r="447">
          <cell r="A447" t="str">
            <v>Empresa Panameña de Alimentos, S. A.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910</v>
          </cell>
          <cell r="J447" t="str">
            <v>Empresa Panameña de Alimentos, S. A.</v>
          </cell>
          <cell r="M447">
            <v>910</v>
          </cell>
        </row>
        <row r="448">
          <cell r="A448" t="str">
            <v>Empresa Panameña de Alimentos, S. A.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400</v>
          </cell>
          <cell r="J448" t="str">
            <v>Empresa Panameña de Alimentos, S. A.</v>
          </cell>
          <cell r="M448">
            <v>400</v>
          </cell>
        </row>
        <row r="449">
          <cell r="A449" t="str">
            <v>Empresa Panameña de Alimentos, S. A.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256</v>
          </cell>
          <cell r="J449" t="str">
            <v>Empresa Panameña de Alimentos, S. A.</v>
          </cell>
          <cell r="O449">
            <v>256</v>
          </cell>
        </row>
        <row r="450">
          <cell r="A450" t="str">
            <v>Empresa Panameña de Alimentos, S. A.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31</v>
          </cell>
          <cell r="J450" t="str">
            <v>Empresa Panameña de Alimentos, S. A.</v>
          </cell>
          <cell r="R450">
            <v>31</v>
          </cell>
        </row>
        <row r="451">
          <cell r="A451" t="str">
            <v>Empresa Panameña de Alimentos, S. A.</v>
          </cell>
          <cell r="C451">
            <v>73</v>
          </cell>
          <cell r="D451">
            <v>0</v>
          </cell>
          <cell r="E451">
            <v>0</v>
          </cell>
          <cell r="F451">
            <v>0</v>
          </cell>
          <cell r="G451">
            <v>496</v>
          </cell>
          <cell r="J451" t="str">
            <v>Empresa Panameña de Alimentos, S. A.</v>
          </cell>
          <cell r="Q451">
            <v>496</v>
          </cell>
        </row>
        <row r="452">
          <cell r="A452" t="str">
            <v>Empresa Panameña de Alimentos, S. A.</v>
          </cell>
          <cell r="C452">
            <v>0</v>
          </cell>
          <cell r="D452">
            <v>680</v>
          </cell>
          <cell r="E452">
            <v>450</v>
          </cell>
          <cell r="F452">
            <v>450</v>
          </cell>
          <cell r="G452">
            <v>4560</v>
          </cell>
          <cell r="J452" t="str">
            <v>Empresa Panameña de Alimentos, S. A.</v>
          </cell>
          <cell r="Q452">
            <v>4560</v>
          </cell>
        </row>
        <row r="453">
          <cell r="A453" t="str">
            <v>Empresa Panameña de Alimentos, S. A.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J453" t="str">
            <v>Empresa Panameña de Alimentos, S. A.</v>
          </cell>
          <cell r="N453">
            <v>0</v>
          </cell>
        </row>
        <row r="454">
          <cell r="A454" t="str">
            <v>Empresa Panameña de Alimentos, S. A.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400</v>
          </cell>
          <cell r="J454" t="str">
            <v>Empresa Panameña de Alimentos, S. A.</v>
          </cell>
          <cell r="M454">
            <v>400</v>
          </cell>
        </row>
        <row r="455">
          <cell r="A455" t="str">
            <v>Empresa Panameña de Alimentos, S. A.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34</v>
          </cell>
          <cell r="J455" t="str">
            <v>Empresa Panameña de Alimentos, S. A.</v>
          </cell>
          <cell r="O455">
            <v>34</v>
          </cell>
        </row>
        <row r="456">
          <cell r="A456" t="str">
            <v>Empresa Panameña de Alimentos, S. A.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96</v>
          </cell>
          <cell r="J456" t="str">
            <v>Empresa Panameña de Alimentos, S. A.</v>
          </cell>
          <cell r="S456">
            <v>96</v>
          </cell>
        </row>
        <row r="457">
          <cell r="A457" t="str">
            <v>Empresa Panameña de Alimentos, S. A.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230</v>
          </cell>
          <cell r="J457" t="str">
            <v>Empresa Panameña de Alimentos, S. A.</v>
          </cell>
          <cell r="N457">
            <v>230</v>
          </cell>
        </row>
        <row r="458">
          <cell r="A458" t="str">
            <v>Empresa Panameña de Alimentos, S. A.</v>
          </cell>
          <cell r="C458">
            <v>225</v>
          </cell>
          <cell r="D458">
            <v>0</v>
          </cell>
          <cell r="E458">
            <v>0</v>
          </cell>
          <cell r="F458">
            <v>0</v>
          </cell>
          <cell r="G458">
            <v>352</v>
          </cell>
          <cell r="J458" t="str">
            <v>Empresa Panameña de Alimentos, S. A.</v>
          </cell>
          <cell r="M458">
            <v>352</v>
          </cell>
        </row>
        <row r="459">
          <cell r="A459" t="str">
            <v>Empresa Panameña de Alimentos, S. A.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628</v>
          </cell>
          <cell r="J459" t="str">
            <v>Empresa Panameña de Alimentos, S. A.</v>
          </cell>
          <cell r="W459">
            <v>628</v>
          </cell>
        </row>
        <row r="460">
          <cell r="A460" t="str">
            <v>Empresa Panameña de Alimentos, S. A.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510</v>
          </cell>
          <cell r="J460" t="str">
            <v>Empresa Panameña de Alimentos, S. A.</v>
          </cell>
          <cell r="N460">
            <v>510</v>
          </cell>
        </row>
        <row r="461">
          <cell r="A461" t="str">
            <v>Empresa Panameña de Alimentos, S. A.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97</v>
          </cell>
          <cell r="J461" t="str">
            <v>Empresa Panameña de Alimentos, S. A.</v>
          </cell>
          <cell r="N461">
            <v>97</v>
          </cell>
        </row>
        <row r="462">
          <cell r="A462" t="str">
            <v>Empresa Panameña de Alimentos, S. A.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77</v>
          </cell>
          <cell r="J462" t="str">
            <v>Empresa Panameña de Alimentos, S. A.</v>
          </cell>
          <cell r="M462">
            <v>77</v>
          </cell>
        </row>
        <row r="463">
          <cell r="A463" t="str">
            <v>Empresa Panameña de Alimentos, S. A.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130</v>
          </cell>
          <cell r="J463" t="str">
            <v>Empresa Panameña de Alimentos, S. A.</v>
          </cell>
          <cell r="N463">
            <v>130</v>
          </cell>
        </row>
        <row r="464">
          <cell r="A464" t="str">
            <v>Empresa Panameña de Alimentos, S. A.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251</v>
          </cell>
          <cell r="J464" t="str">
            <v>Empresa Panameña de Alimentos, S. A.</v>
          </cell>
          <cell r="U464">
            <v>251</v>
          </cell>
        </row>
        <row r="465">
          <cell r="A465" t="str">
            <v>Empresa Panameña de Alimentos, S. A.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40</v>
          </cell>
          <cell r="J465" t="str">
            <v>Empresa Panameña de Alimentos, S. A.</v>
          </cell>
          <cell r="S465">
            <v>40</v>
          </cell>
        </row>
        <row r="466">
          <cell r="A466" t="str">
            <v>Empresa Panameña de Alimentos, S. A.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130</v>
          </cell>
          <cell r="J466" t="str">
            <v>Empresa Panameña de Alimentos, S. A.</v>
          </cell>
          <cell r="R466">
            <v>130</v>
          </cell>
        </row>
        <row r="467">
          <cell r="A467" t="str">
            <v>Empresa Panameña de Alimentos, S. A.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125</v>
          </cell>
          <cell r="J467" t="str">
            <v>Empresa Panameña de Alimentos, S. A.</v>
          </cell>
          <cell r="M467">
            <v>125</v>
          </cell>
        </row>
        <row r="468">
          <cell r="A468" t="str">
            <v>Empresa Panameña de Alimentos, S. A.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50</v>
          </cell>
          <cell r="J468" t="str">
            <v>Empresa Panameña de Alimentos, S. A.</v>
          </cell>
          <cell r="S468">
            <v>50</v>
          </cell>
        </row>
        <row r="469">
          <cell r="A469" t="str">
            <v>Empresa Panameña de Alimentos, S. A.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25</v>
          </cell>
          <cell r="J469" t="str">
            <v>Empresa Panameña de Alimentos, S. A.</v>
          </cell>
          <cell r="M469">
            <v>25</v>
          </cell>
        </row>
        <row r="470">
          <cell r="A470" t="str">
            <v>Empresa Panameña de Alimentos, S. A.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J470" t="str">
            <v>Empresa Panameña de Alimentos, S. A.</v>
          </cell>
          <cell r="V470">
            <v>0</v>
          </cell>
        </row>
        <row r="471">
          <cell r="A471" t="str">
            <v>Empresa Panameña de Alimentos, S. A.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J471" t="str">
            <v>Empresa Panameña de Alimentos, S. A.</v>
          </cell>
          <cell r="O471">
            <v>0</v>
          </cell>
        </row>
        <row r="472">
          <cell r="A472" t="str">
            <v>Empresa Panameña de Alimentos, S. A.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209</v>
          </cell>
          <cell r="J472" t="str">
            <v>Empresa Panameña de Alimentos, S. A.</v>
          </cell>
          <cell r="M472">
            <v>209</v>
          </cell>
        </row>
        <row r="473">
          <cell r="A473" t="str">
            <v>Empresa Panameña de Alimentos, S. A.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J473" t="str">
            <v>Empresa Panameña de Alimentos, S. A.</v>
          </cell>
          <cell r="M473">
            <v>0</v>
          </cell>
        </row>
        <row r="474">
          <cell r="A474" t="str">
            <v>Empresa Panameña de Alimentos, S. A.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150</v>
          </cell>
          <cell r="J474" t="str">
            <v>Empresa Panameña de Alimentos, S. A.</v>
          </cell>
          <cell r="S474">
            <v>150</v>
          </cell>
        </row>
        <row r="475">
          <cell r="A475" t="str">
            <v>Empresa Panameña de Alimentos, S. A.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6</v>
          </cell>
          <cell r="J475" t="str">
            <v>Empresa Panameña de Alimentos, S. A.</v>
          </cell>
          <cell r="N475">
            <v>6</v>
          </cell>
        </row>
        <row r="476">
          <cell r="A476" t="str">
            <v>Empresa Panameña de Alimentos, S. A.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200</v>
          </cell>
          <cell r="J476" t="str">
            <v>Empresa Panameña de Alimentos, S. A.</v>
          </cell>
          <cell r="M476">
            <v>200</v>
          </cell>
        </row>
        <row r="477">
          <cell r="A477" t="str">
            <v>Empresa Panameña de Alimentos, S. A.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J477" t="str">
            <v>Empresa Panameña de Alimentos, S. A.</v>
          </cell>
          <cell r="R477">
            <v>0</v>
          </cell>
        </row>
        <row r="478">
          <cell r="A478" t="str">
            <v>Empresa Panameña de Alimentos, S. A.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421</v>
          </cell>
          <cell r="J478" t="str">
            <v>Empresa Panameña de Alimentos, S. A.</v>
          </cell>
          <cell r="O478">
            <v>421</v>
          </cell>
        </row>
        <row r="479">
          <cell r="A479" t="str">
            <v>Empresa Panameña de Alimentos, S. A.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200</v>
          </cell>
          <cell r="J479" t="str">
            <v>Empresa Panameña de Alimentos, S. A.</v>
          </cell>
          <cell r="S479">
            <v>200</v>
          </cell>
        </row>
        <row r="480">
          <cell r="A480" t="str">
            <v>Empresa Panameña de Alimentos, S. A.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173</v>
          </cell>
          <cell r="J480" t="str">
            <v>Empresa Panameña de Alimentos, S. A.</v>
          </cell>
          <cell r="P480">
            <v>173</v>
          </cell>
        </row>
        <row r="481">
          <cell r="A481" t="str">
            <v>Empresa Panameña de Alimentos, S. A.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265</v>
          </cell>
          <cell r="J481" t="str">
            <v>Empresa Panameña de Alimentos, S. A.</v>
          </cell>
          <cell r="M481">
            <v>265</v>
          </cell>
        </row>
        <row r="482">
          <cell r="A482" t="str">
            <v>Empresa Panameña de Alimentos, S. A.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52</v>
          </cell>
          <cell r="J482" t="str">
            <v>Empresa Panameña de Alimentos, S. A.</v>
          </cell>
          <cell r="M482">
            <v>52</v>
          </cell>
        </row>
        <row r="483">
          <cell r="A483" t="str">
            <v>Empresa Panameña de Alimentos, S. A.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360</v>
          </cell>
          <cell r="J483" t="str">
            <v>Empresa Panameña de Alimentos, S. A.</v>
          </cell>
          <cell r="M483">
            <v>360</v>
          </cell>
        </row>
        <row r="484">
          <cell r="A484" t="str">
            <v>Empresa Panameña de Alimentos, S. A.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150</v>
          </cell>
          <cell r="J484" t="str">
            <v>Empresa Panameña de Alimentos, S. A.</v>
          </cell>
          <cell r="P484">
            <v>150</v>
          </cell>
        </row>
        <row r="485">
          <cell r="A485" t="str">
            <v>Empresa Panameña de Alimentos, S. A.</v>
          </cell>
          <cell r="C485">
            <v>0</v>
          </cell>
          <cell r="D485">
            <v>120</v>
          </cell>
          <cell r="E485">
            <v>180</v>
          </cell>
          <cell r="F485">
            <v>60</v>
          </cell>
          <cell r="G485">
            <v>630</v>
          </cell>
          <cell r="J485" t="str">
            <v>Empresa Panameña de Alimentos, S. A.</v>
          </cell>
          <cell r="M485">
            <v>630</v>
          </cell>
        </row>
        <row r="486">
          <cell r="A486" t="str">
            <v>Empresa Panameña de Alimentos, S. A.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50</v>
          </cell>
          <cell r="J486" t="str">
            <v>Empresa Panameña de Alimentos, S. A.</v>
          </cell>
          <cell r="M486">
            <v>50</v>
          </cell>
        </row>
        <row r="487">
          <cell r="A487" t="str">
            <v>Empresa Panameña de Alimentos, S. A.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600</v>
          </cell>
          <cell r="J487" t="str">
            <v>Empresa Panameña de Alimentos, S. A.</v>
          </cell>
          <cell r="M487">
            <v>600</v>
          </cell>
        </row>
        <row r="488">
          <cell r="A488" t="str">
            <v>Empresa Panameña de Alimentos, S. A.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40</v>
          </cell>
          <cell r="J488" t="str">
            <v>Empresa Panameña de Alimentos, S. A.</v>
          </cell>
          <cell r="S488">
            <v>40</v>
          </cell>
        </row>
        <row r="489">
          <cell r="A489" t="str">
            <v>Empresa Panameña de Alimentos, S. A.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105</v>
          </cell>
          <cell r="J489" t="str">
            <v>Empresa Panameña de Alimentos, S. A.</v>
          </cell>
          <cell r="O489">
            <v>105</v>
          </cell>
        </row>
        <row r="490">
          <cell r="A490" t="str">
            <v>Empresa Panameña de Alimentos, S. A.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490</v>
          </cell>
          <cell r="J490" t="str">
            <v>Empresa Panameña de Alimentos, S. A.</v>
          </cell>
          <cell r="N490">
            <v>490</v>
          </cell>
        </row>
        <row r="491">
          <cell r="A491" t="str">
            <v>Empresa Panameña de Alimentos, S. A.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480</v>
          </cell>
          <cell r="J491" t="str">
            <v>Empresa Panameña de Alimentos, S. A.</v>
          </cell>
          <cell r="O491">
            <v>480</v>
          </cell>
        </row>
        <row r="492">
          <cell r="A492" t="str">
            <v>Empresa Panameña de Alimentos, S. A.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740</v>
          </cell>
          <cell r="J492" t="str">
            <v>Empresa Panameña de Alimentos, S. A.</v>
          </cell>
          <cell r="M492">
            <v>740</v>
          </cell>
        </row>
        <row r="493">
          <cell r="A493" t="str">
            <v>Empresa Panameña de Alimentos, S. A.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J493" t="str">
            <v>Empresa Panameña de Alimentos, S. A.</v>
          </cell>
          <cell r="T493">
            <v>0</v>
          </cell>
        </row>
        <row r="494">
          <cell r="A494" t="str">
            <v>Empresa Panameña de Alimentos, S. A.</v>
          </cell>
          <cell r="C494">
            <v>300</v>
          </cell>
          <cell r="D494">
            <v>0</v>
          </cell>
          <cell r="E494">
            <v>0</v>
          </cell>
          <cell r="F494">
            <v>0</v>
          </cell>
          <cell r="G494">
            <v>300</v>
          </cell>
          <cell r="J494" t="str">
            <v>Empresa Panameña de Alimentos, S. A.</v>
          </cell>
          <cell r="U494">
            <v>300</v>
          </cell>
        </row>
        <row r="495">
          <cell r="A495" t="str">
            <v>Empresa Panameña de Alimentos, S. A.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240</v>
          </cell>
          <cell r="J495" t="str">
            <v>Empresa Panameña de Alimentos, S. A.</v>
          </cell>
          <cell r="T495">
            <v>240</v>
          </cell>
        </row>
        <row r="496">
          <cell r="A496" t="str">
            <v>Empresa Panameña de Alimentos, S. A.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J496" t="str">
            <v>Empresa Panameña de Alimentos, S. A.</v>
          </cell>
          <cell r="N496">
            <v>0</v>
          </cell>
        </row>
        <row r="497">
          <cell r="A497" t="str">
            <v>Empresa Panameña de Alimentos, S. A.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346</v>
          </cell>
          <cell r="J497" t="str">
            <v>Empresa Panameña de Alimentos, S. A.</v>
          </cell>
          <cell r="O497">
            <v>346</v>
          </cell>
        </row>
        <row r="498">
          <cell r="A498" t="str">
            <v>AGENCIAS FEDURO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J498" t="str">
            <v>AGENCIAS FEDURO</v>
          </cell>
        </row>
        <row r="499">
          <cell r="A499" t="str">
            <v>AGENCIAS FEDURO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325</v>
          </cell>
          <cell r="J499" t="str">
            <v>AGENCIAS FEDURO</v>
          </cell>
          <cell r="M499">
            <v>325</v>
          </cell>
        </row>
        <row r="500">
          <cell r="A500" t="str">
            <v>AGENCIAS FEDURO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212</v>
          </cell>
          <cell r="J500" t="str">
            <v>AGENCIAS FEDURO</v>
          </cell>
          <cell r="N500">
            <v>212</v>
          </cell>
        </row>
        <row r="501">
          <cell r="A501" t="str">
            <v>AGENCIAS FEDURO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102</v>
          </cell>
          <cell r="J501" t="str">
            <v>AGENCIAS FEDURO</v>
          </cell>
          <cell r="P501">
            <v>102</v>
          </cell>
        </row>
        <row r="502">
          <cell r="A502" t="str">
            <v>AGENCIAS FEDURO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180</v>
          </cell>
          <cell r="J502" t="str">
            <v>AGENCIAS FEDURO</v>
          </cell>
          <cell r="O502">
            <v>180</v>
          </cell>
        </row>
        <row r="503">
          <cell r="A503" t="str">
            <v>AGENCIAS FEDURO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70</v>
          </cell>
          <cell r="J503" t="str">
            <v>AGENCIAS FEDURO</v>
          </cell>
          <cell r="N503">
            <v>70</v>
          </cell>
        </row>
        <row r="504">
          <cell r="A504" t="str">
            <v>AGENCIAS FEDURO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1060</v>
          </cell>
          <cell r="J504" t="str">
            <v>AGENCIAS FEDURO</v>
          </cell>
          <cell r="Q504">
            <v>1060</v>
          </cell>
        </row>
        <row r="505">
          <cell r="A505" t="str">
            <v>AGENCIAS FEDURO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100</v>
          </cell>
          <cell r="J505" t="str">
            <v>AGENCIAS FEDURO</v>
          </cell>
          <cell r="N505">
            <v>100</v>
          </cell>
        </row>
        <row r="506">
          <cell r="A506" t="str">
            <v>AGENCIAS FEDURO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250</v>
          </cell>
          <cell r="J506" t="str">
            <v>AGENCIAS FEDURO</v>
          </cell>
          <cell r="N506">
            <v>250</v>
          </cell>
        </row>
        <row r="507">
          <cell r="A507" t="str">
            <v>AGENCIAS FEDURO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180</v>
          </cell>
          <cell r="J507" t="str">
            <v>AGENCIAS FEDURO</v>
          </cell>
          <cell r="R507">
            <v>180</v>
          </cell>
        </row>
        <row r="508">
          <cell r="A508" t="str">
            <v>AGENCIAS FEDURO</v>
          </cell>
          <cell r="C508">
            <v>40</v>
          </cell>
          <cell r="D508">
            <v>0</v>
          </cell>
          <cell r="E508">
            <v>0</v>
          </cell>
          <cell r="F508">
            <v>0</v>
          </cell>
          <cell r="G508">
            <v>40</v>
          </cell>
          <cell r="J508" t="str">
            <v>AGENCIAS FEDURO</v>
          </cell>
          <cell r="R508">
            <v>40</v>
          </cell>
        </row>
        <row r="509">
          <cell r="A509" t="str">
            <v>AGENCIAS FEDURO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73</v>
          </cell>
          <cell r="J509" t="str">
            <v>AGENCIAS FEDURO</v>
          </cell>
          <cell r="S509">
            <v>73</v>
          </cell>
        </row>
        <row r="510">
          <cell r="A510" t="str">
            <v>AGENCIAS FEDURO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65</v>
          </cell>
          <cell r="J510" t="str">
            <v>AGENCIAS FEDURO</v>
          </cell>
          <cell r="O510">
            <v>65</v>
          </cell>
        </row>
        <row r="511">
          <cell r="A511" t="str">
            <v>AGENCIAS FEDURO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1090</v>
          </cell>
          <cell r="J511" t="str">
            <v>AGENCIAS FEDURO</v>
          </cell>
          <cell r="O511">
            <v>1090</v>
          </cell>
        </row>
        <row r="512">
          <cell r="A512" t="str">
            <v>AGENCIAS FEDURO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J512" t="str">
            <v>AGENCIAS FEDURO</v>
          </cell>
          <cell r="M512">
            <v>0</v>
          </cell>
        </row>
        <row r="513">
          <cell r="A513" t="str">
            <v>AGENCIAS FEDURO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282</v>
          </cell>
          <cell r="J513" t="str">
            <v>AGENCIAS FEDURO</v>
          </cell>
          <cell r="N513">
            <v>282</v>
          </cell>
        </row>
        <row r="514">
          <cell r="A514" t="str">
            <v>AGENCIAS FEDURO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467</v>
          </cell>
          <cell r="J514" t="str">
            <v>AGENCIAS FEDURO</v>
          </cell>
          <cell r="N514">
            <v>467</v>
          </cell>
        </row>
        <row r="515">
          <cell r="A515" t="str">
            <v>AGENCIAS FEDURO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82</v>
          </cell>
          <cell r="J515" t="str">
            <v>AGENCIAS FEDURO</v>
          </cell>
          <cell r="T515">
            <v>82</v>
          </cell>
        </row>
        <row r="516">
          <cell r="A516" t="str">
            <v>AGENCIAS FEDURO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38</v>
          </cell>
          <cell r="J516" t="str">
            <v>AGENCIAS FEDURO</v>
          </cell>
          <cell r="N516">
            <v>38</v>
          </cell>
        </row>
        <row r="517">
          <cell r="A517" t="str">
            <v>AGENCIAS FEDURO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70</v>
          </cell>
          <cell r="J517" t="str">
            <v>AGENCIAS FEDURO</v>
          </cell>
          <cell r="N517">
            <v>70</v>
          </cell>
        </row>
        <row r="518">
          <cell r="A518" t="str">
            <v>AGENCIAS FEDURO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62</v>
          </cell>
          <cell r="J518" t="str">
            <v>AGENCIAS FEDURO</v>
          </cell>
          <cell r="N518">
            <v>62</v>
          </cell>
        </row>
        <row r="519">
          <cell r="A519" t="str">
            <v>AGENCIAS FEDURO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116</v>
          </cell>
          <cell r="J519" t="str">
            <v>AGENCIAS FEDURO</v>
          </cell>
          <cell r="O519">
            <v>116</v>
          </cell>
        </row>
        <row r="520">
          <cell r="A520" t="str">
            <v>AGENCIAS FEDURO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542</v>
          </cell>
          <cell r="J520" t="str">
            <v>AGENCIAS FEDURO</v>
          </cell>
          <cell r="N520">
            <v>542</v>
          </cell>
        </row>
        <row r="521">
          <cell r="A521" t="str">
            <v>AGENCIAS FEDURO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138</v>
          </cell>
          <cell r="J521" t="str">
            <v>AGENCIAS FEDURO</v>
          </cell>
          <cell r="O521">
            <v>138</v>
          </cell>
        </row>
        <row r="522">
          <cell r="A522" t="str">
            <v>AGENCIAS FEDURO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147</v>
          </cell>
          <cell r="J522" t="str">
            <v>AGENCIAS FEDURO</v>
          </cell>
          <cell r="N522">
            <v>147</v>
          </cell>
        </row>
        <row r="523">
          <cell r="A523" t="str">
            <v>AGENCIAS FEDURO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62</v>
          </cell>
          <cell r="J523" t="str">
            <v>AGENCIAS FEDURO</v>
          </cell>
          <cell r="N523">
            <v>62</v>
          </cell>
        </row>
        <row r="524">
          <cell r="A524" t="str">
            <v>AGENCIAS FEDURO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105</v>
          </cell>
          <cell r="J524" t="str">
            <v>AGENCIAS FEDURO</v>
          </cell>
          <cell r="N524">
            <v>105</v>
          </cell>
        </row>
        <row r="525">
          <cell r="A525" t="str">
            <v>AGENCIAS FEDURO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100</v>
          </cell>
          <cell r="J525" t="str">
            <v>AGENCIAS FEDURO</v>
          </cell>
          <cell r="M525">
            <v>100</v>
          </cell>
        </row>
        <row r="526">
          <cell r="A526" t="str">
            <v>AGENCIAS FEDURO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264</v>
          </cell>
          <cell r="J526" t="str">
            <v>AGENCIAS FEDURO</v>
          </cell>
          <cell r="N526">
            <v>264</v>
          </cell>
        </row>
        <row r="527">
          <cell r="A527" t="str">
            <v>AGENCIAS FEDURO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60</v>
          </cell>
          <cell r="J527" t="str">
            <v>AGENCIAS FEDURO</v>
          </cell>
          <cell r="O527">
            <v>60</v>
          </cell>
        </row>
        <row r="528">
          <cell r="A528" t="str">
            <v>AGENCIAS FEDURO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115</v>
          </cell>
          <cell r="J528" t="str">
            <v>AGENCIAS FEDURO</v>
          </cell>
          <cell r="T528">
            <v>115</v>
          </cell>
        </row>
        <row r="529">
          <cell r="A529" t="str">
            <v>AGENCIAS FEDURO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201</v>
          </cell>
          <cell r="J529" t="str">
            <v>AGENCIAS FEDURO</v>
          </cell>
          <cell r="M529">
            <v>201</v>
          </cell>
        </row>
        <row r="530">
          <cell r="A530" t="str">
            <v>AGENCIAS FEDURO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73</v>
          </cell>
          <cell r="J530" t="str">
            <v>AGENCIAS FEDURO</v>
          </cell>
          <cell r="T530">
            <v>73</v>
          </cell>
        </row>
        <row r="531">
          <cell r="A531" t="str">
            <v>AGENCIAS FEDURO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181</v>
          </cell>
          <cell r="J531" t="str">
            <v>AGENCIAS FEDURO</v>
          </cell>
          <cell r="R531">
            <v>181</v>
          </cell>
        </row>
        <row r="532">
          <cell r="A532" t="str">
            <v>AGENCIAS FEDURO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635</v>
          </cell>
          <cell r="J532" t="str">
            <v>AGENCIAS FEDURO</v>
          </cell>
          <cell r="T532">
            <v>635</v>
          </cell>
        </row>
        <row r="533">
          <cell r="A533" t="str">
            <v>AGENCIAS FEDURO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201</v>
          </cell>
          <cell r="J533" t="str">
            <v>AGENCIAS FEDURO</v>
          </cell>
          <cell r="N533">
            <v>201</v>
          </cell>
        </row>
        <row r="534">
          <cell r="A534" t="str">
            <v>AGENCIAS FEDURO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J534" t="str">
            <v>AGENCIAS FEDURO</v>
          </cell>
          <cell r="N534">
            <v>0</v>
          </cell>
        </row>
        <row r="535">
          <cell r="A535" t="str">
            <v>AGENCIAS FEDURO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150</v>
          </cell>
          <cell r="J535" t="str">
            <v>AGENCIAS FEDURO</v>
          </cell>
          <cell r="M535">
            <v>150</v>
          </cell>
        </row>
        <row r="536">
          <cell r="A536" t="str">
            <v>AGENCIAS FEDURO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250</v>
          </cell>
          <cell r="J536" t="str">
            <v>AGENCIAS FEDURO</v>
          </cell>
          <cell r="N536">
            <v>250</v>
          </cell>
        </row>
        <row r="537">
          <cell r="A537" t="str">
            <v>AGENCIAS FEDURO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1200</v>
          </cell>
          <cell r="J537" t="str">
            <v>AGENCIAS FEDURO</v>
          </cell>
          <cell r="O537">
            <v>1200</v>
          </cell>
        </row>
        <row r="538">
          <cell r="A538" t="str">
            <v>AGENCIAS FEDURO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250</v>
          </cell>
          <cell r="J538" t="str">
            <v>AGENCIAS FEDURO</v>
          </cell>
          <cell r="N538">
            <v>250</v>
          </cell>
        </row>
        <row r="539">
          <cell r="A539" t="str">
            <v>AGENCIAS FEDURO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356</v>
          </cell>
          <cell r="J539" t="str">
            <v>AGENCIAS FEDURO</v>
          </cell>
          <cell r="N539">
            <v>356</v>
          </cell>
        </row>
        <row r="540">
          <cell r="A540" t="str">
            <v>AGENCIAS FEDURO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90</v>
          </cell>
          <cell r="J540" t="str">
            <v>AGENCIAS FEDURO</v>
          </cell>
          <cell r="N540">
            <v>90</v>
          </cell>
        </row>
        <row r="541">
          <cell r="A541" t="str">
            <v>AGENCIAS FEDURO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22</v>
          </cell>
          <cell r="J541" t="str">
            <v>AGENCIAS FEDURO</v>
          </cell>
          <cell r="N541">
            <v>22</v>
          </cell>
        </row>
        <row r="542">
          <cell r="A542" t="str">
            <v>AGENCIAS FEDURO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230</v>
          </cell>
          <cell r="J542" t="str">
            <v>AGENCIAS FEDURO</v>
          </cell>
          <cell r="N542">
            <v>230</v>
          </cell>
        </row>
        <row r="543">
          <cell r="A543" t="str">
            <v>AGENCIAS FEDURO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J543" t="str">
            <v>AGENCIAS FEDURO</v>
          </cell>
          <cell r="N543">
            <v>0</v>
          </cell>
        </row>
        <row r="544">
          <cell r="A544" t="str">
            <v>AGENCIAS FEDURO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456</v>
          </cell>
          <cell r="J544" t="str">
            <v>AGENCIAS FEDURO</v>
          </cell>
          <cell r="N544">
            <v>456</v>
          </cell>
        </row>
        <row r="545">
          <cell r="A545" t="str">
            <v>AGENCIAS FEDURO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251</v>
          </cell>
          <cell r="J545" t="str">
            <v>AGENCIAS FEDURO</v>
          </cell>
          <cell r="N545">
            <v>251</v>
          </cell>
        </row>
        <row r="546">
          <cell r="A546" t="str">
            <v>AGENCIAS FEDURO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75</v>
          </cell>
          <cell r="J546" t="str">
            <v>AGENCIAS FEDURO</v>
          </cell>
          <cell r="N546">
            <v>75</v>
          </cell>
        </row>
        <row r="547">
          <cell r="A547" t="str">
            <v>AGENCIAS FEDURO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107</v>
          </cell>
          <cell r="J547" t="str">
            <v>AGENCIAS FEDURO</v>
          </cell>
          <cell r="N547">
            <v>107</v>
          </cell>
        </row>
        <row r="548">
          <cell r="A548" t="str">
            <v>AGENCIAS FEDURO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83</v>
          </cell>
          <cell r="J548" t="str">
            <v>AGENCIAS FEDURO</v>
          </cell>
          <cell r="Q548">
            <v>83</v>
          </cell>
        </row>
        <row r="549">
          <cell r="A549" t="str">
            <v>AGENCIAS FEDURO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37</v>
          </cell>
          <cell r="J549" t="str">
            <v>AGENCIAS FEDURO</v>
          </cell>
          <cell r="T549">
            <v>37</v>
          </cell>
        </row>
        <row r="550">
          <cell r="A550" t="str">
            <v>AGENCIAS FEDURO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J550" t="str">
            <v>AGENCIAS FEDURO</v>
          </cell>
          <cell r="U550">
            <v>0</v>
          </cell>
        </row>
        <row r="551">
          <cell r="A551" t="str">
            <v>AGENCIAS FEDURO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60</v>
          </cell>
          <cell r="J551" t="str">
            <v>AGENCIAS FEDURO</v>
          </cell>
          <cell r="Q551">
            <v>60</v>
          </cell>
        </row>
        <row r="552">
          <cell r="A552" t="str">
            <v>AGENCIAS FEDURO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J552" t="str">
            <v>AGENCIAS FEDURO</v>
          </cell>
          <cell r="V552">
            <v>0</v>
          </cell>
        </row>
        <row r="553">
          <cell r="A553" t="str">
            <v>AGENCIAS FEDURO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910</v>
          </cell>
          <cell r="J553" t="str">
            <v>AGENCIAS FEDURO</v>
          </cell>
          <cell r="M553">
            <v>910</v>
          </cell>
        </row>
        <row r="554">
          <cell r="A554" t="str">
            <v>AGENCIAS FEDURO</v>
          </cell>
          <cell r="C554">
            <v>0</v>
          </cell>
          <cell r="D554">
            <v>40</v>
          </cell>
          <cell r="E554">
            <v>60</v>
          </cell>
          <cell r="F554">
            <v>40</v>
          </cell>
          <cell r="G554">
            <v>305</v>
          </cell>
          <cell r="J554" t="str">
            <v>AGENCIAS FEDURO</v>
          </cell>
          <cell r="U554">
            <v>305</v>
          </cell>
        </row>
        <row r="555">
          <cell r="A555" t="str">
            <v>AGENCIAS FEDURO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68</v>
          </cell>
          <cell r="J555" t="str">
            <v>AGENCIAS FEDURO</v>
          </cell>
          <cell r="O555">
            <v>68</v>
          </cell>
        </row>
        <row r="556">
          <cell r="A556" t="str">
            <v>AGENCIAS FEDURO</v>
          </cell>
          <cell r="C556">
            <v>0</v>
          </cell>
          <cell r="D556">
            <v>10</v>
          </cell>
          <cell r="E556">
            <v>20</v>
          </cell>
          <cell r="F556">
            <v>25</v>
          </cell>
          <cell r="G556">
            <v>175</v>
          </cell>
          <cell r="J556" t="str">
            <v>AGENCIAS FEDURO</v>
          </cell>
          <cell r="M556">
            <v>175</v>
          </cell>
        </row>
        <row r="557">
          <cell r="A557" t="str">
            <v>AGENCIAS FEDURO</v>
          </cell>
          <cell r="C557">
            <v>73</v>
          </cell>
          <cell r="D557">
            <v>0</v>
          </cell>
          <cell r="E557">
            <v>0</v>
          </cell>
          <cell r="F557">
            <v>0</v>
          </cell>
          <cell r="G557">
            <v>496</v>
          </cell>
          <cell r="J557" t="str">
            <v>AGENCIAS FEDURO</v>
          </cell>
          <cell r="Q557">
            <v>496</v>
          </cell>
        </row>
        <row r="558">
          <cell r="A558" t="str">
            <v>AGENCIAS FEDURO</v>
          </cell>
          <cell r="C558">
            <v>0</v>
          </cell>
          <cell r="D558">
            <v>680</v>
          </cell>
          <cell r="E558">
            <v>450</v>
          </cell>
          <cell r="F558">
            <v>450</v>
          </cell>
          <cell r="G558">
            <v>4560</v>
          </cell>
          <cell r="J558" t="str">
            <v>AGENCIAS FEDURO</v>
          </cell>
          <cell r="Q558">
            <v>4560</v>
          </cell>
        </row>
        <row r="559">
          <cell r="A559" t="str">
            <v>AGENCIAS FEDURO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J559" t="str">
            <v>AGENCIAS FEDURO</v>
          </cell>
          <cell r="N559">
            <v>0</v>
          </cell>
        </row>
        <row r="560">
          <cell r="A560" t="str">
            <v>AGENCIAS FEDURO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J560" t="str">
            <v>AGENCIAS FEDURO</v>
          </cell>
          <cell r="W560">
            <v>0</v>
          </cell>
        </row>
        <row r="561">
          <cell r="A561" t="str">
            <v>AGENCIAS FEDURO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400</v>
          </cell>
          <cell r="J561" t="str">
            <v>AGENCIAS FEDURO</v>
          </cell>
          <cell r="M561">
            <v>400</v>
          </cell>
        </row>
        <row r="562">
          <cell r="A562" t="str">
            <v>AGENCIAS FEDURO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34</v>
          </cell>
          <cell r="J562" t="str">
            <v>AGENCIAS FEDURO</v>
          </cell>
          <cell r="O562">
            <v>34</v>
          </cell>
        </row>
        <row r="563">
          <cell r="A563" t="str">
            <v>AGENCIAS FEDURO</v>
          </cell>
          <cell r="C563">
            <v>200</v>
          </cell>
          <cell r="D563">
            <v>25</v>
          </cell>
          <cell r="E563">
            <v>100</v>
          </cell>
          <cell r="F563">
            <v>25</v>
          </cell>
          <cell r="G563">
            <v>350</v>
          </cell>
          <cell r="J563" t="str">
            <v>AGENCIAS FEDURO</v>
          </cell>
          <cell r="M563">
            <v>350</v>
          </cell>
        </row>
        <row r="564">
          <cell r="A564" t="str">
            <v>AGENCIAS FEDURO</v>
          </cell>
          <cell r="C564">
            <v>225</v>
          </cell>
          <cell r="D564">
            <v>0</v>
          </cell>
          <cell r="E564">
            <v>0</v>
          </cell>
          <cell r="F564">
            <v>0</v>
          </cell>
          <cell r="G564">
            <v>352</v>
          </cell>
          <cell r="J564" t="str">
            <v>AGENCIAS FEDURO</v>
          </cell>
          <cell r="M564">
            <v>352</v>
          </cell>
        </row>
        <row r="565">
          <cell r="A565" t="str">
            <v>AGENCIAS FEDURO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628</v>
          </cell>
          <cell r="J565" t="str">
            <v>AGENCIAS FEDURO</v>
          </cell>
          <cell r="W565">
            <v>628</v>
          </cell>
        </row>
        <row r="566">
          <cell r="A566" t="str">
            <v>AGENCIAS FEDURO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510</v>
          </cell>
          <cell r="J566" t="str">
            <v>AGENCIAS FEDURO</v>
          </cell>
          <cell r="N566">
            <v>510</v>
          </cell>
        </row>
        <row r="567">
          <cell r="A567" t="str">
            <v>AGENCIAS FEDURO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97</v>
          </cell>
          <cell r="J567" t="str">
            <v>AGENCIAS FEDURO</v>
          </cell>
          <cell r="N567">
            <v>97</v>
          </cell>
        </row>
        <row r="568">
          <cell r="A568" t="str">
            <v>AGENCIAS FEDURO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130</v>
          </cell>
          <cell r="J568" t="str">
            <v>AGENCIAS FEDURO</v>
          </cell>
          <cell r="N568">
            <v>130</v>
          </cell>
        </row>
        <row r="569">
          <cell r="A569" t="str">
            <v>AGENCIAS FEDURO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J569" t="str">
            <v>AGENCIAS FEDURO</v>
          </cell>
          <cell r="W569">
            <v>0</v>
          </cell>
        </row>
        <row r="570">
          <cell r="A570" t="str">
            <v>AGENCIAS FEDURO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J570" t="str">
            <v>AGENCIAS FEDURO</v>
          </cell>
          <cell r="W570">
            <v>0</v>
          </cell>
        </row>
        <row r="571">
          <cell r="A571" t="str">
            <v>AGENCIAS FEDURO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251</v>
          </cell>
          <cell r="J571" t="str">
            <v>AGENCIAS FEDURO</v>
          </cell>
          <cell r="U571">
            <v>251</v>
          </cell>
        </row>
        <row r="572">
          <cell r="A572" t="str">
            <v>AGENCIAS FEDURO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120</v>
          </cell>
          <cell r="J572" t="str">
            <v>AGENCIAS FEDURO</v>
          </cell>
          <cell r="N572">
            <v>120</v>
          </cell>
        </row>
        <row r="573">
          <cell r="A573" t="str">
            <v>AGENCIAS FEDURO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125</v>
          </cell>
          <cell r="J573" t="str">
            <v>AGENCIAS FEDURO</v>
          </cell>
          <cell r="M573">
            <v>125</v>
          </cell>
        </row>
        <row r="574">
          <cell r="A574" t="str">
            <v>AGENCIAS FEDURO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J574" t="str">
            <v>AGENCIAS FEDURO</v>
          </cell>
          <cell r="V574">
            <v>0</v>
          </cell>
        </row>
        <row r="575">
          <cell r="A575" t="str">
            <v>AGENCIAS FEDURO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25</v>
          </cell>
          <cell r="J575" t="str">
            <v>AGENCIAS FEDURO</v>
          </cell>
          <cell r="M575">
            <v>25</v>
          </cell>
        </row>
        <row r="576">
          <cell r="A576" t="str">
            <v>AGENCIAS FEDURO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J576" t="str">
            <v>AGENCIAS FEDURO</v>
          </cell>
          <cell r="V576">
            <v>0</v>
          </cell>
        </row>
        <row r="577">
          <cell r="A577" t="str">
            <v>AGENCIAS FEDURO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J577" t="str">
            <v>AGENCIAS FEDURO</v>
          </cell>
          <cell r="Y577">
            <v>0</v>
          </cell>
        </row>
        <row r="578">
          <cell r="A578" t="str">
            <v>AGENCIAS FEDURO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J578" t="str">
            <v>AGENCIAS FEDURO</v>
          </cell>
          <cell r="O578">
            <v>0</v>
          </cell>
        </row>
        <row r="579">
          <cell r="A579" t="str">
            <v>AGENCIAS FEDURO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150</v>
          </cell>
          <cell r="J579" t="str">
            <v>AGENCIAS FEDURO</v>
          </cell>
          <cell r="S579">
            <v>150</v>
          </cell>
        </row>
        <row r="580">
          <cell r="A580" t="str">
            <v>AGENCIAS FEDURO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6</v>
          </cell>
          <cell r="J580" t="str">
            <v>AGENCIAS FEDURO</v>
          </cell>
          <cell r="N580">
            <v>6</v>
          </cell>
        </row>
        <row r="581">
          <cell r="A581" t="str">
            <v>AGENCIAS FEDURO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200</v>
          </cell>
          <cell r="J581" t="str">
            <v>AGENCIAS FEDURO</v>
          </cell>
          <cell r="M581">
            <v>200</v>
          </cell>
        </row>
        <row r="582">
          <cell r="A582" t="str">
            <v>AGENCIAS FEDURO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J582" t="str">
            <v>AGENCIAS FEDURO</v>
          </cell>
          <cell r="R582">
            <v>0</v>
          </cell>
        </row>
        <row r="583">
          <cell r="A583" t="str">
            <v>AGENCIAS FEDURO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421</v>
          </cell>
          <cell r="J583" t="str">
            <v>AGENCIAS FEDURO</v>
          </cell>
          <cell r="O583">
            <v>421</v>
          </cell>
        </row>
        <row r="584">
          <cell r="A584" t="str">
            <v>AGENCIAS FEDURO</v>
          </cell>
          <cell r="C584">
            <v>1190</v>
          </cell>
          <cell r="D584">
            <v>0</v>
          </cell>
          <cell r="E584">
            <v>0</v>
          </cell>
          <cell r="F584">
            <v>0</v>
          </cell>
          <cell r="G584">
            <v>1190</v>
          </cell>
          <cell r="J584" t="str">
            <v>AGENCIAS FEDURO</v>
          </cell>
          <cell r="S584">
            <v>1190</v>
          </cell>
        </row>
        <row r="585">
          <cell r="A585" t="str">
            <v>AGENCIAS FEDURO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173</v>
          </cell>
          <cell r="J585" t="str">
            <v>AGENCIAS FEDURO</v>
          </cell>
          <cell r="P585">
            <v>173</v>
          </cell>
        </row>
        <row r="586">
          <cell r="A586" t="str">
            <v>AGENCIAS FEDURO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J586" t="str">
            <v>AGENCIAS FEDURO</v>
          </cell>
          <cell r="V586">
            <v>0</v>
          </cell>
        </row>
        <row r="587">
          <cell r="A587" t="str">
            <v>AGENCIAS FEDURO</v>
          </cell>
          <cell r="C587">
            <v>0</v>
          </cell>
          <cell r="D587">
            <v>10</v>
          </cell>
          <cell r="E587">
            <v>20</v>
          </cell>
          <cell r="F587">
            <v>32</v>
          </cell>
          <cell r="G587">
            <v>83</v>
          </cell>
          <cell r="J587" t="str">
            <v>AGENCIAS FEDURO</v>
          </cell>
        </row>
        <row r="588">
          <cell r="A588" t="str">
            <v>AGENCIAS FEDURO</v>
          </cell>
          <cell r="C588">
            <v>200</v>
          </cell>
          <cell r="D588">
            <v>0</v>
          </cell>
          <cell r="E588">
            <v>0</v>
          </cell>
          <cell r="F588">
            <v>0</v>
          </cell>
          <cell r="G588">
            <v>200</v>
          </cell>
          <cell r="J588" t="str">
            <v>AGENCIAS FEDURO</v>
          </cell>
          <cell r="V588">
            <v>200</v>
          </cell>
        </row>
        <row r="589">
          <cell r="A589" t="str">
            <v>AGENCIAS FEDURO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265</v>
          </cell>
          <cell r="J589" t="str">
            <v>AGENCIAS FEDURO</v>
          </cell>
          <cell r="M589">
            <v>265</v>
          </cell>
        </row>
        <row r="590">
          <cell r="A590" t="str">
            <v>AGENCIAS FEDURO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130</v>
          </cell>
          <cell r="J590" t="str">
            <v>AGENCIAS FEDURO</v>
          </cell>
          <cell r="N590">
            <v>130</v>
          </cell>
        </row>
        <row r="591">
          <cell r="A591" t="str">
            <v>AGENCIAS FEDURO</v>
          </cell>
          <cell r="C591">
            <v>100</v>
          </cell>
          <cell r="D591">
            <v>0</v>
          </cell>
          <cell r="E591">
            <v>0</v>
          </cell>
          <cell r="F591">
            <v>0</v>
          </cell>
          <cell r="G591">
            <v>1300</v>
          </cell>
          <cell r="J591" t="str">
            <v>AGENCIAS FEDURO</v>
          </cell>
          <cell r="M591">
            <v>1300</v>
          </cell>
        </row>
        <row r="592">
          <cell r="A592" t="str">
            <v>AGENCIAS FEDURO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52</v>
          </cell>
          <cell r="J592" t="str">
            <v>AGENCIAS FEDURO</v>
          </cell>
          <cell r="M592">
            <v>52</v>
          </cell>
        </row>
        <row r="593">
          <cell r="A593" t="str">
            <v>AGENCIAS FEDURO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40</v>
          </cell>
          <cell r="J593" t="str">
            <v>AGENCIAS FEDURO</v>
          </cell>
          <cell r="S593">
            <v>40</v>
          </cell>
        </row>
        <row r="594">
          <cell r="A594" t="str">
            <v>AGENCIAS FEDURO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105</v>
          </cell>
          <cell r="J594" t="str">
            <v>AGENCIAS FEDURO</v>
          </cell>
          <cell r="O594">
            <v>105</v>
          </cell>
        </row>
        <row r="595">
          <cell r="A595" t="str">
            <v>AGENCIAS FEDURO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490</v>
          </cell>
          <cell r="J595" t="str">
            <v>AGENCIAS FEDURO</v>
          </cell>
          <cell r="N595">
            <v>490</v>
          </cell>
        </row>
        <row r="596">
          <cell r="A596" t="str">
            <v>AGENCIAS FEDURO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J596" t="str">
            <v>AGENCIAS FEDURO</v>
          </cell>
          <cell r="T596">
            <v>0</v>
          </cell>
        </row>
        <row r="597">
          <cell r="A597" t="str">
            <v>AGENCIAS FEDURO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50</v>
          </cell>
          <cell r="J597" t="str">
            <v>AGENCIAS FEDURO</v>
          </cell>
          <cell r="Y597">
            <v>50</v>
          </cell>
        </row>
        <row r="598">
          <cell r="A598" t="str">
            <v>AGENCIAS FEDURO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240</v>
          </cell>
          <cell r="J598" t="str">
            <v>AGENCIAS FEDURO</v>
          </cell>
          <cell r="T598">
            <v>240</v>
          </cell>
        </row>
        <row r="599">
          <cell r="A599" t="str">
            <v>AGENCIAS FEDURO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80</v>
          </cell>
          <cell r="J599" t="str">
            <v>AGENCIAS FEDURO</v>
          </cell>
          <cell r="U599">
            <v>80</v>
          </cell>
        </row>
        <row r="600">
          <cell r="A600" t="str">
            <v>AGENCIAS FEDURO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J600" t="str">
            <v>AGENCIAS FEDURO</v>
          </cell>
          <cell r="U600">
            <v>0</v>
          </cell>
        </row>
        <row r="601">
          <cell r="A601" t="str">
            <v>AGENCIAS FEDURO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39</v>
          </cell>
          <cell r="J601" t="str">
            <v>AGENCIAS FEDURO</v>
          </cell>
          <cell r="V601">
            <v>39</v>
          </cell>
        </row>
        <row r="602">
          <cell r="A602" t="str">
            <v>AGENCIAS FEDURO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30</v>
          </cell>
          <cell r="J602" t="str">
            <v>AGENCIAS FEDURO</v>
          </cell>
          <cell r="V602">
            <v>30</v>
          </cell>
        </row>
        <row r="603">
          <cell r="A603" t="str">
            <v>PRODUCTOS LA DOÑA, S.A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J603" t="str">
            <v>PRODUCTOS LA DOÑA, S.A</v>
          </cell>
        </row>
        <row r="604">
          <cell r="A604" t="str">
            <v>PRODUCTOS LA DOÑA, S.A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325</v>
          </cell>
          <cell r="J604" t="str">
            <v>PRODUCTOS LA DOÑA, S.A</v>
          </cell>
          <cell r="M604">
            <v>325</v>
          </cell>
        </row>
        <row r="605">
          <cell r="A605" t="str">
            <v>PRODUCTOS LA DOÑA, S.A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30</v>
          </cell>
          <cell r="J605" t="str">
            <v>PRODUCTOS LA DOÑA, S.A</v>
          </cell>
          <cell r="O605">
            <v>30</v>
          </cell>
        </row>
        <row r="606">
          <cell r="A606" t="str">
            <v>PRODUCTOS LA DOÑA, S.A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102</v>
          </cell>
          <cell r="J606" t="str">
            <v>PRODUCTOS LA DOÑA, S.A</v>
          </cell>
          <cell r="P606">
            <v>102</v>
          </cell>
        </row>
        <row r="607">
          <cell r="A607" t="str">
            <v>PRODUCTOS LA DOÑA, S.A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100</v>
          </cell>
          <cell r="J607" t="str">
            <v>PRODUCTOS LA DOÑA, S.A</v>
          </cell>
          <cell r="N607">
            <v>100</v>
          </cell>
        </row>
        <row r="608">
          <cell r="A608" t="str">
            <v>PRODUCTOS LA DOÑA, S.A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180</v>
          </cell>
          <cell r="J608" t="str">
            <v>PRODUCTOS LA DOÑA, S.A</v>
          </cell>
          <cell r="O608">
            <v>180</v>
          </cell>
        </row>
        <row r="609">
          <cell r="A609" t="str">
            <v>PRODUCTOS LA DOÑA, S.A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70</v>
          </cell>
          <cell r="J609" t="str">
            <v>PRODUCTOS LA DOÑA, S.A</v>
          </cell>
          <cell r="N609">
            <v>70</v>
          </cell>
        </row>
        <row r="610">
          <cell r="A610" t="str">
            <v>PRODUCTOS LA DOÑA, S.A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1060</v>
          </cell>
          <cell r="J610" t="str">
            <v>PRODUCTOS LA DOÑA, S.A</v>
          </cell>
          <cell r="Q610">
            <v>1060</v>
          </cell>
        </row>
        <row r="611">
          <cell r="A611" t="str">
            <v>PRODUCTOS LA DOÑA, S.A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100</v>
          </cell>
          <cell r="J611" t="str">
            <v>PRODUCTOS LA DOÑA, S.A</v>
          </cell>
          <cell r="N611">
            <v>100</v>
          </cell>
        </row>
        <row r="612">
          <cell r="A612" t="str">
            <v>PRODUCTOS LA DOÑA, S.A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250</v>
          </cell>
          <cell r="J612" t="str">
            <v>PRODUCTOS LA DOÑA, S.A</v>
          </cell>
          <cell r="N612">
            <v>250</v>
          </cell>
        </row>
        <row r="613">
          <cell r="A613" t="str">
            <v>PRODUCTOS LA DOÑA, S.A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180</v>
          </cell>
          <cell r="J613" t="str">
            <v>PRODUCTOS LA DOÑA, S.A</v>
          </cell>
          <cell r="R613">
            <v>180</v>
          </cell>
        </row>
        <row r="614">
          <cell r="A614" t="str">
            <v>PRODUCTOS LA DOÑA, S.A</v>
          </cell>
          <cell r="C614">
            <v>40</v>
          </cell>
          <cell r="D614">
            <v>0</v>
          </cell>
          <cell r="E614">
            <v>0</v>
          </cell>
          <cell r="F614">
            <v>0</v>
          </cell>
          <cell r="G614">
            <v>40</v>
          </cell>
          <cell r="J614" t="str">
            <v>PRODUCTOS LA DOÑA, S.A</v>
          </cell>
          <cell r="R614">
            <v>40</v>
          </cell>
        </row>
        <row r="615">
          <cell r="A615" t="str">
            <v>PRODUCTOS LA DOÑA, S.A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73</v>
          </cell>
          <cell r="J615" t="str">
            <v>PRODUCTOS LA DOÑA, S.A</v>
          </cell>
          <cell r="S615">
            <v>73</v>
          </cell>
        </row>
        <row r="616">
          <cell r="A616" t="str">
            <v>PRODUCTOS LA DOÑA, S.A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325</v>
          </cell>
          <cell r="J616" t="str">
            <v>PRODUCTOS LA DOÑA, S.A</v>
          </cell>
          <cell r="O616">
            <v>325</v>
          </cell>
        </row>
        <row r="617">
          <cell r="A617" t="str">
            <v>PRODUCTOS LA DOÑA, S.A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65</v>
          </cell>
          <cell r="J617" t="str">
            <v>PRODUCTOS LA DOÑA, S.A</v>
          </cell>
          <cell r="O617">
            <v>65</v>
          </cell>
        </row>
        <row r="618">
          <cell r="A618" t="str">
            <v>PRODUCTOS LA DOÑA, S.A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70</v>
          </cell>
          <cell r="J618" t="str">
            <v>PRODUCTOS LA DOÑA, S.A</v>
          </cell>
          <cell r="N618">
            <v>70</v>
          </cell>
        </row>
        <row r="619">
          <cell r="A619" t="str">
            <v>PRODUCTOS LA DOÑA, S.A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1090</v>
          </cell>
          <cell r="J619" t="str">
            <v>PRODUCTOS LA DOÑA, S.A</v>
          </cell>
          <cell r="O619">
            <v>1090</v>
          </cell>
        </row>
        <row r="620">
          <cell r="A620" t="str">
            <v>PRODUCTOS LA DOÑA, S.A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J620" t="str">
            <v>PRODUCTOS LA DOÑA, S.A</v>
          </cell>
          <cell r="M620">
            <v>0</v>
          </cell>
        </row>
        <row r="621">
          <cell r="A621" t="str">
            <v>PRODUCTOS LA DOÑA, S.A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282</v>
          </cell>
          <cell r="J621" t="str">
            <v>PRODUCTOS LA DOÑA, S.A</v>
          </cell>
          <cell r="N621">
            <v>282</v>
          </cell>
        </row>
        <row r="622">
          <cell r="A622" t="str">
            <v>PRODUCTOS LA DOÑA, S.A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467</v>
          </cell>
          <cell r="J622" t="str">
            <v>PRODUCTOS LA DOÑA, S.A</v>
          </cell>
          <cell r="N622">
            <v>467</v>
          </cell>
        </row>
        <row r="623">
          <cell r="A623" t="str">
            <v>PRODUCTOS LA DOÑA, S.A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82</v>
          </cell>
          <cell r="J623" t="str">
            <v>PRODUCTOS LA DOÑA, S.A</v>
          </cell>
          <cell r="T623">
            <v>82</v>
          </cell>
        </row>
        <row r="624">
          <cell r="A624" t="str">
            <v>PRODUCTOS LA DOÑA, S.A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881</v>
          </cell>
          <cell r="J624" t="str">
            <v>PRODUCTOS LA DOÑA, S.A</v>
          </cell>
          <cell r="N624">
            <v>881</v>
          </cell>
        </row>
        <row r="625">
          <cell r="A625" t="str">
            <v>PRODUCTOS LA DOÑA, S.A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38</v>
          </cell>
          <cell r="J625" t="str">
            <v>PRODUCTOS LA DOÑA, S.A</v>
          </cell>
          <cell r="N625">
            <v>38</v>
          </cell>
        </row>
        <row r="626">
          <cell r="A626" t="str">
            <v>PRODUCTOS LA DOÑA, S.A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70</v>
          </cell>
          <cell r="J626" t="str">
            <v>PRODUCTOS LA DOÑA, S.A</v>
          </cell>
          <cell r="N626">
            <v>70</v>
          </cell>
        </row>
        <row r="627">
          <cell r="A627" t="str">
            <v>PRODUCTOS LA DOÑA, S.A</v>
          </cell>
          <cell r="C627">
            <v>0</v>
          </cell>
          <cell r="D627">
            <v>13</v>
          </cell>
          <cell r="E627">
            <v>37</v>
          </cell>
          <cell r="F627">
            <v>28</v>
          </cell>
          <cell r="G627">
            <v>243</v>
          </cell>
          <cell r="J627" t="str">
            <v>PRODUCTOS LA DOÑA, S.A</v>
          </cell>
          <cell r="N627">
            <v>243</v>
          </cell>
        </row>
        <row r="628">
          <cell r="A628" t="str">
            <v>PRODUCTOS LA DOÑA, S.A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62</v>
          </cell>
          <cell r="J628" t="str">
            <v>PRODUCTOS LA DOÑA, S.A</v>
          </cell>
          <cell r="N628">
            <v>62</v>
          </cell>
        </row>
        <row r="629">
          <cell r="A629" t="str">
            <v>PRODUCTOS LA DOÑA, S.A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116</v>
          </cell>
          <cell r="J629" t="str">
            <v>PRODUCTOS LA DOÑA, S.A</v>
          </cell>
          <cell r="O629">
            <v>116</v>
          </cell>
        </row>
        <row r="630">
          <cell r="A630" t="str">
            <v>PRODUCTOS LA DOÑA, S.A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542</v>
          </cell>
          <cell r="J630" t="str">
            <v>PRODUCTOS LA DOÑA, S.A</v>
          </cell>
          <cell r="N630">
            <v>542</v>
          </cell>
        </row>
        <row r="631">
          <cell r="A631" t="str">
            <v>PRODUCTOS LA DOÑA, S.A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211</v>
          </cell>
          <cell r="J631" t="str">
            <v>PRODUCTOS LA DOÑA, S.A</v>
          </cell>
          <cell r="S631">
            <v>211</v>
          </cell>
        </row>
        <row r="632">
          <cell r="A632" t="str">
            <v>PRODUCTOS LA DOÑA, S.A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138</v>
          </cell>
          <cell r="J632" t="str">
            <v>PRODUCTOS LA DOÑA, S.A</v>
          </cell>
          <cell r="O632">
            <v>138</v>
          </cell>
        </row>
        <row r="633">
          <cell r="A633" t="str">
            <v>PRODUCTOS LA DOÑA, S.A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147</v>
          </cell>
          <cell r="J633" t="str">
            <v>PRODUCTOS LA DOÑA, S.A</v>
          </cell>
          <cell r="N633">
            <v>147</v>
          </cell>
        </row>
        <row r="634">
          <cell r="A634" t="str">
            <v>PRODUCTOS LA DOÑA, S.A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52</v>
          </cell>
          <cell r="J634" t="str">
            <v>PRODUCTOS LA DOÑA, S.A</v>
          </cell>
          <cell r="S634">
            <v>52</v>
          </cell>
        </row>
        <row r="635">
          <cell r="A635" t="str">
            <v>PRODUCTOS LA DOÑA, S.A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62</v>
          </cell>
          <cell r="J635" t="str">
            <v>PRODUCTOS LA DOÑA, S.A</v>
          </cell>
          <cell r="N635">
            <v>62</v>
          </cell>
        </row>
        <row r="636">
          <cell r="A636" t="str">
            <v>PRODUCTOS LA DOÑA, S.A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215</v>
          </cell>
          <cell r="J636" t="str">
            <v>PRODUCTOS LA DOÑA, S.A</v>
          </cell>
          <cell r="M636">
            <v>215</v>
          </cell>
        </row>
        <row r="637">
          <cell r="A637" t="str">
            <v>PRODUCTOS LA DOÑA, S.A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155</v>
          </cell>
          <cell r="J637" t="str">
            <v>PRODUCTOS LA DOÑA, S.A</v>
          </cell>
          <cell r="M637">
            <v>155</v>
          </cell>
        </row>
        <row r="638">
          <cell r="A638" t="str">
            <v>PRODUCTOS LA DOÑA, S.A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84</v>
          </cell>
          <cell r="J638" t="str">
            <v>PRODUCTOS LA DOÑA, S.A</v>
          </cell>
          <cell r="T638">
            <v>84</v>
          </cell>
        </row>
        <row r="639">
          <cell r="A639" t="str">
            <v>PRODUCTOS LA DOÑA, S.A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100</v>
          </cell>
          <cell r="J639" t="str">
            <v>PRODUCTOS LA DOÑA, S.A</v>
          </cell>
          <cell r="M639">
            <v>100</v>
          </cell>
        </row>
        <row r="640">
          <cell r="A640" t="str">
            <v>PRODUCTOS LA DOÑA, S.A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264</v>
          </cell>
          <cell r="J640" t="str">
            <v>PRODUCTOS LA DOÑA, S.A</v>
          </cell>
          <cell r="N640">
            <v>264</v>
          </cell>
        </row>
        <row r="641">
          <cell r="A641" t="str">
            <v>PRODUCTOS LA DOÑA, S.A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57</v>
          </cell>
          <cell r="J641" t="str">
            <v>PRODUCTOS LA DOÑA, S.A</v>
          </cell>
          <cell r="Q641">
            <v>57</v>
          </cell>
        </row>
        <row r="642">
          <cell r="A642" t="str">
            <v>PRODUCTOS LA DOÑA, S.A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60</v>
          </cell>
          <cell r="J642" t="str">
            <v>PRODUCTOS LA DOÑA, S.A</v>
          </cell>
          <cell r="O642">
            <v>60</v>
          </cell>
        </row>
        <row r="643">
          <cell r="A643" t="str">
            <v>PRODUCTOS LA DOÑA, S.A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179</v>
          </cell>
          <cell r="J643" t="str">
            <v>PRODUCTOS LA DOÑA, S.A</v>
          </cell>
          <cell r="S643">
            <v>179</v>
          </cell>
        </row>
        <row r="644">
          <cell r="A644" t="str">
            <v>PRODUCTOS LA DOÑA, S.A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50</v>
          </cell>
          <cell r="J644" t="str">
            <v>PRODUCTOS LA DOÑA, S.A</v>
          </cell>
          <cell r="N644">
            <v>50</v>
          </cell>
        </row>
        <row r="645">
          <cell r="A645" t="str">
            <v>PRODUCTOS LA DOÑA, S.A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86</v>
          </cell>
          <cell r="J645" t="str">
            <v>PRODUCTOS LA DOÑA, S.A</v>
          </cell>
          <cell r="N645">
            <v>86</v>
          </cell>
        </row>
        <row r="646">
          <cell r="A646" t="str">
            <v>PRODUCTOS LA DOÑA, S.A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201</v>
          </cell>
          <cell r="J646" t="str">
            <v>PRODUCTOS LA DOÑA, S.A</v>
          </cell>
          <cell r="M646">
            <v>201</v>
          </cell>
        </row>
        <row r="647">
          <cell r="A647" t="str">
            <v>PRODUCTOS LA DOÑA, S.A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73</v>
          </cell>
          <cell r="J647" t="str">
            <v>PRODUCTOS LA DOÑA, S.A</v>
          </cell>
          <cell r="T647">
            <v>73</v>
          </cell>
        </row>
        <row r="648">
          <cell r="A648" t="str">
            <v>PRODUCTOS LA DOÑA, S.A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181</v>
          </cell>
          <cell r="J648" t="str">
            <v>PRODUCTOS LA DOÑA, S.A</v>
          </cell>
          <cell r="R648">
            <v>181</v>
          </cell>
        </row>
        <row r="649">
          <cell r="A649" t="str">
            <v>PRODUCTOS LA DOÑA, S.A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635</v>
          </cell>
          <cell r="J649" t="str">
            <v>PRODUCTOS LA DOÑA, S.A</v>
          </cell>
          <cell r="T649">
            <v>635</v>
          </cell>
        </row>
        <row r="650">
          <cell r="A650" t="str">
            <v>PRODUCTOS LA DOÑA, S.A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201</v>
          </cell>
          <cell r="J650" t="str">
            <v>PRODUCTOS LA DOÑA, S.A</v>
          </cell>
          <cell r="N650">
            <v>201</v>
          </cell>
        </row>
        <row r="651">
          <cell r="A651" t="str">
            <v>PRODUCTOS LA DOÑA, S.A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J651" t="str">
            <v>PRODUCTOS LA DOÑA, S.A</v>
          </cell>
          <cell r="N651">
            <v>0</v>
          </cell>
        </row>
        <row r="652">
          <cell r="A652" t="str">
            <v>PRODUCTOS LA DOÑA, S.A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284</v>
          </cell>
          <cell r="J652" t="str">
            <v>PRODUCTOS LA DOÑA, S.A</v>
          </cell>
          <cell r="N652">
            <v>284</v>
          </cell>
        </row>
        <row r="653">
          <cell r="A653" t="str">
            <v>PRODUCTOS LA DOÑA, S.A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150</v>
          </cell>
          <cell r="J653" t="str">
            <v>PRODUCTOS LA DOÑA, S.A</v>
          </cell>
          <cell r="M653">
            <v>150</v>
          </cell>
        </row>
        <row r="654">
          <cell r="A654" t="str">
            <v>PRODUCTOS LA DOÑA, S.A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250</v>
          </cell>
          <cell r="J654" t="str">
            <v>PRODUCTOS LA DOÑA, S.A</v>
          </cell>
          <cell r="N654">
            <v>250</v>
          </cell>
        </row>
        <row r="655">
          <cell r="A655" t="str">
            <v>PRODUCTOS LA DOÑA, S.A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1200</v>
          </cell>
          <cell r="J655" t="str">
            <v>PRODUCTOS LA DOÑA, S.A</v>
          </cell>
          <cell r="O655">
            <v>1200</v>
          </cell>
        </row>
        <row r="656">
          <cell r="A656" t="str">
            <v>PRODUCTOS LA DOÑA, S.A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20</v>
          </cell>
          <cell r="J656" t="str">
            <v>PRODUCTOS LA DOÑA, S.A</v>
          </cell>
          <cell r="N656">
            <v>20</v>
          </cell>
        </row>
        <row r="657">
          <cell r="A657" t="str">
            <v>PRODUCTOS LA DOÑA, S.A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390</v>
          </cell>
          <cell r="J657" t="str">
            <v>PRODUCTOS LA DOÑA, S.A</v>
          </cell>
          <cell r="M657">
            <v>390</v>
          </cell>
        </row>
        <row r="658">
          <cell r="A658" t="str">
            <v>PRODUCTOS LA DOÑA, S.A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410</v>
          </cell>
          <cell r="J658" t="str">
            <v>PRODUCTOS LA DOÑA, S.A</v>
          </cell>
          <cell r="O658">
            <v>410</v>
          </cell>
        </row>
        <row r="659">
          <cell r="A659" t="str">
            <v>PRODUCTOS LA DOÑA, S.A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140</v>
          </cell>
          <cell r="J659" t="str">
            <v>PRODUCTOS LA DOÑA, S.A</v>
          </cell>
          <cell r="O659">
            <v>140</v>
          </cell>
        </row>
        <row r="660">
          <cell r="A660" t="str">
            <v>PRODUCTOS LA DOÑA, S.A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120</v>
          </cell>
          <cell r="J660" t="str">
            <v>PRODUCTOS LA DOÑA, S.A</v>
          </cell>
          <cell r="N660">
            <v>120</v>
          </cell>
        </row>
        <row r="661">
          <cell r="A661" t="str">
            <v>PRODUCTOS LA DOÑA, S.A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356</v>
          </cell>
          <cell r="J661" t="str">
            <v>PRODUCTOS LA DOÑA, S.A</v>
          </cell>
          <cell r="N661">
            <v>356</v>
          </cell>
        </row>
        <row r="662">
          <cell r="A662" t="str">
            <v>PRODUCTOS LA DOÑA, S.A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90</v>
          </cell>
          <cell r="J662" t="str">
            <v>PRODUCTOS LA DOÑA, S.A</v>
          </cell>
          <cell r="N662">
            <v>90</v>
          </cell>
        </row>
        <row r="663">
          <cell r="A663" t="str">
            <v>PRODUCTOS LA DOÑA, S.A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84</v>
          </cell>
          <cell r="J663" t="str">
            <v>PRODUCTOS LA DOÑA, S.A</v>
          </cell>
          <cell r="N663">
            <v>84</v>
          </cell>
        </row>
        <row r="664">
          <cell r="A664" t="str">
            <v>PRODUCTOS LA DOÑA, S.A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J664" t="str">
            <v>PRODUCTOS LA DOÑA, S.A</v>
          </cell>
          <cell r="N664">
            <v>0</v>
          </cell>
        </row>
        <row r="665">
          <cell r="A665" t="str">
            <v>PRODUCTOS LA DOÑA, S.A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165</v>
          </cell>
          <cell r="J665" t="str">
            <v>PRODUCTOS LA DOÑA, S.A</v>
          </cell>
          <cell r="N665">
            <v>165</v>
          </cell>
        </row>
        <row r="666">
          <cell r="A666" t="str">
            <v>PRODUCTOS LA DOÑA, S.A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456</v>
          </cell>
          <cell r="J666" t="str">
            <v>PRODUCTOS LA DOÑA, S.A</v>
          </cell>
          <cell r="N666">
            <v>456</v>
          </cell>
        </row>
        <row r="667">
          <cell r="A667" t="str">
            <v>PRODUCTOS LA DOÑA, S.A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251</v>
          </cell>
          <cell r="J667" t="str">
            <v>PRODUCTOS LA DOÑA, S.A</v>
          </cell>
          <cell r="N667">
            <v>251</v>
          </cell>
        </row>
        <row r="668">
          <cell r="A668" t="str">
            <v>PRODUCTOS LA DOÑA, S.A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60</v>
          </cell>
          <cell r="J668" t="str">
            <v>PRODUCTOS LA DOÑA, S.A</v>
          </cell>
          <cell r="N668">
            <v>60</v>
          </cell>
        </row>
        <row r="669">
          <cell r="A669" t="str">
            <v>PRODUCTOS LA DOÑA, S.A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75</v>
          </cell>
          <cell r="J669" t="str">
            <v>PRODUCTOS LA DOÑA, S.A</v>
          </cell>
          <cell r="N669">
            <v>75</v>
          </cell>
        </row>
        <row r="670">
          <cell r="A670" t="str">
            <v>PRODUCTOS LA DOÑA, S.A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1017</v>
          </cell>
          <cell r="J670" t="str">
            <v>PRODUCTOS LA DOÑA, S.A</v>
          </cell>
          <cell r="O670">
            <v>1017</v>
          </cell>
        </row>
        <row r="671">
          <cell r="A671" t="str">
            <v>PRODUCTOS LA DOÑA, S.A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50</v>
          </cell>
          <cell r="J671" t="str">
            <v>PRODUCTOS LA DOÑA, S.A</v>
          </cell>
          <cell r="N671">
            <v>50</v>
          </cell>
        </row>
        <row r="672">
          <cell r="A672" t="str">
            <v>PRODUCTOS LA DOÑA, S.A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83</v>
          </cell>
          <cell r="J672" t="str">
            <v>PRODUCTOS LA DOÑA, S.A</v>
          </cell>
          <cell r="Q672">
            <v>83</v>
          </cell>
        </row>
        <row r="673">
          <cell r="A673" t="str">
            <v>PRODUCTOS LA DOÑA, S.A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265</v>
          </cell>
          <cell r="J673" t="str">
            <v>PRODUCTOS LA DOÑA, S.A</v>
          </cell>
          <cell r="M673">
            <v>265</v>
          </cell>
        </row>
        <row r="674">
          <cell r="A674" t="str">
            <v>PRODUCTOS LA DOÑA, S.A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152</v>
          </cell>
          <cell r="J674" t="str">
            <v>PRODUCTOS LA DOÑA, S.A</v>
          </cell>
          <cell r="S674">
            <v>152</v>
          </cell>
        </row>
        <row r="675">
          <cell r="A675" t="str">
            <v>PRODUCTOS LA DOÑA, S.A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J675" t="str">
            <v>PRODUCTOS LA DOÑA, S.A</v>
          </cell>
          <cell r="U675">
            <v>0</v>
          </cell>
        </row>
        <row r="676">
          <cell r="A676" t="str">
            <v>PRODUCTOS LA DOÑA, S.A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60</v>
          </cell>
          <cell r="J676" t="str">
            <v>PRODUCTOS LA DOÑA, S.A</v>
          </cell>
          <cell r="Q676">
            <v>60</v>
          </cell>
        </row>
        <row r="677">
          <cell r="A677" t="str">
            <v>PRODUCTOS LA DOÑA, S.A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910</v>
          </cell>
          <cell r="J677" t="str">
            <v>PRODUCTOS LA DOÑA, S.A</v>
          </cell>
          <cell r="M677">
            <v>910</v>
          </cell>
        </row>
        <row r="678">
          <cell r="A678" t="str">
            <v>PRODUCTOS LA DOÑA, S.A</v>
          </cell>
          <cell r="C678">
            <v>0</v>
          </cell>
          <cell r="D678">
            <v>40</v>
          </cell>
          <cell r="E678">
            <v>60</v>
          </cell>
          <cell r="F678">
            <v>40</v>
          </cell>
          <cell r="G678">
            <v>305</v>
          </cell>
          <cell r="J678" t="str">
            <v>PRODUCTOS LA DOÑA, S.A</v>
          </cell>
          <cell r="U678">
            <v>305</v>
          </cell>
        </row>
        <row r="679">
          <cell r="A679" t="str">
            <v>PRODUCTOS LA DOÑA, S.A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400</v>
          </cell>
          <cell r="J679" t="str">
            <v>PRODUCTOS LA DOÑA, S.A</v>
          </cell>
          <cell r="M679">
            <v>400</v>
          </cell>
        </row>
        <row r="680">
          <cell r="A680" t="str">
            <v>PRODUCTOS LA DOÑA, S.A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68</v>
          </cell>
          <cell r="J680" t="str">
            <v>PRODUCTOS LA DOÑA, S.A</v>
          </cell>
          <cell r="O680">
            <v>68</v>
          </cell>
        </row>
        <row r="681">
          <cell r="A681" t="str">
            <v>PRODUCTOS LA DOÑA, S.A</v>
          </cell>
          <cell r="C681">
            <v>0</v>
          </cell>
          <cell r="D681">
            <v>10</v>
          </cell>
          <cell r="E681">
            <v>20</v>
          </cell>
          <cell r="F681">
            <v>25</v>
          </cell>
          <cell r="G681">
            <v>175</v>
          </cell>
          <cell r="J681" t="str">
            <v>PRODUCTOS LA DOÑA, S.A</v>
          </cell>
          <cell r="M681">
            <v>175</v>
          </cell>
        </row>
        <row r="682">
          <cell r="A682" t="str">
            <v>PRODUCTOS LA DOÑA, S.A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256</v>
          </cell>
          <cell r="J682" t="str">
            <v>PRODUCTOS LA DOÑA, S.A</v>
          </cell>
          <cell r="O682">
            <v>256</v>
          </cell>
        </row>
        <row r="683">
          <cell r="A683" t="str">
            <v>PRODUCTOS LA DOÑA, S.A</v>
          </cell>
          <cell r="C683">
            <v>73</v>
          </cell>
          <cell r="D683">
            <v>0</v>
          </cell>
          <cell r="E683">
            <v>0</v>
          </cell>
          <cell r="F683">
            <v>0</v>
          </cell>
          <cell r="G683">
            <v>496</v>
          </cell>
          <cell r="J683" t="str">
            <v>PRODUCTOS LA DOÑA, S.A</v>
          </cell>
          <cell r="Q683">
            <v>496</v>
          </cell>
        </row>
        <row r="684">
          <cell r="A684" t="str">
            <v>PRODUCTOS LA DOÑA, S.A</v>
          </cell>
          <cell r="C684">
            <v>0</v>
          </cell>
          <cell r="D684">
            <v>680</v>
          </cell>
          <cell r="E684">
            <v>450</v>
          </cell>
          <cell r="F684">
            <v>450</v>
          </cell>
          <cell r="G684">
            <v>4560</v>
          </cell>
          <cell r="J684" t="str">
            <v>PRODUCTOS LA DOÑA, S.A</v>
          </cell>
          <cell r="Q684">
            <v>4560</v>
          </cell>
        </row>
        <row r="685">
          <cell r="A685" t="str">
            <v>PRODUCTOS LA DOÑA, S.A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J685" t="str">
            <v>PRODUCTOS LA DOÑA, S.A</v>
          </cell>
          <cell r="N685">
            <v>0</v>
          </cell>
        </row>
        <row r="686">
          <cell r="A686" t="str">
            <v>PRODUCTOS LA DOÑA, S.A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400</v>
          </cell>
          <cell r="J686" t="str">
            <v>PRODUCTOS LA DOÑA, S.A</v>
          </cell>
          <cell r="M686">
            <v>400</v>
          </cell>
        </row>
        <row r="687">
          <cell r="A687" t="str">
            <v>PRODUCTOS LA DOÑA, S.A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34</v>
          </cell>
          <cell r="J687" t="str">
            <v>PRODUCTOS LA DOÑA, S.A</v>
          </cell>
          <cell r="O687">
            <v>34</v>
          </cell>
        </row>
        <row r="688">
          <cell r="A688" t="str">
            <v>PRODUCTOS LA DOÑA, S.A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100</v>
          </cell>
          <cell r="J688" t="str">
            <v>PRODUCTOS LA DOÑA, S.A</v>
          </cell>
          <cell r="M688">
            <v>100</v>
          </cell>
        </row>
        <row r="689">
          <cell r="A689" t="str">
            <v>PRODUCTOS LA DOÑA, S.A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96</v>
          </cell>
          <cell r="J689" t="str">
            <v>PRODUCTOS LA DOÑA, S.A</v>
          </cell>
          <cell r="S689">
            <v>96</v>
          </cell>
        </row>
        <row r="690">
          <cell r="A690" t="str">
            <v>PRODUCTOS LA DOÑA, S.A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98</v>
          </cell>
          <cell r="J690" t="str">
            <v>PRODUCTOS LA DOÑA, S.A</v>
          </cell>
          <cell r="N690">
            <v>197</v>
          </cell>
        </row>
        <row r="691">
          <cell r="A691" t="str">
            <v>PRODUCTOS LA DOÑA, S.A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230</v>
          </cell>
          <cell r="J691" t="str">
            <v>PRODUCTOS LA DOÑA, S.A</v>
          </cell>
          <cell r="M691">
            <v>350</v>
          </cell>
        </row>
        <row r="692">
          <cell r="A692" t="str">
            <v>PRODUCTOS LA DOÑA, S.A</v>
          </cell>
          <cell r="C692">
            <v>200</v>
          </cell>
          <cell r="D692">
            <v>25</v>
          </cell>
          <cell r="E692">
            <v>100</v>
          </cell>
          <cell r="F692">
            <v>25</v>
          </cell>
          <cell r="G692">
            <v>350</v>
          </cell>
          <cell r="J692" t="str">
            <v>PRODUCTOS LA DOÑA, S.A</v>
          </cell>
          <cell r="M692">
            <v>352</v>
          </cell>
        </row>
        <row r="693">
          <cell r="A693" t="str">
            <v>PRODUCTOS LA DOÑA, S.A</v>
          </cell>
          <cell r="C693">
            <v>225</v>
          </cell>
          <cell r="D693">
            <v>0</v>
          </cell>
          <cell r="E693">
            <v>0</v>
          </cell>
          <cell r="F693">
            <v>0</v>
          </cell>
          <cell r="G693">
            <v>352</v>
          </cell>
          <cell r="J693" t="str">
            <v>PRODUCTOS LA DOÑA, S.A</v>
          </cell>
          <cell r="W693">
            <v>628</v>
          </cell>
        </row>
        <row r="694">
          <cell r="A694" t="str">
            <v>PRODUCTOS LA DOÑA, S.A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628</v>
          </cell>
          <cell r="J694" t="str">
            <v>PRODUCTOS LA DOÑA, S.A</v>
          </cell>
          <cell r="T694">
            <v>50</v>
          </cell>
        </row>
        <row r="695">
          <cell r="A695" t="str">
            <v>PRODUCTOS LA DOÑA, S.A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50</v>
          </cell>
          <cell r="J695" t="str">
            <v>PRODUCTOS LA DOÑA, S.A</v>
          </cell>
          <cell r="N695">
            <v>510</v>
          </cell>
        </row>
        <row r="696">
          <cell r="A696" t="str">
            <v>PRODUCTOS LA DOÑA, S.A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510</v>
          </cell>
          <cell r="J696" t="str">
            <v>PRODUCTOS LA DOÑA, S.A</v>
          </cell>
          <cell r="N696">
            <v>97</v>
          </cell>
        </row>
        <row r="697">
          <cell r="A697" t="str">
            <v>PRODUCTOS LA DOÑA, S.A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97</v>
          </cell>
          <cell r="J697" t="str">
            <v>PRODUCTOS LA DOÑA, S.A</v>
          </cell>
          <cell r="M697">
            <v>1350</v>
          </cell>
        </row>
        <row r="698">
          <cell r="A698" t="str">
            <v>PRODUCTOS LA DOÑA, S.A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1350</v>
          </cell>
          <cell r="J698" t="str">
            <v>PRODUCTOS LA DOÑA, S.A</v>
          </cell>
          <cell r="M698">
            <v>77</v>
          </cell>
        </row>
        <row r="699">
          <cell r="A699" t="str">
            <v>PRODUCTOS LA DOÑA, S.A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77</v>
          </cell>
          <cell r="J699" t="str">
            <v>PRODUCTOS LA DOÑA, S.A</v>
          </cell>
          <cell r="N699">
            <v>130</v>
          </cell>
        </row>
        <row r="700">
          <cell r="A700" t="str">
            <v>PRODUCTOS LA DOÑA, S.A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130</v>
          </cell>
          <cell r="J700" t="str">
            <v>PRODUCTOS LA DOÑA, S.A</v>
          </cell>
          <cell r="W700">
            <v>0</v>
          </cell>
        </row>
        <row r="701">
          <cell r="A701" t="str">
            <v>PRODUCTOS LA DOÑA, S.A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J701" t="str">
            <v>PRODUCTOS LA DOÑA, S.A</v>
          </cell>
          <cell r="U701">
            <v>251</v>
          </cell>
        </row>
        <row r="702">
          <cell r="A702" t="str">
            <v>PRODUCTOS LA DOÑA, S.A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251</v>
          </cell>
          <cell r="J702" t="str">
            <v>PRODUCTOS LA DOÑA, S.A</v>
          </cell>
          <cell r="N702">
            <v>120</v>
          </cell>
        </row>
        <row r="703">
          <cell r="A703" t="str">
            <v>PRODUCTOS LA DOÑA, S.A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120</v>
          </cell>
          <cell r="J703" t="str">
            <v>PRODUCTOS LA DOÑA, S.A</v>
          </cell>
          <cell r="M703">
            <v>125</v>
          </cell>
        </row>
        <row r="704">
          <cell r="A704" t="str">
            <v>PRODUCTOS LA DOÑA, S.A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125</v>
          </cell>
          <cell r="J704" t="str">
            <v>PRODUCTOS LA DOÑA, S.A</v>
          </cell>
          <cell r="V704">
            <v>0</v>
          </cell>
        </row>
        <row r="705">
          <cell r="A705" t="str">
            <v>PRODUCTOS LA DOÑA, S.A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J705" t="str">
            <v>PRODUCTOS LA DOÑA, S.A</v>
          </cell>
          <cell r="M705">
            <v>25</v>
          </cell>
        </row>
        <row r="706">
          <cell r="A706" t="str">
            <v>PRODUCTOS LA DOÑA, S.A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25</v>
          </cell>
          <cell r="J706" t="str">
            <v>PRODUCTOS LA DOÑA, S.A</v>
          </cell>
          <cell r="V706">
            <v>0</v>
          </cell>
        </row>
        <row r="707">
          <cell r="A707" t="str">
            <v>PRODUCTOS LA DOÑA, S.A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J707" t="str">
            <v>PRODUCTOS LA DOÑA, S.A</v>
          </cell>
          <cell r="Y707">
            <v>0</v>
          </cell>
        </row>
        <row r="708">
          <cell r="A708" t="str">
            <v>PRODUCTOS LA DOÑA, S.A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J708" t="str">
            <v>PRODUCTOS LA DOÑA, S.A</v>
          </cell>
          <cell r="O708">
            <v>0</v>
          </cell>
        </row>
        <row r="709">
          <cell r="A709" t="str">
            <v>PRODUCTOS LA DOÑA, S.A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J709" t="str">
            <v>PRODUCTOS LA DOÑA, S.A</v>
          </cell>
          <cell r="M709">
            <v>209</v>
          </cell>
        </row>
        <row r="710">
          <cell r="A710" t="str">
            <v>PRODUCTOS LA DOÑA, S.A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209</v>
          </cell>
          <cell r="J710" t="str">
            <v>PRODUCTOS LA DOÑA, S.A</v>
          </cell>
          <cell r="M710">
            <v>0</v>
          </cell>
        </row>
        <row r="711">
          <cell r="A711" t="str">
            <v>PRODUCTOS LA DOÑA, S.A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J711" t="str">
            <v>PRODUCTOS LA DOÑA, S.A</v>
          </cell>
          <cell r="S711">
            <v>150</v>
          </cell>
        </row>
        <row r="712">
          <cell r="A712" t="str">
            <v>PRODUCTOS LA DOÑA, S.A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150</v>
          </cell>
          <cell r="J712" t="str">
            <v>PRODUCTOS LA DOÑA, S.A</v>
          </cell>
          <cell r="R712">
            <v>0</v>
          </cell>
        </row>
        <row r="713">
          <cell r="A713" t="str">
            <v>PRODUCTOS LA DOÑA, S.A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J713" t="str">
            <v>PRODUCTOS LA DOÑA, S.A</v>
          </cell>
          <cell r="S713">
            <v>200</v>
          </cell>
        </row>
        <row r="714">
          <cell r="A714" t="str">
            <v>PRODUCTOS LA DOÑA, S.A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200</v>
          </cell>
          <cell r="J714" t="str">
            <v>PRODUCTOS LA DOÑA, S.A</v>
          </cell>
          <cell r="P714">
            <v>173</v>
          </cell>
        </row>
        <row r="715">
          <cell r="A715" t="str">
            <v>PRODUCTOS LA DOÑA, S.A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173</v>
          </cell>
          <cell r="J715" t="str">
            <v>PRODUCTOS LA DOÑA, S.A</v>
          </cell>
          <cell r="V715">
            <v>0</v>
          </cell>
        </row>
        <row r="716">
          <cell r="A716" t="str">
            <v>PRODUCTOS LA DOÑA, S.A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J716" t="str">
            <v>PRODUCTOS LA DOÑA, S.A</v>
          </cell>
          <cell r="U716">
            <v>696</v>
          </cell>
        </row>
        <row r="717">
          <cell r="A717" t="str">
            <v>PRODUCTOS LA DOÑA, S.A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696</v>
          </cell>
          <cell r="J717" t="str">
            <v>PRODUCTOS LA DOÑA, S.A</v>
          </cell>
          <cell r="M717">
            <v>265</v>
          </cell>
        </row>
        <row r="718">
          <cell r="A718" t="str">
            <v>PRODUCTOS LA DOÑA, S.A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265</v>
          </cell>
          <cell r="J718" t="str">
            <v>PRODUCTOS LA DOÑA, S.A</v>
          </cell>
          <cell r="N718">
            <v>110</v>
          </cell>
        </row>
        <row r="719">
          <cell r="A719" t="str">
            <v>PRODUCTOS LA DOÑA, S.A</v>
          </cell>
          <cell r="C719">
            <v>0</v>
          </cell>
          <cell r="D719">
            <v>35</v>
          </cell>
          <cell r="E719">
            <v>0</v>
          </cell>
          <cell r="F719">
            <v>0</v>
          </cell>
          <cell r="G719">
            <v>110</v>
          </cell>
          <cell r="J719" t="str">
            <v>PRODUCTOS LA DOÑA, S.A</v>
          </cell>
          <cell r="N719">
            <v>130</v>
          </cell>
        </row>
        <row r="720">
          <cell r="A720" t="str">
            <v>PRODUCTOS LA DOÑA, S.A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130</v>
          </cell>
          <cell r="J720" t="str">
            <v>PRODUCTOS LA DOÑA, S.A</v>
          </cell>
          <cell r="M720">
            <v>52</v>
          </cell>
        </row>
        <row r="721">
          <cell r="A721" t="str">
            <v>PRODUCTOS LA DOÑA, S.A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52</v>
          </cell>
          <cell r="J721" t="str">
            <v>PRODUCTOS LA DOÑA, S.A</v>
          </cell>
          <cell r="P721">
            <v>150</v>
          </cell>
        </row>
        <row r="722">
          <cell r="A722" t="str">
            <v>PRODUCTOS LA DOÑA, S.A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150</v>
          </cell>
          <cell r="J722" t="str">
            <v>PRODUCTOS LA DOÑA, S.A</v>
          </cell>
          <cell r="M722">
            <v>630</v>
          </cell>
        </row>
        <row r="723">
          <cell r="A723" t="str">
            <v>PRODUCTOS LA DOÑA, S.A</v>
          </cell>
          <cell r="C723">
            <v>0</v>
          </cell>
          <cell r="D723">
            <v>120</v>
          </cell>
          <cell r="E723">
            <v>180</v>
          </cell>
          <cell r="F723">
            <v>60</v>
          </cell>
          <cell r="G723">
            <v>630</v>
          </cell>
          <cell r="J723" t="str">
            <v>PRODUCTOS LA DOÑA, S.A</v>
          </cell>
          <cell r="M723">
            <v>50</v>
          </cell>
        </row>
        <row r="724">
          <cell r="A724" t="str">
            <v>PRODUCTOS LA DOÑA, S.A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50</v>
          </cell>
          <cell r="J724" t="str">
            <v>PRODUCTOS LA DOÑA, S.A</v>
          </cell>
          <cell r="M724">
            <v>600</v>
          </cell>
        </row>
        <row r="725">
          <cell r="A725" t="str">
            <v>PRODUCTOS LA DOÑA, S.A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600</v>
          </cell>
          <cell r="J725" t="str">
            <v>PRODUCTOS LA DOÑA, S.A</v>
          </cell>
          <cell r="N725">
            <v>490</v>
          </cell>
        </row>
        <row r="726">
          <cell r="A726" t="str">
            <v>PRODUCTOS LA DOÑA, S.A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490</v>
          </cell>
          <cell r="J726" t="str">
            <v>PRODUCTOS LA DOÑA, S.A</v>
          </cell>
          <cell r="O726">
            <v>480</v>
          </cell>
        </row>
        <row r="727">
          <cell r="A727" t="str">
            <v>PRODUCTOS LA DOÑA, S.A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480</v>
          </cell>
          <cell r="J727" t="str">
            <v>PRODUCTOS LA DOÑA, S.A</v>
          </cell>
          <cell r="M727">
            <v>740</v>
          </cell>
        </row>
        <row r="728">
          <cell r="A728" t="str">
            <v>PRODUCTOS LA DOÑA, S.A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740</v>
          </cell>
          <cell r="J728" t="str">
            <v>PRODUCTOS LA DOÑA, S.A</v>
          </cell>
          <cell r="T728">
            <v>0</v>
          </cell>
        </row>
        <row r="729">
          <cell r="A729" t="str">
            <v>PRODUCTOS LA DOÑA, S.A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J729" t="str">
            <v>PRODUCTOS LA DOÑA, S.A</v>
          </cell>
          <cell r="Y729">
            <v>50</v>
          </cell>
        </row>
        <row r="730">
          <cell r="A730" t="str">
            <v>PRODUCTOS LA DOÑA, S.A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50</v>
          </cell>
          <cell r="J730" t="str">
            <v>PRODUCTOS LA DOÑA, S.A</v>
          </cell>
          <cell r="T730">
            <v>1800</v>
          </cell>
        </row>
        <row r="731">
          <cell r="A731" t="str">
            <v>PRODUCTOS LA DOÑA, S.A</v>
          </cell>
          <cell r="C731">
            <v>1200</v>
          </cell>
          <cell r="D731">
            <v>0</v>
          </cell>
          <cell r="E731">
            <v>0</v>
          </cell>
          <cell r="F731">
            <v>0</v>
          </cell>
          <cell r="G731">
            <v>1800</v>
          </cell>
          <cell r="J731" t="str">
            <v>PRODUCTOS LA DOÑA, S.A</v>
          </cell>
          <cell r="U731">
            <v>300</v>
          </cell>
        </row>
        <row r="732">
          <cell r="A732" t="str">
            <v>PRODUCTOS LA DOÑA, S.A</v>
          </cell>
          <cell r="C732">
            <v>300</v>
          </cell>
          <cell r="D732">
            <v>0</v>
          </cell>
          <cell r="E732">
            <v>0</v>
          </cell>
          <cell r="F732">
            <v>0</v>
          </cell>
          <cell r="G732">
            <v>300</v>
          </cell>
          <cell r="J732" t="str">
            <v>PRODUCTOS LA DOÑA, S.A</v>
          </cell>
          <cell r="U732">
            <v>80</v>
          </cell>
        </row>
        <row r="733">
          <cell r="A733" t="str">
            <v>PRODUCTOS LA DOÑA, S.A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80</v>
          </cell>
          <cell r="J733" t="str">
            <v>PRODUCTOS LA DOÑA, S.A</v>
          </cell>
          <cell r="O733">
            <v>346</v>
          </cell>
        </row>
        <row r="734">
          <cell r="A734" t="str">
            <v>PRODUCTOS LA DOÑA, S.A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346</v>
          </cell>
          <cell r="J734" t="str">
            <v>CORPORACION INTERNACIONAL DE ALIMENTOS, S.A.</v>
          </cell>
        </row>
        <row r="735">
          <cell r="A735" t="str">
            <v>CORPORACION INTERNACIONAL DE ALIMENTOS, S.A.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J735" t="str">
            <v>CORPORACION INTERNACIONAL DE ALIMENTOS, S.A.</v>
          </cell>
          <cell r="M735">
            <v>325</v>
          </cell>
        </row>
        <row r="736">
          <cell r="A736" t="str">
            <v>CORPORACION INTERNACIONAL DE ALIMENTOS, S.A.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325</v>
          </cell>
          <cell r="J736" t="str">
            <v>CORPORACION INTERNACIONAL DE ALIMENTOS, S.A.</v>
          </cell>
          <cell r="N736">
            <v>212</v>
          </cell>
        </row>
        <row r="737">
          <cell r="A737" t="str">
            <v>CORPORACION INTERNACIONAL DE ALIMENTOS, S.A.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212</v>
          </cell>
          <cell r="J737" t="str">
            <v>CORPORACION INTERNACIONAL DE ALIMENTOS, S.A.</v>
          </cell>
          <cell r="O737">
            <v>30</v>
          </cell>
        </row>
        <row r="738">
          <cell r="A738" t="str">
            <v>CORPORACION INTERNACIONAL DE ALIMENTOS, S.A.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30</v>
          </cell>
          <cell r="J738" t="str">
            <v>CORPORACION INTERNACIONAL DE ALIMENTOS, S.A.</v>
          </cell>
          <cell r="P738">
            <v>102</v>
          </cell>
        </row>
        <row r="739">
          <cell r="A739" t="str">
            <v>CORPORACION INTERNACIONAL DE ALIMENTOS, S.A.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102</v>
          </cell>
          <cell r="J739" t="str">
            <v>CORPORACION INTERNACIONAL DE ALIMENTOS, S.A.</v>
          </cell>
          <cell r="N739">
            <v>100</v>
          </cell>
        </row>
        <row r="740">
          <cell r="A740" t="str">
            <v>CORPORACION INTERNACIONAL DE ALIMENTOS, S.A.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100</v>
          </cell>
          <cell r="J740" t="str">
            <v>CORPORACION INTERNACIONAL DE ALIMENTOS, S.A.</v>
          </cell>
          <cell r="O740">
            <v>180</v>
          </cell>
        </row>
        <row r="741">
          <cell r="A741" t="str">
            <v>CORPORACION INTERNACIONAL DE ALIMENTOS, S.A.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180</v>
          </cell>
          <cell r="J741" t="str">
            <v>CORPORACION INTERNACIONAL DE ALIMENTOS, S.A.</v>
          </cell>
          <cell r="N741">
            <v>70</v>
          </cell>
        </row>
        <row r="742">
          <cell r="A742" t="str">
            <v>CORPORACION INTERNACIONAL DE ALIMENTOS, S.A.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70</v>
          </cell>
          <cell r="J742" t="str">
            <v>CORPORACION INTERNACIONAL DE ALIMENTOS, S.A.</v>
          </cell>
          <cell r="Q742">
            <v>1060</v>
          </cell>
        </row>
        <row r="743">
          <cell r="A743" t="str">
            <v>CORPORACION INTERNACIONAL DE ALIMENTOS, S.A.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1060</v>
          </cell>
          <cell r="J743" t="str">
            <v>CORPORACION INTERNACIONAL DE ALIMENTOS, S.A.</v>
          </cell>
          <cell r="N743">
            <v>100</v>
          </cell>
        </row>
        <row r="744">
          <cell r="A744" t="str">
            <v>CORPORACION INTERNACIONAL DE ALIMENTOS, S.A.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100</v>
          </cell>
          <cell r="J744" t="str">
            <v>CORPORACION INTERNACIONAL DE ALIMENTOS, S.A.</v>
          </cell>
          <cell r="N744">
            <v>250</v>
          </cell>
        </row>
        <row r="745">
          <cell r="A745" t="str">
            <v>CORPORACION INTERNACIONAL DE ALIMENTOS, S.A.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250</v>
          </cell>
          <cell r="J745" t="str">
            <v>CORPORACION INTERNACIONAL DE ALIMENTOS, S.A.</v>
          </cell>
          <cell r="R745">
            <v>180</v>
          </cell>
        </row>
        <row r="746">
          <cell r="A746" t="str">
            <v>CORPORACION INTERNACIONAL DE ALIMENTOS, S.A.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180</v>
          </cell>
          <cell r="J746" t="str">
            <v>CORPORACION INTERNACIONAL DE ALIMENTOS, S.A.</v>
          </cell>
          <cell r="R746">
            <v>40</v>
          </cell>
        </row>
        <row r="747">
          <cell r="A747" t="str">
            <v>CORPORACION INTERNACIONAL DE ALIMENTOS, S.A.</v>
          </cell>
          <cell r="C747">
            <v>40</v>
          </cell>
          <cell r="D747">
            <v>0</v>
          </cell>
          <cell r="E747">
            <v>0</v>
          </cell>
          <cell r="F747">
            <v>0</v>
          </cell>
          <cell r="G747">
            <v>40</v>
          </cell>
          <cell r="J747" t="str">
            <v>CORPORACION INTERNACIONAL DE ALIMENTOS, S.A.</v>
          </cell>
          <cell r="S747">
            <v>73</v>
          </cell>
        </row>
        <row r="748">
          <cell r="A748" t="str">
            <v>CORPORACION INTERNACIONAL DE ALIMENTOS, S.A.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73</v>
          </cell>
          <cell r="J748" t="str">
            <v>CORPORACION INTERNACIONAL DE ALIMENTOS, S.A.</v>
          </cell>
          <cell r="O748">
            <v>325</v>
          </cell>
        </row>
        <row r="749">
          <cell r="A749" t="str">
            <v>CORPORACION INTERNACIONAL DE ALIMENTOS, S.A.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325</v>
          </cell>
          <cell r="J749" t="str">
            <v>CORPORACION INTERNACIONAL DE ALIMENTOS, S.A.</v>
          </cell>
          <cell r="O749">
            <v>65</v>
          </cell>
        </row>
        <row r="750">
          <cell r="A750" t="str">
            <v>CORPORACION INTERNACIONAL DE ALIMENTOS, S.A.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65</v>
          </cell>
          <cell r="J750" t="str">
            <v>CORPORACION INTERNACIONAL DE ALIMENTOS, S.A.</v>
          </cell>
          <cell r="N750">
            <v>70</v>
          </cell>
        </row>
        <row r="751">
          <cell r="A751" t="str">
            <v>CORPORACION INTERNACIONAL DE ALIMENTOS, S.A.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70</v>
          </cell>
          <cell r="J751" t="str">
            <v>CORPORACION INTERNACIONAL DE ALIMENTOS, S.A.</v>
          </cell>
          <cell r="O751">
            <v>1090</v>
          </cell>
        </row>
        <row r="752">
          <cell r="A752" t="str">
            <v>CORPORACION INTERNACIONAL DE ALIMENTOS, S.A.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1090</v>
          </cell>
          <cell r="J752" t="str">
            <v>CORPORACION INTERNACIONAL DE ALIMENTOS, S.A.</v>
          </cell>
          <cell r="M752">
            <v>0</v>
          </cell>
        </row>
        <row r="753">
          <cell r="A753" t="str">
            <v>CORPORACION INTERNACIONAL DE ALIMENTOS, S.A.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J753" t="str">
            <v>CORPORACION INTERNACIONAL DE ALIMENTOS, S.A.</v>
          </cell>
          <cell r="N753">
            <v>282</v>
          </cell>
        </row>
        <row r="754">
          <cell r="A754" t="str">
            <v>CORPORACION INTERNACIONAL DE ALIMENTOS, S.A.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282</v>
          </cell>
          <cell r="J754" t="str">
            <v>CORPORACION INTERNACIONAL DE ALIMENTOS, S.A.</v>
          </cell>
          <cell r="N754">
            <v>467</v>
          </cell>
        </row>
        <row r="755">
          <cell r="A755" t="str">
            <v>CORPORACION INTERNACIONAL DE ALIMENTOS, S.A.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467</v>
          </cell>
          <cell r="J755" t="str">
            <v>CORPORACION INTERNACIONAL DE ALIMENTOS, S.A.</v>
          </cell>
          <cell r="T755">
            <v>82</v>
          </cell>
        </row>
        <row r="756">
          <cell r="A756" t="str">
            <v>CORPORACION INTERNACIONAL DE ALIMENTOS, S.A.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82</v>
          </cell>
          <cell r="J756" t="str">
            <v>CORPORACION INTERNACIONAL DE ALIMENTOS, S.A.</v>
          </cell>
          <cell r="N756">
            <v>881</v>
          </cell>
        </row>
        <row r="757">
          <cell r="A757" t="str">
            <v>CORPORACION INTERNACIONAL DE ALIMENTOS, S.A.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881</v>
          </cell>
          <cell r="J757" t="str">
            <v>CORPORACION INTERNACIONAL DE ALIMENTOS, S.A.</v>
          </cell>
          <cell r="N757">
            <v>38</v>
          </cell>
        </row>
        <row r="758">
          <cell r="A758" t="str">
            <v>CORPORACION INTERNACIONAL DE ALIMENTOS, S.A.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38</v>
          </cell>
          <cell r="J758" t="str">
            <v>CORPORACION INTERNACIONAL DE ALIMENTOS, S.A.</v>
          </cell>
          <cell r="N758">
            <v>70</v>
          </cell>
        </row>
        <row r="759">
          <cell r="A759" t="str">
            <v>CORPORACION INTERNACIONAL DE ALIMENTOS, S.A.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70</v>
          </cell>
          <cell r="J759" t="str">
            <v>CORPORACION INTERNACIONAL DE ALIMENTOS, S.A.</v>
          </cell>
          <cell r="N759">
            <v>60</v>
          </cell>
        </row>
        <row r="760">
          <cell r="A760" t="str">
            <v>CORPORACION INTERNACIONAL DE ALIMENTOS, S.A.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60</v>
          </cell>
          <cell r="J760" t="str">
            <v>CORPORACION INTERNACIONAL DE ALIMENTOS, S.A.</v>
          </cell>
          <cell r="N760">
            <v>243</v>
          </cell>
        </row>
        <row r="761">
          <cell r="A761" t="str">
            <v>CORPORACION INTERNACIONAL DE ALIMENTOS, S.A.</v>
          </cell>
          <cell r="C761">
            <v>0</v>
          </cell>
          <cell r="D761">
            <v>13</v>
          </cell>
          <cell r="E761">
            <v>37</v>
          </cell>
          <cell r="F761">
            <v>28</v>
          </cell>
          <cell r="G761">
            <v>243</v>
          </cell>
          <cell r="J761" t="str">
            <v>CORPORACION INTERNACIONAL DE ALIMENTOS, S.A.</v>
          </cell>
          <cell r="N761">
            <v>130</v>
          </cell>
        </row>
        <row r="762">
          <cell r="A762" t="str">
            <v>CORPORACION INTERNACIONAL DE ALIMENTOS, S.A.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130</v>
          </cell>
          <cell r="J762" t="str">
            <v>CORPORACION INTERNACIONAL DE ALIMENTOS, S.A.</v>
          </cell>
          <cell r="N762">
            <v>62</v>
          </cell>
        </row>
        <row r="763">
          <cell r="A763" t="str">
            <v>CORPORACION INTERNACIONAL DE ALIMENTOS, S.A.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62</v>
          </cell>
          <cell r="J763" t="str">
            <v>CORPORACION INTERNACIONAL DE ALIMENTOS, S.A.</v>
          </cell>
          <cell r="O763">
            <v>116</v>
          </cell>
        </row>
        <row r="764">
          <cell r="A764" t="str">
            <v>CORPORACION INTERNACIONAL DE ALIMENTOS, S.A.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116</v>
          </cell>
          <cell r="J764" t="str">
            <v>CORPORACION INTERNACIONAL DE ALIMENTOS, S.A.</v>
          </cell>
          <cell r="N764">
            <v>542</v>
          </cell>
        </row>
        <row r="765">
          <cell r="A765" t="str">
            <v>CORPORACION INTERNACIONAL DE ALIMENTOS, S.A.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542</v>
          </cell>
          <cell r="J765" t="str">
            <v>CORPORACION INTERNACIONAL DE ALIMENTOS, S.A.</v>
          </cell>
          <cell r="S765">
            <v>211</v>
          </cell>
        </row>
        <row r="766">
          <cell r="A766" t="str">
            <v>CORPORACION INTERNACIONAL DE ALIMENTOS, S.A.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211</v>
          </cell>
          <cell r="J766" t="str">
            <v>CORPORACION INTERNACIONAL DE ALIMENTOS, S.A.</v>
          </cell>
          <cell r="O766">
            <v>138</v>
          </cell>
        </row>
        <row r="767">
          <cell r="A767" t="str">
            <v>CORPORACION INTERNACIONAL DE ALIMENTOS, S.A.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138</v>
          </cell>
          <cell r="J767" t="str">
            <v>CORPORACION INTERNACIONAL DE ALIMENTOS, S.A.</v>
          </cell>
          <cell r="N767">
            <v>147</v>
          </cell>
        </row>
        <row r="768">
          <cell r="A768" t="str">
            <v>CORPORACION INTERNACIONAL DE ALIMENTOS, S.A.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147</v>
          </cell>
          <cell r="J768" t="str">
            <v>CORPORACION INTERNACIONAL DE ALIMENTOS, S.A.</v>
          </cell>
          <cell r="S768">
            <v>52</v>
          </cell>
        </row>
        <row r="769">
          <cell r="A769" t="str">
            <v>CORPORACION INTERNACIONAL DE ALIMENTOS, S.A.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52</v>
          </cell>
          <cell r="J769" t="str">
            <v>CORPORACION INTERNACIONAL DE ALIMENTOS, S.A.</v>
          </cell>
          <cell r="M769">
            <v>500</v>
          </cell>
        </row>
        <row r="770">
          <cell r="A770" t="str">
            <v>CORPORACION INTERNACIONAL DE ALIMENTOS, S.A.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500</v>
          </cell>
          <cell r="J770" t="str">
            <v>CORPORACION INTERNACIONAL DE ALIMENTOS, S.A.</v>
          </cell>
          <cell r="N770">
            <v>62</v>
          </cell>
        </row>
        <row r="771">
          <cell r="A771" t="str">
            <v>CORPORACION INTERNACIONAL DE ALIMENTOS, S.A.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62</v>
          </cell>
          <cell r="J771" t="str">
            <v>CORPORACION INTERNACIONAL DE ALIMENTOS, S.A.</v>
          </cell>
          <cell r="M771">
            <v>215</v>
          </cell>
        </row>
        <row r="772">
          <cell r="A772" t="str">
            <v>CORPORACION INTERNACIONAL DE ALIMENTOS, S.A.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215</v>
          </cell>
          <cell r="J772" t="str">
            <v>CORPORACION INTERNACIONAL DE ALIMENTOS, S.A.</v>
          </cell>
          <cell r="M772">
            <v>155</v>
          </cell>
        </row>
        <row r="773">
          <cell r="A773" t="str">
            <v>CORPORACION INTERNACIONAL DE ALIMENTOS, S.A.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155</v>
          </cell>
          <cell r="J773" t="str">
            <v>CORPORACION INTERNACIONAL DE ALIMENTOS, S.A.</v>
          </cell>
          <cell r="T773">
            <v>84</v>
          </cell>
        </row>
        <row r="774">
          <cell r="A774" t="str">
            <v>CORPORACION INTERNACIONAL DE ALIMENTOS, S.A.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84</v>
          </cell>
          <cell r="J774" t="str">
            <v>CORPORACION INTERNACIONAL DE ALIMENTOS, S.A.</v>
          </cell>
          <cell r="N774">
            <v>105</v>
          </cell>
        </row>
        <row r="775">
          <cell r="A775" t="str">
            <v>CORPORACION INTERNACIONAL DE ALIMENTOS, S.A.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105</v>
          </cell>
          <cell r="J775" t="str">
            <v>CORPORACION INTERNACIONAL DE ALIMENTOS, S.A.</v>
          </cell>
          <cell r="M775">
            <v>100</v>
          </cell>
        </row>
        <row r="776">
          <cell r="A776" t="str">
            <v>CORPORACION INTERNACIONAL DE ALIMENTOS, S.A.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100</v>
          </cell>
          <cell r="J776" t="str">
            <v>CORPORACION INTERNACIONAL DE ALIMENTOS, S.A.</v>
          </cell>
          <cell r="N776">
            <v>264</v>
          </cell>
        </row>
        <row r="777">
          <cell r="A777" t="str">
            <v>CORPORACION INTERNACIONAL DE ALIMENTOS, S.A.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264</v>
          </cell>
          <cell r="J777" t="str">
            <v>CORPORACION INTERNACIONAL DE ALIMENTOS, S.A.</v>
          </cell>
          <cell r="S777">
            <v>55</v>
          </cell>
        </row>
        <row r="778">
          <cell r="A778" t="str">
            <v>CORPORACION INTERNACIONAL DE ALIMENTOS, S.A.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55</v>
          </cell>
          <cell r="J778" t="str">
            <v>CORPORACION INTERNACIONAL DE ALIMENTOS, S.A.</v>
          </cell>
          <cell r="Q778">
            <v>57</v>
          </cell>
        </row>
        <row r="779">
          <cell r="A779" t="str">
            <v>CORPORACION INTERNACIONAL DE ALIMENTOS, S.A.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57</v>
          </cell>
          <cell r="J779" t="str">
            <v>CORPORACION INTERNACIONAL DE ALIMENTOS, S.A.</v>
          </cell>
          <cell r="O779">
            <v>60</v>
          </cell>
        </row>
        <row r="780">
          <cell r="A780" t="str">
            <v>CORPORACION INTERNACIONAL DE ALIMENTOS, S.A.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60</v>
          </cell>
          <cell r="J780" t="str">
            <v>CORPORACION INTERNACIONAL DE ALIMENTOS, S.A.</v>
          </cell>
          <cell r="T780">
            <v>115</v>
          </cell>
        </row>
        <row r="781">
          <cell r="A781" t="str">
            <v>CORPORACION INTERNACIONAL DE ALIMENTOS, S.A.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115</v>
          </cell>
          <cell r="J781" t="str">
            <v>CORPORACION INTERNACIONAL DE ALIMENTOS, S.A.</v>
          </cell>
          <cell r="S781">
            <v>179</v>
          </cell>
        </row>
        <row r="782">
          <cell r="A782" t="str">
            <v>CORPORACION INTERNACIONAL DE ALIMENTOS, S.A.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179</v>
          </cell>
          <cell r="J782" t="str">
            <v>CORPORACION INTERNACIONAL DE ALIMENTOS, S.A.</v>
          </cell>
          <cell r="N782">
            <v>50</v>
          </cell>
        </row>
        <row r="783">
          <cell r="A783" t="str">
            <v>CORPORACION INTERNACIONAL DE ALIMENTOS, S.A.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50</v>
          </cell>
          <cell r="J783" t="str">
            <v>CORPORACION INTERNACIONAL DE ALIMENTOS, S.A.</v>
          </cell>
          <cell r="N783">
            <v>162</v>
          </cell>
        </row>
        <row r="784">
          <cell r="A784" t="str">
            <v>CORPORACION INTERNACIONAL DE ALIMENTOS, S.A.</v>
          </cell>
          <cell r="C784">
            <v>162</v>
          </cell>
          <cell r="D784">
            <v>0</v>
          </cell>
          <cell r="E784">
            <v>0</v>
          </cell>
          <cell r="F784">
            <v>0</v>
          </cell>
          <cell r="G784">
            <v>162</v>
          </cell>
          <cell r="J784" t="str">
            <v>CORPORACION INTERNACIONAL DE ALIMENTOS, S.A.</v>
          </cell>
          <cell r="N784">
            <v>86</v>
          </cell>
        </row>
        <row r="785">
          <cell r="A785" t="str">
            <v>CORPORACION INTERNACIONAL DE ALIMENTOS, S.A.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86</v>
          </cell>
          <cell r="J785" t="str">
            <v>CORPORACION INTERNACIONAL DE ALIMENTOS, S.A.</v>
          </cell>
          <cell r="M785">
            <v>201</v>
          </cell>
        </row>
        <row r="786">
          <cell r="A786" t="str">
            <v>CORPORACION INTERNACIONAL DE ALIMENTOS, S.A.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201</v>
          </cell>
          <cell r="J786" t="str">
            <v>CORPORACION INTERNACIONAL DE ALIMENTOS, S.A.</v>
          </cell>
          <cell r="T786">
            <v>73</v>
          </cell>
        </row>
        <row r="787">
          <cell r="A787" t="str">
            <v>CORPORACION INTERNACIONAL DE ALIMENTOS, S.A.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73</v>
          </cell>
          <cell r="J787" t="str">
            <v>CORPORACION INTERNACIONAL DE ALIMENTOS, S.A.</v>
          </cell>
          <cell r="R787">
            <v>181</v>
          </cell>
        </row>
        <row r="788">
          <cell r="A788" t="str">
            <v>CORPORACION INTERNACIONAL DE ALIMENTOS, S.A.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181</v>
          </cell>
          <cell r="J788" t="str">
            <v>CORPORACION INTERNACIONAL DE ALIMENTOS, S.A.</v>
          </cell>
          <cell r="T788">
            <v>635</v>
          </cell>
        </row>
        <row r="789">
          <cell r="A789" t="str">
            <v>CORPORACION INTERNACIONAL DE ALIMENTOS, S.A.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635</v>
          </cell>
          <cell r="J789" t="str">
            <v>CORPORACION INTERNACIONAL DE ALIMENTOS, S.A.</v>
          </cell>
          <cell r="N789">
            <v>201</v>
          </cell>
        </row>
        <row r="790">
          <cell r="A790" t="str">
            <v>CORPORACION INTERNACIONAL DE ALIMENTOS, S.A.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201</v>
          </cell>
          <cell r="J790" t="str">
            <v>CORPORACION INTERNACIONAL DE ALIMENTOS, S.A.</v>
          </cell>
          <cell r="N790">
            <v>0</v>
          </cell>
        </row>
        <row r="791">
          <cell r="A791" t="str">
            <v>CORPORACION INTERNACIONAL DE ALIMENTOS, S.A.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J791" t="str">
            <v>CORPORACION INTERNACIONAL DE ALIMENTOS, S.A.</v>
          </cell>
          <cell r="N791">
            <v>284</v>
          </cell>
        </row>
        <row r="792">
          <cell r="A792" t="str">
            <v>CORPORACION INTERNACIONAL DE ALIMENTOS, S.A.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284</v>
          </cell>
          <cell r="J792" t="str">
            <v>CORPORACION INTERNACIONAL DE ALIMENTOS, S.A.</v>
          </cell>
          <cell r="M792">
            <v>150</v>
          </cell>
        </row>
        <row r="793">
          <cell r="A793" t="str">
            <v>CORPORACION INTERNACIONAL DE ALIMENTOS, S.A.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150</v>
          </cell>
          <cell r="J793" t="str">
            <v>CORPORACION INTERNACIONAL DE ALIMENTOS, S.A.</v>
          </cell>
          <cell r="N793">
            <v>250</v>
          </cell>
        </row>
        <row r="794">
          <cell r="A794" t="str">
            <v>CORPORACION INTERNACIONAL DE ALIMENTOS, S.A.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250</v>
          </cell>
          <cell r="J794" t="str">
            <v>CORPORACION INTERNACIONAL DE ALIMENTOS, S.A.</v>
          </cell>
          <cell r="O794">
            <v>1200</v>
          </cell>
        </row>
        <row r="795">
          <cell r="A795" t="str">
            <v>CORPORACION INTERNACIONAL DE ALIMENTOS, S.A.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1200</v>
          </cell>
          <cell r="J795" t="str">
            <v>CORPORACION INTERNACIONAL DE ALIMENTOS, S.A.</v>
          </cell>
          <cell r="N795">
            <v>20</v>
          </cell>
        </row>
        <row r="796">
          <cell r="A796" t="str">
            <v>CORPORACION INTERNACIONAL DE ALIMENTOS, S.A.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20</v>
          </cell>
          <cell r="J796" t="str">
            <v>CORPORACION INTERNACIONAL DE ALIMENTOS, S.A.</v>
          </cell>
          <cell r="S796">
            <v>110</v>
          </cell>
        </row>
        <row r="797">
          <cell r="A797" t="str">
            <v>CORPORACION INTERNACIONAL DE ALIMENTOS, S.A.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110</v>
          </cell>
          <cell r="J797" t="str">
            <v>CORPORACION INTERNACIONAL DE ALIMENTOS, S.A.</v>
          </cell>
          <cell r="M797">
            <v>390</v>
          </cell>
        </row>
        <row r="798">
          <cell r="A798" t="str">
            <v>CORPORACION INTERNACIONAL DE ALIMENTOS, S.A.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390</v>
          </cell>
          <cell r="J798" t="str">
            <v>CORPORACION INTERNACIONAL DE ALIMENTOS, S.A.</v>
          </cell>
          <cell r="O798">
            <v>410</v>
          </cell>
        </row>
        <row r="799">
          <cell r="A799" t="str">
            <v>CORPORACION INTERNACIONAL DE ALIMENTOS, S.A.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410</v>
          </cell>
          <cell r="J799" t="str">
            <v>CORPORACION INTERNACIONAL DE ALIMENTOS, S.A.</v>
          </cell>
          <cell r="O799">
            <v>140</v>
          </cell>
        </row>
        <row r="800">
          <cell r="A800" t="str">
            <v>CORPORACION INTERNACIONAL DE ALIMENTOS, S.A.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140</v>
          </cell>
          <cell r="J800" t="str">
            <v>CORPORACION INTERNACIONAL DE ALIMENTOS, S.A.</v>
          </cell>
          <cell r="N800">
            <v>250</v>
          </cell>
        </row>
        <row r="801">
          <cell r="A801" t="str">
            <v>CORPORACION INTERNACIONAL DE ALIMENTOS, S.A.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250</v>
          </cell>
          <cell r="J801" t="str">
            <v>CORPORACION INTERNACIONAL DE ALIMENTOS, S.A.</v>
          </cell>
          <cell r="N801">
            <v>356</v>
          </cell>
        </row>
        <row r="802">
          <cell r="A802" t="str">
            <v>CORPORACION INTERNACIONAL DE ALIMENTOS, S.A.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356</v>
          </cell>
          <cell r="J802" t="str">
            <v>CORPORACION INTERNACIONAL DE ALIMENTOS, S.A.</v>
          </cell>
          <cell r="N802">
            <v>90</v>
          </cell>
        </row>
        <row r="803">
          <cell r="A803" t="str">
            <v>CORPORACION INTERNACIONAL DE ALIMENTOS, S.A.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90</v>
          </cell>
          <cell r="J803" t="str">
            <v>CORPORACION INTERNACIONAL DE ALIMENTOS, S.A.</v>
          </cell>
          <cell r="N803">
            <v>67</v>
          </cell>
        </row>
        <row r="804">
          <cell r="A804" t="str">
            <v>CORPORACION INTERNACIONAL DE ALIMENTOS, S.A.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67</v>
          </cell>
          <cell r="J804" t="str">
            <v>CORPORACION INTERNACIONAL DE ALIMENTOS, S.A.</v>
          </cell>
          <cell r="N804">
            <v>84</v>
          </cell>
        </row>
        <row r="805">
          <cell r="A805" t="str">
            <v>CORPORACION INTERNACIONAL DE ALIMENTOS, S.A.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84</v>
          </cell>
          <cell r="J805" t="str">
            <v>CORPORACION INTERNACIONAL DE ALIMENTOS, S.A.</v>
          </cell>
          <cell r="N805">
            <v>22</v>
          </cell>
        </row>
        <row r="806">
          <cell r="A806" t="str">
            <v>CORPORACION INTERNACIONAL DE ALIMENTOS, S.A.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22</v>
          </cell>
          <cell r="J806" t="str">
            <v>CORPORACION INTERNACIONAL DE ALIMENTOS, S.A.</v>
          </cell>
          <cell r="N806">
            <v>230</v>
          </cell>
        </row>
        <row r="807">
          <cell r="A807" t="str">
            <v>CORPORACION INTERNACIONAL DE ALIMENTOS, S.A.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230</v>
          </cell>
          <cell r="J807" t="str">
            <v>CORPORACION INTERNACIONAL DE ALIMENTOS, S.A.</v>
          </cell>
          <cell r="N807">
            <v>205</v>
          </cell>
        </row>
        <row r="808">
          <cell r="A808" t="str">
            <v>CORPORACION INTERNACIONAL DE ALIMENTOS, S.A.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205</v>
          </cell>
          <cell r="J808" t="str">
            <v>CORPORACION INTERNACIONAL DE ALIMENTOS, S.A.</v>
          </cell>
          <cell r="N808">
            <v>103</v>
          </cell>
        </row>
        <row r="809">
          <cell r="A809" t="str">
            <v>CORPORACION INTERNACIONAL DE ALIMENTOS, S.A.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103</v>
          </cell>
          <cell r="J809" t="str">
            <v>CORPORACION INTERNACIONAL DE ALIMENTOS, S.A.</v>
          </cell>
          <cell r="N809">
            <v>0</v>
          </cell>
        </row>
        <row r="810">
          <cell r="A810" t="str">
            <v>CORPORACION INTERNACIONAL DE ALIMENTOS, S.A.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J810" t="str">
            <v>CORPORACION INTERNACIONAL DE ALIMENTOS, S.A.</v>
          </cell>
          <cell r="N810">
            <v>165</v>
          </cell>
        </row>
        <row r="811">
          <cell r="A811" t="str">
            <v>CORPORACION INTERNACIONAL DE ALIMENTOS, S.A.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165</v>
          </cell>
          <cell r="J811" t="str">
            <v>CORPORACION INTERNACIONAL DE ALIMENTOS, S.A.</v>
          </cell>
          <cell r="N811">
            <v>456</v>
          </cell>
        </row>
        <row r="812">
          <cell r="A812" t="str">
            <v>CORPORACION INTERNACIONAL DE ALIMENTOS, S.A.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456</v>
          </cell>
          <cell r="J812" t="str">
            <v>CORPORACION INTERNACIONAL DE ALIMENTOS, S.A.</v>
          </cell>
          <cell r="N812">
            <v>251</v>
          </cell>
        </row>
        <row r="813">
          <cell r="A813" t="str">
            <v>CORPORACION INTERNACIONAL DE ALIMENTOS, S.A.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251</v>
          </cell>
          <cell r="J813" t="str">
            <v>CORPORACION INTERNACIONAL DE ALIMENTOS, S.A.</v>
          </cell>
          <cell r="N813">
            <v>60</v>
          </cell>
        </row>
        <row r="814">
          <cell r="A814" t="str">
            <v>CORPORACION INTERNACIONAL DE ALIMENTOS, S.A.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60</v>
          </cell>
          <cell r="J814" t="str">
            <v>CORPORACION INTERNACIONAL DE ALIMENTOS, S.A.</v>
          </cell>
          <cell r="N814">
            <v>75</v>
          </cell>
        </row>
        <row r="815">
          <cell r="A815" t="str">
            <v>CORPORACION INTERNACIONAL DE ALIMENTOS, S.A.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75</v>
          </cell>
          <cell r="J815" t="str">
            <v>CORPORACION INTERNACIONAL DE ALIMENTOS, S.A.</v>
          </cell>
          <cell r="O815">
            <v>1017</v>
          </cell>
        </row>
        <row r="816">
          <cell r="A816" t="str">
            <v>CORPORACION INTERNACIONAL DE ALIMENTOS, S.A.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1017</v>
          </cell>
          <cell r="J816" t="str">
            <v>CORPORACION INTERNACIONAL DE ALIMENTOS, S.A.</v>
          </cell>
          <cell r="N816">
            <v>50</v>
          </cell>
        </row>
        <row r="817">
          <cell r="A817" t="str">
            <v>CORPORACION INTERNACIONAL DE ALIMENTOS, S.A.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50</v>
          </cell>
          <cell r="J817" t="str">
            <v>CORPORACION INTERNACIONAL DE ALIMENTOS, S.A.</v>
          </cell>
          <cell r="O817">
            <v>219</v>
          </cell>
        </row>
        <row r="818">
          <cell r="A818" t="str">
            <v>CORPORACION INTERNACIONAL DE ALIMENTOS, S.A.</v>
          </cell>
          <cell r="C818">
            <v>0</v>
          </cell>
          <cell r="D818">
            <v>16</v>
          </cell>
          <cell r="E818">
            <v>19</v>
          </cell>
          <cell r="F818">
            <v>19</v>
          </cell>
          <cell r="G818">
            <v>219</v>
          </cell>
          <cell r="J818" t="str">
            <v>CORPORACION INTERNACIONAL DE ALIMENTOS, S.A.</v>
          </cell>
          <cell r="Q818">
            <v>83</v>
          </cell>
        </row>
        <row r="819">
          <cell r="A819" t="str">
            <v>CORPORACION INTERNACIONAL DE ALIMENTOS, S.A.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83</v>
          </cell>
          <cell r="J819" t="str">
            <v>CORPORACION INTERNACIONAL DE ALIMENTOS, S.A.</v>
          </cell>
          <cell r="M819">
            <v>265</v>
          </cell>
        </row>
        <row r="820">
          <cell r="A820" t="str">
            <v>CORPORACION INTERNACIONAL DE ALIMENTOS, S.A.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265</v>
          </cell>
          <cell r="J820" t="str">
            <v>CORPORACION INTERNACIONAL DE ALIMENTOS, S.A.</v>
          </cell>
          <cell r="S820">
            <v>152</v>
          </cell>
        </row>
        <row r="821">
          <cell r="A821" t="str">
            <v>CORPORACION INTERNACIONAL DE ALIMENTOS, S.A.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152</v>
          </cell>
          <cell r="J821" t="str">
            <v>CORPORACION INTERNACIONAL DE ALIMENTOS, S.A.</v>
          </cell>
          <cell r="T821">
            <v>37</v>
          </cell>
        </row>
        <row r="822">
          <cell r="A822" t="str">
            <v>CORPORACION INTERNACIONAL DE ALIMENTOS, S.A.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37</v>
          </cell>
          <cell r="J822" t="str">
            <v>CORPORACION INTERNACIONAL DE ALIMENTOS, S.A.</v>
          </cell>
          <cell r="U822">
            <v>0</v>
          </cell>
        </row>
        <row r="823">
          <cell r="A823" t="str">
            <v>CORPORACION INTERNACIONAL DE ALIMENTOS, S.A.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J823" t="str">
            <v>CORPORACION INTERNACIONAL DE ALIMENTOS, S.A.</v>
          </cell>
          <cell r="Q823">
            <v>60</v>
          </cell>
        </row>
        <row r="824">
          <cell r="A824" t="str">
            <v>CORPORACION INTERNACIONAL DE ALIMENTOS, S.A.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60</v>
          </cell>
          <cell r="J824" t="str">
            <v>CORPORACION INTERNACIONAL DE ALIMENTOS, S.A.</v>
          </cell>
        </row>
        <row r="825">
          <cell r="A825" t="str">
            <v>CORPORACION INTERNACIONAL DE ALIMENTOS, S.A.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J825" t="str">
            <v>CORPORACION INTERNACIONAL DE ALIMENTOS, S.A.</v>
          </cell>
          <cell r="V825">
            <v>0</v>
          </cell>
        </row>
        <row r="826">
          <cell r="A826" t="str">
            <v>CORPORACION INTERNACIONAL DE ALIMENTOS, S.A.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J826" t="str">
            <v>CORPORACION INTERNACIONAL DE ALIMENTOS, S.A.</v>
          </cell>
          <cell r="M826">
            <v>910</v>
          </cell>
        </row>
        <row r="827">
          <cell r="A827" t="str">
            <v>CORPORACION INTERNACIONAL DE ALIMENTOS, S.A.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910</v>
          </cell>
          <cell r="J827" t="str">
            <v>CORPORACION INTERNACIONAL DE ALIMENTOS, S.A.</v>
          </cell>
          <cell r="U827">
            <v>305</v>
          </cell>
        </row>
        <row r="828">
          <cell r="A828" t="str">
            <v>CORPORACION INTERNACIONAL DE ALIMENTOS, S.A.</v>
          </cell>
          <cell r="C828">
            <v>0</v>
          </cell>
          <cell r="D828">
            <v>40</v>
          </cell>
          <cell r="E828">
            <v>60</v>
          </cell>
          <cell r="F828">
            <v>40</v>
          </cell>
          <cell r="G828">
            <v>305</v>
          </cell>
          <cell r="J828" t="str">
            <v>CORPORACION INTERNACIONAL DE ALIMENTOS, S.A.</v>
          </cell>
          <cell r="M828">
            <v>400</v>
          </cell>
        </row>
        <row r="829">
          <cell r="A829" t="str">
            <v>CORPORACION INTERNACIONAL DE ALIMENTOS, S.A.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400</v>
          </cell>
          <cell r="J829" t="str">
            <v>CORPORACION INTERNACIONAL DE ALIMENTOS, S.A.</v>
          </cell>
          <cell r="O829">
            <v>68</v>
          </cell>
        </row>
        <row r="830">
          <cell r="A830" t="str">
            <v>CORPORACION INTERNACIONAL DE ALIMENTOS, S.A.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68</v>
          </cell>
          <cell r="J830" t="str">
            <v>CORPORACION INTERNACIONAL DE ALIMENTOS, S.A.</v>
          </cell>
          <cell r="M830">
            <v>175</v>
          </cell>
        </row>
        <row r="831">
          <cell r="A831" t="str">
            <v>CORPORACION INTERNACIONAL DE ALIMENTOS, S.A.</v>
          </cell>
          <cell r="C831">
            <v>0</v>
          </cell>
          <cell r="D831">
            <v>10</v>
          </cell>
          <cell r="E831">
            <v>20</v>
          </cell>
          <cell r="F831">
            <v>25</v>
          </cell>
          <cell r="G831">
            <v>175</v>
          </cell>
          <cell r="J831" t="str">
            <v>CORPORACION INTERNACIONAL DE ALIMENTOS, S.A.</v>
          </cell>
          <cell r="O831">
            <v>256</v>
          </cell>
        </row>
        <row r="832">
          <cell r="A832" t="str">
            <v>CORPORACION INTERNACIONAL DE ALIMENTOS, S.A.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256</v>
          </cell>
          <cell r="J832" t="str">
            <v>CORPORACION INTERNACIONAL DE ALIMENTOS, S.A.</v>
          </cell>
          <cell r="R832">
            <v>31</v>
          </cell>
        </row>
        <row r="833">
          <cell r="A833" t="str">
            <v>CORPORACION INTERNACIONAL DE ALIMENTOS, S.A.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31</v>
          </cell>
          <cell r="J833" t="str">
            <v>CORPORACION INTERNACIONAL DE ALIMENTOS, S.A.</v>
          </cell>
          <cell r="Q833">
            <v>496</v>
          </cell>
        </row>
        <row r="834">
          <cell r="A834" t="str">
            <v>CORPORACION INTERNACIONAL DE ALIMENTOS, S.A.</v>
          </cell>
          <cell r="C834">
            <v>73</v>
          </cell>
          <cell r="D834">
            <v>0</v>
          </cell>
          <cell r="E834">
            <v>0</v>
          </cell>
          <cell r="F834">
            <v>0</v>
          </cell>
          <cell r="G834">
            <v>496</v>
          </cell>
          <cell r="J834" t="str">
            <v>CORPORACION INTERNACIONAL DE ALIMENTOS, S.A.</v>
          </cell>
          <cell r="T834">
            <v>30</v>
          </cell>
        </row>
        <row r="835">
          <cell r="A835" t="str">
            <v>CORPORACION INTERNACIONAL DE ALIMENTOS, S.A.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30</v>
          </cell>
          <cell r="J835" t="str">
            <v>CORPORACION INTERNACIONAL DE ALIMENTOS, S.A.</v>
          </cell>
          <cell r="Q835">
            <v>4560</v>
          </cell>
        </row>
        <row r="836">
          <cell r="A836" t="str">
            <v>CORPORACION INTERNACIONAL DE ALIMENTOS, S.A.</v>
          </cell>
          <cell r="C836">
            <v>0</v>
          </cell>
          <cell r="D836">
            <v>680</v>
          </cell>
          <cell r="E836">
            <v>450</v>
          </cell>
          <cell r="F836">
            <v>450</v>
          </cell>
          <cell r="G836">
            <v>4560</v>
          </cell>
          <cell r="J836" t="str">
            <v>CORPORACION INTERNACIONAL DE ALIMENTOS, S.A.</v>
          </cell>
          <cell r="N836">
            <v>0</v>
          </cell>
        </row>
        <row r="837">
          <cell r="A837" t="str">
            <v>CORPORACION INTERNACIONAL DE ALIMENTOS, S.A.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J837" t="str">
            <v>CORPORACION INTERNACIONAL DE ALIMENTOS, S.A.</v>
          </cell>
          <cell r="W837">
            <v>0</v>
          </cell>
        </row>
        <row r="838">
          <cell r="A838" t="str">
            <v>CORPORACION INTERNACIONAL DE ALIMENTOS, S.A.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J838" t="str">
            <v>CORPORACION INTERNACIONAL DE ALIMENTOS, S.A.</v>
          </cell>
          <cell r="M838">
            <v>400</v>
          </cell>
        </row>
        <row r="839">
          <cell r="A839" t="str">
            <v>CORPORACION INTERNACIONAL DE ALIMENTOS, S.A.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400</v>
          </cell>
          <cell r="J839" t="str">
            <v>CORPORACION INTERNACIONAL DE ALIMENTOS, S.A.</v>
          </cell>
          <cell r="O839">
            <v>34</v>
          </cell>
        </row>
        <row r="840">
          <cell r="A840" t="str">
            <v>CORPORACION INTERNACIONAL DE ALIMENTOS, S.A.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34</v>
          </cell>
          <cell r="J840" t="str">
            <v>CORPORACION INTERNACIONAL DE ALIMENTOS, S.A.</v>
          </cell>
          <cell r="M840">
            <v>100</v>
          </cell>
        </row>
        <row r="841">
          <cell r="A841" t="str">
            <v>CORPORACION INTERNACIONAL DE ALIMENTOS, S.A.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100</v>
          </cell>
          <cell r="J841" t="str">
            <v>CORPORACION INTERNACIONAL DE ALIMENTOS, S.A.</v>
          </cell>
          <cell r="S841">
            <v>96</v>
          </cell>
        </row>
        <row r="842">
          <cell r="A842" t="str">
            <v>CORPORACION INTERNACIONAL DE ALIMENTOS, S.A.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96</v>
          </cell>
          <cell r="J842" t="str">
            <v>CORPORACION INTERNACIONAL DE ALIMENTOS, S.A.</v>
          </cell>
          <cell r="N842">
            <v>230</v>
          </cell>
        </row>
        <row r="843">
          <cell r="A843" t="str">
            <v>CORPORACION INTERNACIONAL DE ALIMENTOS, S.A.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230</v>
          </cell>
          <cell r="J843" t="str">
            <v>CORPORACION INTERNACIONAL DE ALIMENTOS, S.A.</v>
          </cell>
          <cell r="M843">
            <v>850</v>
          </cell>
        </row>
        <row r="844">
          <cell r="A844" t="str">
            <v>CORPORACION INTERNACIONAL DE ALIMENTOS, S.A.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850</v>
          </cell>
          <cell r="J844" t="str">
            <v>CORPORACION INTERNACIONAL DE ALIMENTOS, S.A.</v>
          </cell>
          <cell r="M844">
            <v>350</v>
          </cell>
        </row>
        <row r="845">
          <cell r="A845" t="str">
            <v>CORPORACION INTERNACIONAL DE ALIMENTOS, S.A.</v>
          </cell>
          <cell r="C845">
            <v>200</v>
          </cell>
          <cell r="D845">
            <v>25</v>
          </cell>
          <cell r="E845">
            <v>100</v>
          </cell>
          <cell r="F845">
            <v>25</v>
          </cell>
          <cell r="G845">
            <v>350</v>
          </cell>
          <cell r="J845" t="str">
            <v>CORPORACION INTERNACIONAL DE ALIMENTOS, S.A.</v>
          </cell>
          <cell r="M845">
            <v>352</v>
          </cell>
        </row>
        <row r="846">
          <cell r="A846" t="str">
            <v>CORPORACION INTERNACIONAL DE ALIMENTOS, S.A.</v>
          </cell>
          <cell r="C846">
            <v>225</v>
          </cell>
          <cell r="D846">
            <v>0</v>
          </cell>
          <cell r="E846">
            <v>0</v>
          </cell>
          <cell r="F846">
            <v>0</v>
          </cell>
          <cell r="G846">
            <v>352</v>
          </cell>
          <cell r="J846" t="str">
            <v>CORPORACION INTERNACIONAL DE ALIMENTOS, S.A.</v>
          </cell>
          <cell r="W846">
            <v>628</v>
          </cell>
        </row>
        <row r="847">
          <cell r="A847" t="str">
            <v>CORPORACION INTERNACIONAL DE ALIMENTOS, S.A.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628</v>
          </cell>
          <cell r="J847" t="str">
            <v>CORPORACION INTERNACIONAL DE ALIMENTOS, S.A.</v>
          </cell>
          <cell r="T847">
            <v>192</v>
          </cell>
        </row>
        <row r="848">
          <cell r="A848" t="str">
            <v>CORPORACION INTERNACIONAL DE ALIMENTOS, S.A.</v>
          </cell>
          <cell r="C848">
            <v>85</v>
          </cell>
          <cell r="D848">
            <v>22</v>
          </cell>
          <cell r="E848">
            <v>25</v>
          </cell>
          <cell r="F848">
            <v>29</v>
          </cell>
          <cell r="G848">
            <v>192</v>
          </cell>
          <cell r="J848" t="str">
            <v>CORPORACION INTERNACIONAL DE ALIMENTOS, S.A.</v>
          </cell>
          <cell r="N848">
            <v>510</v>
          </cell>
        </row>
        <row r="849">
          <cell r="A849" t="str">
            <v>CORPORACION INTERNACIONAL DE ALIMENTOS, S.A.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510</v>
          </cell>
          <cell r="J849" t="str">
            <v>CORPORACION INTERNACIONAL DE ALIMENTOS, S.A.</v>
          </cell>
          <cell r="N849">
            <v>97</v>
          </cell>
        </row>
        <row r="850">
          <cell r="A850" t="str">
            <v>CORPORACION INTERNACIONAL DE ALIMENTOS, S.A.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97</v>
          </cell>
          <cell r="J850" t="str">
            <v>CORPORACION INTERNACIONAL DE ALIMENTOS, S.A.</v>
          </cell>
          <cell r="M850">
            <v>40</v>
          </cell>
        </row>
        <row r="851">
          <cell r="A851" t="str">
            <v>CORPORACION INTERNACIONAL DE ALIMENTOS, S.A.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40</v>
          </cell>
          <cell r="J851" t="str">
            <v>CORPORACION INTERNACIONAL DE ALIMENTOS, S.A.</v>
          </cell>
          <cell r="M851">
            <v>1350</v>
          </cell>
        </row>
        <row r="852">
          <cell r="A852" t="str">
            <v>CORPORACION INTERNACIONAL DE ALIMENTOS, S.A.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1350</v>
          </cell>
          <cell r="J852" t="str">
            <v>CORPORACION INTERNACIONAL DE ALIMENTOS, S.A.</v>
          </cell>
          <cell r="M852">
            <v>77</v>
          </cell>
        </row>
        <row r="853">
          <cell r="A853" t="str">
            <v>CORPORACION INTERNACIONAL DE ALIMENTOS, S.A.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77</v>
          </cell>
          <cell r="J853" t="str">
            <v>CORPORACION INTERNACIONAL DE ALIMENTOS, S.A.</v>
          </cell>
          <cell r="S853">
            <v>56</v>
          </cell>
        </row>
        <row r="854">
          <cell r="A854" t="str">
            <v>CORPORACION INTERNACIONAL DE ALIMENTOS, S.A.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56</v>
          </cell>
          <cell r="J854" t="str">
            <v>CORPORACION INTERNACIONAL DE ALIMENTOS, S.A.</v>
          </cell>
          <cell r="N854">
            <v>130</v>
          </cell>
        </row>
        <row r="855">
          <cell r="A855" t="str">
            <v>CORPORACION INTERNACIONAL DE ALIMENTOS, S.A.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130</v>
          </cell>
          <cell r="J855" t="str">
            <v>CORPORACION INTERNACIONAL DE ALIMENTOS, S.A.</v>
          </cell>
          <cell r="W855">
            <v>0</v>
          </cell>
        </row>
        <row r="856">
          <cell r="A856" t="str">
            <v>CORPORACION INTERNACIONAL DE ALIMENTOS, S.A.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J856" t="str">
            <v>CORPORACION INTERNACIONAL DE ALIMENTOS, S.A.</v>
          </cell>
          <cell r="W856">
            <v>0</v>
          </cell>
        </row>
        <row r="857">
          <cell r="A857" t="str">
            <v>CORPORACION INTERNACIONAL DE ALIMENTOS, S.A.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J857" t="str">
            <v>CORPORACION INTERNACIONAL DE ALIMENTOS, S.A.</v>
          </cell>
          <cell r="U857">
            <v>251</v>
          </cell>
        </row>
        <row r="858">
          <cell r="A858" t="str">
            <v>CORPORACION INTERNACIONAL DE ALIMENTOS, S.A.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251</v>
          </cell>
          <cell r="J858" t="str">
            <v>CORPORACION INTERNACIONAL DE ALIMENTOS, S.A.</v>
          </cell>
          <cell r="S858">
            <v>40</v>
          </cell>
        </row>
        <row r="859">
          <cell r="A859" t="str">
            <v>CORPORACION INTERNACIONAL DE ALIMENTOS, S.A.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40</v>
          </cell>
          <cell r="J859" t="str">
            <v>CORPORACION INTERNACIONAL DE ALIMENTOS, S.A.</v>
          </cell>
          <cell r="R859">
            <v>130</v>
          </cell>
        </row>
        <row r="860">
          <cell r="A860" t="str">
            <v>CORPORACION INTERNACIONAL DE ALIMENTOS, S.A.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130</v>
          </cell>
          <cell r="J860" t="str">
            <v>CORPORACION INTERNACIONAL DE ALIMENTOS, S.A.</v>
          </cell>
          <cell r="N860">
            <v>120</v>
          </cell>
        </row>
        <row r="861">
          <cell r="A861" t="str">
            <v>CORPORACION INTERNACIONAL DE ALIMENTOS, S.A.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120</v>
          </cell>
          <cell r="J861" t="str">
            <v>CORPORACION INTERNACIONAL DE ALIMENTOS, S.A.</v>
          </cell>
          <cell r="M861">
            <v>125</v>
          </cell>
        </row>
        <row r="862">
          <cell r="A862" t="str">
            <v>CORPORACION INTERNACIONAL DE ALIMENTOS, S.A.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125</v>
          </cell>
          <cell r="J862" t="str">
            <v>CORPORACION INTERNACIONAL DE ALIMENTOS, S.A.</v>
          </cell>
          <cell r="V862">
            <v>0</v>
          </cell>
        </row>
        <row r="863">
          <cell r="A863" t="str">
            <v>CORPORACION INTERNACIONAL DE ALIMENTOS, S.A.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J863" t="str">
            <v>CORPORACION INTERNACIONAL DE ALIMENTOS, S.A.</v>
          </cell>
          <cell r="S863">
            <v>50</v>
          </cell>
        </row>
        <row r="864">
          <cell r="A864" t="str">
            <v>CORPORACION INTERNACIONAL DE ALIMENTOS, S.A.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50</v>
          </cell>
          <cell r="J864" t="str">
            <v>CORPORACION INTERNACIONAL DE ALIMENTOS, S.A.</v>
          </cell>
          <cell r="M864">
            <v>25</v>
          </cell>
        </row>
        <row r="865">
          <cell r="A865" t="str">
            <v>CORPORACION INTERNACIONAL DE ALIMENTOS, S.A.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25</v>
          </cell>
          <cell r="J865" t="str">
            <v>CORPORACION INTERNACIONAL DE ALIMENTOS, S.A.</v>
          </cell>
          <cell r="V865">
            <v>0</v>
          </cell>
        </row>
        <row r="866">
          <cell r="A866" t="str">
            <v>CORPORACION INTERNACIONAL DE ALIMENTOS, S.A.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J866" t="str">
            <v>CORPORACION INTERNACIONAL DE ALIMENTOS, S.A.</v>
          </cell>
          <cell r="Y866">
            <v>0</v>
          </cell>
        </row>
        <row r="867">
          <cell r="A867" t="str">
            <v>CORPORACION INTERNACIONAL DE ALIMENTOS, S.A.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J867" t="str">
            <v>CORPORACION INTERNACIONAL DE ALIMENTOS, S.A.</v>
          </cell>
          <cell r="O867">
            <v>0</v>
          </cell>
        </row>
        <row r="868">
          <cell r="A868" t="str">
            <v>CORPORACION INTERNACIONAL DE ALIMENTOS, S.A.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J868" t="str">
            <v>CORPORACION INTERNACIONAL DE ALIMENTOS, S.A.</v>
          </cell>
          <cell r="M868">
            <v>209</v>
          </cell>
        </row>
        <row r="869">
          <cell r="A869" t="str">
            <v>CORPORACION INTERNACIONAL DE ALIMENTOS, S.A.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209</v>
          </cell>
          <cell r="J869" t="str">
            <v>CORPORACION INTERNACIONAL DE ALIMENTOS, S.A.</v>
          </cell>
          <cell r="M869">
            <v>0</v>
          </cell>
        </row>
        <row r="870">
          <cell r="A870" t="str">
            <v>CORPORACION INTERNACIONAL DE ALIMENTOS, S.A.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J870" t="str">
            <v>CORPORACION INTERNACIONAL DE ALIMENTOS, S.A.</v>
          </cell>
          <cell r="N870">
            <v>0</v>
          </cell>
        </row>
        <row r="871">
          <cell r="A871" t="str">
            <v>CORPORACION INTERNACIONAL DE ALIMENTOS, S.A.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J871" t="str">
            <v>CORPORACION INTERNACIONAL DE ALIMENTOS, S.A.</v>
          </cell>
          <cell r="S871">
            <v>150</v>
          </cell>
        </row>
        <row r="872">
          <cell r="A872" t="str">
            <v>CORPORACION INTERNACIONAL DE ALIMENTOS, S.A.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150</v>
          </cell>
          <cell r="J872" t="str">
            <v>CORPORACION INTERNACIONAL DE ALIMENTOS, S.A.</v>
          </cell>
          <cell r="N872">
            <v>6</v>
          </cell>
        </row>
        <row r="873">
          <cell r="A873" t="str">
            <v>CORPORACION INTERNACIONAL DE ALIMENTOS, S.A.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6</v>
          </cell>
          <cell r="J873" t="str">
            <v>CORPORACION INTERNACIONAL DE ALIMENTOS, S.A.</v>
          </cell>
          <cell r="M873">
            <v>200</v>
          </cell>
        </row>
        <row r="874">
          <cell r="A874" t="str">
            <v>CORPORACION INTERNACIONAL DE ALIMENTOS, S.A.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200</v>
          </cell>
          <cell r="J874" t="str">
            <v>CORPORACION INTERNACIONAL DE ALIMENTOS, S.A.</v>
          </cell>
          <cell r="O874">
            <v>240</v>
          </cell>
        </row>
        <row r="875">
          <cell r="A875" t="str">
            <v>CORPORACION INTERNACIONAL DE ALIMENTOS, S.A.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240</v>
          </cell>
          <cell r="J875" t="str">
            <v>CORPORACION INTERNACIONAL DE ALIMENTOS, S.A.</v>
          </cell>
          <cell r="R875">
            <v>0</v>
          </cell>
        </row>
        <row r="876">
          <cell r="A876" t="str">
            <v>CORPORACION INTERNACIONAL DE ALIMENTOS, S.A.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J876" t="str">
            <v>CORPORACION INTERNACIONAL DE ALIMENTOS, S.A.</v>
          </cell>
          <cell r="O876">
            <v>421</v>
          </cell>
        </row>
        <row r="877">
          <cell r="A877" t="str">
            <v>CORPORACION INTERNACIONAL DE ALIMENTOS, S.A.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421</v>
          </cell>
          <cell r="J877" t="str">
            <v>CORPORACION INTERNACIONAL DE ALIMENTOS, S.A.</v>
          </cell>
          <cell r="S877">
            <v>1190</v>
          </cell>
        </row>
        <row r="878">
          <cell r="A878" t="str">
            <v>CORPORACION INTERNACIONAL DE ALIMENTOS, S.A.</v>
          </cell>
          <cell r="C878">
            <v>1190</v>
          </cell>
          <cell r="D878">
            <v>0</v>
          </cell>
          <cell r="E878">
            <v>0</v>
          </cell>
          <cell r="F878">
            <v>0</v>
          </cell>
          <cell r="G878">
            <v>1190</v>
          </cell>
          <cell r="J878" t="str">
            <v>CORPORACION INTERNACIONAL DE ALIMENTOS, S.A.</v>
          </cell>
          <cell r="S878">
            <v>100</v>
          </cell>
        </row>
        <row r="879">
          <cell r="A879" t="str">
            <v>CORPORACION INTERNACIONAL DE ALIMENTOS, S.A.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100</v>
          </cell>
          <cell r="J879" t="str">
            <v>CORPORACION INTERNACIONAL DE ALIMENTOS, S.A.</v>
          </cell>
          <cell r="S879">
            <v>200</v>
          </cell>
        </row>
        <row r="880">
          <cell r="A880" t="str">
            <v>CORPORACION INTERNACIONAL DE ALIMENTOS, S.A.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200</v>
          </cell>
          <cell r="J880" t="str">
            <v>CORPORACION INTERNACIONAL DE ALIMENTOS, S.A.</v>
          </cell>
          <cell r="P880">
            <v>173</v>
          </cell>
        </row>
        <row r="881">
          <cell r="A881" t="str">
            <v>CORPORACION INTERNACIONAL DE ALIMENTOS, S.A.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173</v>
          </cell>
          <cell r="J881" t="str">
            <v>CORPORACION INTERNACIONAL DE ALIMENTOS, S.A.</v>
          </cell>
          <cell r="V881">
            <v>0</v>
          </cell>
        </row>
        <row r="882">
          <cell r="A882" t="str">
            <v>CORPORACION INTERNACIONAL DE ALIMENTOS, S.A.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J882" t="str">
            <v>CORPORACION INTERNACIONAL DE ALIMENTOS, S.A.</v>
          </cell>
          <cell r="V882">
            <v>200</v>
          </cell>
        </row>
        <row r="883">
          <cell r="A883" t="str">
            <v>CORPORACION INTERNACIONAL DE ALIMENTOS, S.A.</v>
          </cell>
          <cell r="C883">
            <v>200</v>
          </cell>
          <cell r="D883">
            <v>0</v>
          </cell>
          <cell r="E883">
            <v>0</v>
          </cell>
          <cell r="F883">
            <v>0</v>
          </cell>
          <cell r="G883">
            <v>200</v>
          </cell>
          <cell r="J883" t="str">
            <v>CORPORACION INTERNACIONAL DE ALIMENTOS, S.A.</v>
          </cell>
          <cell r="U883">
            <v>696</v>
          </cell>
        </row>
        <row r="884">
          <cell r="A884" t="str">
            <v>CORPORACION INTERNACIONAL DE ALIMENTOS, S.A.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696</v>
          </cell>
          <cell r="J884" t="str">
            <v>CORPORACION INTERNACIONAL DE ALIMENTOS, S.A.</v>
          </cell>
          <cell r="M884">
            <v>220</v>
          </cell>
        </row>
        <row r="885">
          <cell r="A885" t="str">
            <v>CORPORACION INTERNACIONAL DE ALIMENTOS, S.A.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220</v>
          </cell>
          <cell r="J885" t="str">
            <v>CORPORACION INTERNACIONAL DE ALIMENTOS, S.A.</v>
          </cell>
          <cell r="M885">
            <v>265</v>
          </cell>
        </row>
        <row r="886">
          <cell r="A886" t="str">
            <v>CORPORACION INTERNACIONAL DE ALIMENTOS, S.A.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265</v>
          </cell>
          <cell r="J886" t="str">
            <v>CORPORACION INTERNACIONAL DE ALIMENTOS, S.A.</v>
          </cell>
          <cell r="N886">
            <v>110</v>
          </cell>
        </row>
        <row r="887">
          <cell r="A887" t="str">
            <v>CORPORACION INTERNACIONAL DE ALIMENTOS, S.A.</v>
          </cell>
          <cell r="C887">
            <v>0</v>
          </cell>
          <cell r="D887">
            <v>35</v>
          </cell>
          <cell r="E887">
            <v>0</v>
          </cell>
          <cell r="F887">
            <v>0</v>
          </cell>
          <cell r="G887">
            <v>110</v>
          </cell>
          <cell r="J887" t="str">
            <v>CORPORACION INTERNACIONAL DE ALIMENTOS, S.A.</v>
          </cell>
          <cell r="N887">
            <v>130</v>
          </cell>
        </row>
        <row r="888">
          <cell r="A888" t="str">
            <v>CORPORACION INTERNACIONAL DE ALIMENTOS, S.A.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130</v>
          </cell>
          <cell r="J888" t="str">
            <v>CORPORACION INTERNACIONAL DE ALIMENTOS, S.A.</v>
          </cell>
          <cell r="M888">
            <v>1300</v>
          </cell>
        </row>
        <row r="889">
          <cell r="A889" t="str">
            <v>CORPORACION INTERNACIONAL DE ALIMENTOS, S.A.</v>
          </cell>
          <cell r="C889">
            <v>100</v>
          </cell>
          <cell r="D889">
            <v>0</v>
          </cell>
          <cell r="E889">
            <v>0</v>
          </cell>
          <cell r="F889">
            <v>0</v>
          </cell>
          <cell r="G889">
            <v>1300</v>
          </cell>
          <cell r="J889" t="str">
            <v>CORPORACION INTERNACIONAL DE ALIMENTOS, S.A.</v>
          </cell>
          <cell r="M889">
            <v>52</v>
          </cell>
        </row>
        <row r="890">
          <cell r="A890" t="str">
            <v>CORPORACION INTERNACIONAL DE ALIMENTOS, S.A.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52</v>
          </cell>
          <cell r="J890" t="str">
            <v>CORPORACION INTERNACIONAL DE ALIMENTOS, S.A.</v>
          </cell>
          <cell r="M890">
            <v>360</v>
          </cell>
        </row>
        <row r="891">
          <cell r="A891" t="str">
            <v>CORPORACION INTERNACIONAL DE ALIMENTOS, S.A.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360</v>
          </cell>
          <cell r="J891" t="str">
            <v>CORPORACION INTERNACIONAL DE ALIMENTOS, S.A.</v>
          </cell>
          <cell r="P891">
            <v>150</v>
          </cell>
        </row>
        <row r="892">
          <cell r="A892" t="str">
            <v>CORPORACION INTERNACIONAL DE ALIMENTOS, S.A.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150</v>
          </cell>
          <cell r="J892" t="str">
            <v>CORPORACION INTERNACIONAL DE ALIMENTOS, S.A.</v>
          </cell>
          <cell r="M892">
            <v>630</v>
          </cell>
        </row>
        <row r="893">
          <cell r="A893" t="str">
            <v>CORPORACION INTERNACIONAL DE ALIMENTOS, S.A.</v>
          </cell>
          <cell r="C893">
            <v>0</v>
          </cell>
          <cell r="D893">
            <v>120</v>
          </cell>
          <cell r="E893">
            <v>180</v>
          </cell>
          <cell r="F893">
            <v>60</v>
          </cell>
          <cell r="G893">
            <v>630</v>
          </cell>
          <cell r="J893" t="str">
            <v>CORPORACION INTERNACIONAL DE ALIMENTOS, S.A.</v>
          </cell>
          <cell r="M893">
            <v>50</v>
          </cell>
        </row>
        <row r="894">
          <cell r="A894" t="str">
            <v>CORPORACION INTERNACIONAL DE ALIMENTOS, S.A.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50</v>
          </cell>
          <cell r="J894" t="str">
            <v>CORPORACION INTERNACIONAL DE ALIMENTOS, S.A.</v>
          </cell>
          <cell r="M894">
            <v>600</v>
          </cell>
        </row>
        <row r="895">
          <cell r="A895" t="str">
            <v>CORPORACION INTERNACIONAL DE ALIMENTOS, S.A.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600</v>
          </cell>
          <cell r="J895" t="str">
            <v>CORPORACION INTERNACIONAL DE ALIMENTOS, S.A.</v>
          </cell>
          <cell r="S895">
            <v>40</v>
          </cell>
        </row>
        <row r="896">
          <cell r="A896" t="str">
            <v>CORPORACION INTERNACIONAL DE ALIMENTOS, S.A.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40</v>
          </cell>
          <cell r="J896" t="str">
            <v>CORPORACION INTERNACIONAL DE ALIMENTOS, S.A.</v>
          </cell>
          <cell r="O896">
            <v>105</v>
          </cell>
        </row>
        <row r="897">
          <cell r="A897" t="str">
            <v>CORPORACION INTERNACIONAL DE ALIMENTOS, S.A.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105</v>
          </cell>
          <cell r="J897" t="str">
            <v>CORPORACION INTERNACIONAL DE ALIMENTOS, S.A.</v>
          </cell>
          <cell r="N897">
            <v>490</v>
          </cell>
        </row>
        <row r="898">
          <cell r="A898" t="str">
            <v>CORPORACION INTERNACIONAL DE ALIMENTOS, S.A.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490</v>
          </cell>
          <cell r="J898" t="str">
            <v>CORPORACION INTERNACIONAL DE ALIMENTOS, S.A.</v>
          </cell>
          <cell r="O898">
            <v>480</v>
          </cell>
        </row>
        <row r="899">
          <cell r="A899" t="str">
            <v>CORPORACION INTERNACIONAL DE ALIMENTOS, S.A.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480</v>
          </cell>
          <cell r="J899" t="str">
            <v>CORPORACION INTERNACIONAL DE ALIMENTOS, S.A.</v>
          </cell>
          <cell r="M899">
            <v>740</v>
          </cell>
        </row>
        <row r="900">
          <cell r="A900" t="str">
            <v>CORPORACION INTERNACIONAL DE ALIMENTOS, S.A.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740</v>
          </cell>
          <cell r="J900" t="str">
            <v>CORPORACION INTERNACIONAL DE ALIMENTOS, S.A.</v>
          </cell>
          <cell r="T900">
            <v>0</v>
          </cell>
        </row>
        <row r="901">
          <cell r="A901" t="str">
            <v>CORPORACION INTERNACIONAL DE ALIMENTOS, S.A.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J901" t="str">
            <v>CORPORACION INTERNACIONAL DE ALIMENTOS, S.A.</v>
          </cell>
          <cell r="Y901">
            <v>50</v>
          </cell>
        </row>
        <row r="902">
          <cell r="A902" t="str">
            <v>CORPORACION INTERNACIONAL DE ALIMENTOS, S.A.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50</v>
          </cell>
          <cell r="J902" t="str">
            <v>CORPORACION INTERNACIONAL DE ALIMENTOS, S.A.</v>
          </cell>
          <cell r="T902">
            <v>1800</v>
          </cell>
        </row>
        <row r="903">
          <cell r="A903" t="str">
            <v>CORPORACION INTERNACIONAL DE ALIMENTOS, S.A.</v>
          </cell>
          <cell r="C903">
            <v>1200</v>
          </cell>
          <cell r="D903">
            <v>0</v>
          </cell>
          <cell r="E903">
            <v>0</v>
          </cell>
          <cell r="F903">
            <v>0</v>
          </cell>
          <cell r="G903">
            <v>1800</v>
          </cell>
          <cell r="J903" t="str">
            <v>CORPORACION INTERNACIONAL DE ALIMENTOS, S.A.</v>
          </cell>
          <cell r="V903">
            <v>430</v>
          </cell>
        </row>
        <row r="904">
          <cell r="A904" t="str">
            <v>CORPORACION INTERNACIONAL DE ALIMENTOS, S.A.</v>
          </cell>
          <cell r="C904">
            <v>160</v>
          </cell>
          <cell r="D904">
            <v>0</v>
          </cell>
          <cell r="E904">
            <v>0</v>
          </cell>
          <cell r="F904">
            <v>0</v>
          </cell>
          <cell r="G904">
            <v>430</v>
          </cell>
          <cell r="J904" t="str">
            <v>CORPORACION INTERNACIONAL DE ALIMENTOS, S.A.</v>
          </cell>
          <cell r="U904">
            <v>300</v>
          </cell>
        </row>
        <row r="905">
          <cell r="A905" t="str">
            <v>CORPORACION INTERNACIONAL DE ALIMENTOS, S.A.</v>
          </cell>
          <cell r="C905">
            <v>300</v>
          </cell>
          <cell r="D905">
            <v>0</v>
          </cell>
          <cell r="E905">
            <v>0</v>
          </cell>
          <cell r="F905">
            <v>0</v>
          </cell>
          <cell r="G905">
            <v>300</v>
          </cell>
          <cell r="J905" t="str">
            <v>CORPORACION INTERNACIONAL DE ALIMENTOS, S.A.</v>
          </cell>
          <cell r="T905">
            <v>240</v>
          </cell>
        </row>
        <row r="906">
          <cell r="A906" t="str">
            <v>CORPORACION INTERNACIONAL DE ALIMENTOS, S.A.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240</v>
          </cell>
          <cell r="J906" t="str">
            <v>CORPORACION INTERNACIONAL DE ALIMENTOS, S.A.</v>
          </cell>
          <cell r="U906">
            <v>80</v>
          </cell>
        </row>
        <row r="907">
          <cell r="A907" t="str">
            <v>CORPORACION INTERNACIONAL DE ALIMENTOS, S.A.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80</v>
          </cell>
          <cell r="J907" t="str">
            <v>CORPORACION INTERNACIONAL DE ALIMENTOS, S.A.</v>
          </cell>
          <cell r="U907">
            <v>0</v>
          </cell>
        </row>
        <row r="908">
          <cell r="A908" t="str">
            <v>CORPORACION INTERNACIONAL DE ALIMENTOS, S.A.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J908" t="str">
            <v>CORPORACION INTERNACIONAL DE ALIMENTOS, S.A.</v>
          </cell>
          <cell r="W908">
            <v>200</v>
          </cell>
        </row>
        <row r="909">
          <cell r="A909" t="str">
            <v>CORPORACION INTERNACIONAL DE ALIMENTOS, S.A.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200</v>
          </cell>
          <cell r="J909" t="str">
            <v>CORPORACION INTERNACIONAL DE ALIMENTOS, S.A.</v>
          </cell>
          <cell r="V909">
            <v>39</v>
          </cell>
        </row>
        <row r="910">
          <cell r="A910" t="str">
            <v>CORPORACION INTERNACIONAL DE ALIMENTOS, S.A.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39</v>
          </cell>
          <cell r="J910" t="str">
            <v>CORPORACION INTERNACIONAL DE ALIMENTOS, S.A.</v>
          </cell>
          <cell r="V910">
            <v>30</v>
          </cell>
        </row>
        <row r="911">
          <cell r="A911" t="str">
            <v>CORPORACION INTERNACIONAL DE ALIMENTOS, S.A.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30</v>
          </cell>
          <cell r="J911" t="str">
            <v>CORPORACION INTERNACIONAL DE ALIMENTOS, S.A.</v>
          </cell>
          <cell r="N911">
            <v>0</v>
          </cell>
        </row>
        <row r="912">
          <cell r="A912" t="str">
            <v>CORPORACION INTERNACIONAL DE ALIMENTOS, S.A.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J912" t="str">
            <v>FELIPE MOTTA, S.A</v>
          </cell>
          <cell r="Q912">
            <v>1060</v>
          </cell>
        </row>
        <row r="913">
          <cell r="A913" t="str">
            <v>FELIPE MOTTA, S.A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1060</v>
          </cell>
          <cell r="J913" t="str">
            <v>FELIPE MOTTA, S.A</v>
          </cell>
          <cell r="N913">
            <v>100</v>
          </cell>
        </row>
        <row r="914">
          <cell r="A914" t="str">
            <v>FELIPE MOTTA, S.A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100</v>
          </cell>
          <cell r="J914" t="str">
            <v>FELIPE MOTTA, S.A</v>
          </cell>
          <cell r="R914">
            <v>180</v>
          </cell>
        </row>
        <row r="915">
          <cell r="A915" t="str">
            <v>FELIPE MOTTA, S.A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180</v>
          </cell>
          <cell r="J915" t="str">
            <v>FELIPE MOTTA, S.A</v>
          </cell>
          <cell r="R915">
            <v>40</v>
          </cell>
        </row>
        <row r="916">
          <cell r="A916" t="str">
            <v>FELIPE MOTTA, S.A</v>
          </cell>
          <cell r="C916">
            <v>40</v>
          </cell>
          <cell r="D916">
            <v>0</v>
          </cell>
          <cell r="E916">
            <v>0</v>
          </cell>
          <cell r="F916">
            <v>0</v>
          </cell>
          <cell r="G916">
            <v>40</v>
          </cell>
          <cell r="J916" t="str">
            <v>FELIPE MOTTA, S.A</v>
          </cell>
          <cell r="S916">
            <v>73</v>
          </cell>
        </row>
        <row r="917">
          <cell r="A917" t="str">
            <v>FELIPE MOTTA, S.A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73</v>
          </cell>
          <cell r="J917" t="str">
            <v>FELIPE MOTTA, S.A</v>
          </cell>
          <cell r="O917">
            <v>65</v>
          </cell>
        </row>
        <row r="918">
          <cell r="A918" t="str">
            <v>FELIPE MOTTA, S.A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65</v>
          </cell>
          <cell r="J918" t="str">
            <v>FELIPE MOTTA, S.A</v>
          </cell>
          <cell r="O918">
            <v>1090</v>
          </cell>
        </row>
        <row r="919">
          <cell r="A919" t="str">
            <v>FELIPE MOTTA, S.A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1090</v>
          </cell>
          <cell r="J919" t="str">
            <v>FELIPE MOTTA, S.A</v>
          </cell>
          <cell r="M919">
            <v>0</v>
          </cell>
        </row>
        <row r="920">
          <cell r="A920" t="str">
            <v>FELIPE MOTTA, S.A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J920" t="str">
            <v>FELIPE MOTTA, S.A</v>
          </cell>
          <cell r="N920">
            <v>282</v>
          </cell>
        </row>
        <row r="921">
          <cell r="A921" t="str">
            <v>FELIPE MOTTA, S.A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282</v>
          </cell>
          <cell r="J921" t="str">
            <v>FELIPE MOTTA, S.A</v>
          </cell>
          <cell r="N921">
            <v>467</v>
          </cell>
        </row>
        <row r="922">
          <cell r="A922" t="str">
            <v>FELIPE MOTTA, S.A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467</v>
          </cell>
          <cell r="J922" t="str">
            <v>FELIPE MOTTA, S.A</v>
          </cell>
          <cell r="N922">
            <v>62</v>
          </cell>
        </row>
        <row r="923">
          <cell r="A923" t="str">
            <v>FELIPE MOTTA, S.A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62</v>
          </cell>
          <cell r="J923" t="str">
            <v>FELIPE MOTTA, S.A</v>
          </cell>
          <cell r="O923">
            <v>116</v>
          </cell>
        </row>
        <row r="924">
          <cell r="A924" t="str">
            <v>FELIPE MOTTA, S.A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116</v>
          </cell>
          <cell r="J924" t="str">
            <v>FELIPE MOTTA, S.A</v>
          </cell>
          <cell r="O924">
            <v>138</v>
          </cell>
        </row>
        <row r="925">
          <cell r="A925" t="str">
            <v>FELIPE MOTTA, S.A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138</v>
          </cell>
          <cell r="J925" t="str">
            <v>FELIPE MOTTA, S.A</v>
          </cell>
          <cell r="N925">
            <v>147</v>
          </cell>
        </row>
        <row r="926">
          <cell r="A926" t="str">
            <v>FELIPE MOTTA, S.A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147</v>
          </cell>
          <cell r="J926" t="str">
            <v>FELIPE MOTTA, S.A</v>
          </cell>
          <cell r="N926">
            <v>62</v>
          </cell>
        </row>
        <row r="927">
          <cell r="A927" t="str">
            <v>FELIPE MOTTA, S.A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62</v>
          </cell>
          <cell r="J927" t="str">
            <v>FELIPE MOTTA, S.A</v>
          </cell>
          <cell r="O927">
            <v>60</v>
          </cell>
        </row>
        <row r="928">
          <cell r="A928" t="str">
            <v>FELIPE MOTTA, S.A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60</v>
          </cell>
          <cell r="J928" t="str">
            <v>FELIPE MOTTA, S.A</v>
          </cell>
          <cell r="T928">
            <v>73</v>
          </cell>
        </row>
        <row r="929">
          <cell r="A929" t="str">
            <v>FELIPE MOTTA, S.A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73</v>
          </cell>
          <cell r="J929" t="str">
            <v>FELIPE MOTTA, S.A</v>
          </cell>
          <cell r="M929">
            <v>150</v>
          </cell>
        </row>
        <row r="930">
          <cell r="A930" t="str">
            <v>FELIPE MOTTA, S.A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150</v>
          </cell>
          <cell r="J930" t="str">
            <v>FELIPE MOTTA, S.A</v>
          </cell>
          <cell r="N930">
            <v>165</v>
          </cell>
        </row>
        <row r="931">
          <cell r="A931" t="str">
            <v>FELIPE MOTTA, S.A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165</v>
          </cell>
          <cell r="J931" t="str">
            <v>FELIPE MOTTA, S.A</v>
          </cell>
          <cell r="N931">
            <v>251</v>
          </cell>
        </row>
        <row r="932">
          <cell r="A932" t="str">
            <v>FELIPE MOTTA, S.A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251</v>
          </cell>
          <cell r="J932" t="str">
            <v>FELIPE MOTTA, S.A</v>
          </cell>
          <cell r="N932">
            <v>75</v>
          </cell>
        </row>
        <row r="933">
          <cell r="A933" t="str">
            <v>FELIPE MOTTA, S.A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75</v>
          </cell>
          <cell r="J933" t="str">
            <v>FELIPE MOTTA, S.A</v>
          </cell>
          <cell r="S933">
            <v>152</v>
          </cell>
        </row>
        <row r="934">
          <cell r="A934" t="str">
            <v>FELIPE MOTTA, S.A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152</v>
          </cell>
          <cell r="J934" t="str">
            <v>FELIPE MOTTA, S.A</v>
          </cell>
        </row>
        <row r="935">
          <cell r="A935" t="str">
            <v>FELIPE MOTTA, S.A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J935" t="str">
            <v>FELIPE MOTTA, S.A</v>
          </cell>
          <cell r="M935">
            <v>910</v>
          </cell>
        </row>
        <row r="936">
          <cell r="A936" t="str">
            <v>FELIPE MOTTA, S.A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910</v>
          </cell>
          <cell r="J936" t="str">
            <v>FELIPE MOTTA, S.A</v>
          </cell>
          <cell r="Q936">
            <v>4560</v>
          </cell>
        </row>
        <row r="937">
          <cell r="A937" t="str">
            <v>FELIPE MOTTA, S.A</v>
          </cell>
          <cell r="C937">
            <v>0</v>
          </cell>
          <cell r="D937">
            <v>680</v>
          </cell>
          <cell r="E937">
            <v>450</v>
          </cell>
          <cell r="F937">
            <v>450</v>
          </cell>
          <cell r="G937">
            <v>4560</v>
          </cell>
          <cell r="J937" t="str">
            <v>FELIPE MOTTA, S.A</v>
          </cell>
          <cell r="M937">
            <v>400</v>
          </cell>
        </row>
        <row r="938">
          <cell r="A938" t="str">
            <v>FELIPE MOTTA, S.A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400</v>
          </cell>
          <cell r="J938" t="str">
            <v>FELIPE MOTTA, S.A</v>
          </cell>
          <cell r="N938">
            <v>230</v>
          </cell>
        </row>
        <row r="939">
          <cell r="A939" t="str">
            <v>FELIPE MOTTA, S.A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230</v>
          </cell>
          <cell r="J939" t="str">
            <v>FELIPE MOTTA, S.A</v>
          </cell>
          <cell r="N939">
            <v>510</v>
          </cell>
        </row>
        <row r="940">
          <cell r="A940" t="str">
            <v>FELIPE MOTTA, S.A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510</v>
          </cell>
          <cell r="J940" t="str">
            <v>FELIPE MOTTA, S.A</v>
          </cell>
          <cell r="M940">
            <v>125</v>
          </cell>
        </row>
        <row r="941">
          <cell r="A941" t="str">
            <v>FELIPE MOTTA, S.A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125</v>
          </cell>
          <cell r="J941" t="str">
            <v>FELIPE MOTTA, S.A</v>
          </cell>
          <cell r="M941">
            <v>25</v>
          </cell>
        </row>
        <row r="942">
          <cell r="A942" t="str">
            <v>FELIPE MOTTA, S.A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25</v>
          </cell>
          <cell r="J942" t="str">
            <v>FELIPE MOTTA, S.A</v>
          </cell>
          <cell r="M942">
            <v>209</v>
          </cell>
        </row>
        <row r="943">
          <cell r="A943" t="str">
            <v>FELIPE MOTTA, S.A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209</v>
          </cell>
          <cell r="J943" t="str">
            <v>FELIPE MOTTA, S.A</v>
          </cell>
          <cell r="O943">
            <v>240</v>
          </cell>
        </row>
        <row r="944">
          <cell r="A944" t="str">
            <v>FELIPE MOTTA, S.A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240</v>
          </cell>
          <cell r="J944" t="str">
            <v>FELIPE MOTTA, S.A</v>
          </cell>
          <cell r="P944">
            <v>173</v>
          </cell>
        </row>
        <row r="945">
          <cell r="A945" t="str">
            <v>FELIPE MOTTA, S.A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173</v>
          </cell>
          <cell r="J945" t="str">
            <v>FELIPE MOTTA, S.A</v>
          </cell>
          <cell r="M945">
            <v>1300</v>
          </cell>
        </row>
        <row r="946">
          <cell r="A946" t="str">
            <v>FELIPE MOTTA, S.A</v>
          </cell>
          <cell r="C946">
            <v>100</v>
          </cell>
          <cell r="D946">
            <v>0</v>
          </cell>
          <cell r="E946">
            <v>0</v>
          </cell>
          <cell r="F946">
            <v>0</v>
          </cell>
          <cell r="G946">
            <v>1300</v>
          </cell>
          <cell r="J946" t="str">
            <v>FELIPE MOTTA, S.A</v>
          </cell>
          <cell r="N946">
            <v>0</v>
          </cell>
        </row>
        <row r="947">
          <cell r="A947" t="str">
            <v>FELIPE MOTTA, S.A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J947" t="str">
            <v>ORDEN DE MALTA PANAMA ASOCIACION PANAMEÑA</v>
          </cell>
          <cell r="M947">
            <v>325</v>
          </cell>
        </row>
        <row r="948">
          <cell r="A948" t="str">
            <v>ORDEN DE MALTA PANAMA ASOCIACION PANAMEÑA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325</v>
          </cell>
          <cell r="J948" t="str">
            <v>ORDEN DE MALTA PANAMA ASOCIACION PANAMEÑA</v>
          </cell>
          <cell r="O948">
            <v>30</v>
          </cell>
        </row>
        <row r="949">
          <cell r="A949" t="str">
            <v>ORDEN DE MALTA PANAMA ASOCIACION PANAMEÑA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30</v>
          </cell>
          <cell r="J949" t="str">
            <v>ORDEN DE MALTA PANAMA ASOCIACION PANAMEÑA</v>
          </cell>
          <cell r="P949">
            <v>102</v>
          </cell>
        </row>
        <row r="950">
          <cell r="A950" t="str">
            <v>ORDEN DE MALTA PANAMA ASOCIACION PANAMEÑA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102</v>
          </cell>
          <cell r="J950" t="str">
            <v>ORDEN DE MALTA PANAMA ASOCIACION PANAMEÑA</v>
          </cell>
          <cell r="N950">
            <v>70</v>
          </cell>
        </row>
        <row r="951">
          <cell r="A951" t="str">
            <v>ORDEN DE MALTA PANAMA ASOCIACION PANAMEÑA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70</v>
          </cell>
          <cell r="J951" t="str">
            <v>ORDEN DE MALTA PANAMA ASOCIACION PANAMEÑA</v>
          </cell>
          <cell r="Q951">
            <v>1060</v>
          </cell>
        </row>
        <row r="952">
          <cell r="A952" t="str">
            <v>ORDEN DE MALTA PANAMA ASOCIACION PANAMEÑA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1060</v>
          </cell>
          <cell r="J952" t="str">
            <v>ORDEN DE MALTA PANAMA ASOCIACION PANAMEÑA</v>
          </cell>
          <cell r="O952">
            <v>1090</v>
          </cell>
        </row>
        <row r="953">
          <cell r="A953" t="str">
            <v>ORDEN DE MALTA PANAMA ASOCIACION PANAMEÑA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1090</v>
          </cell>
          <cell r="J953" t="str">
            <v>ORDEN DE MALTA PANAMA ASOCIACION PANAMEÑA</v>
          </cell>
          <cell r="M953">
            <v>0</v>
          </cell>
        </row>
        <row r="954">
          <cell r="A954" t="str">
            <v>ORDEN DE MALTA PANAMA ASOCIACION PANAMEÑA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J954" t="str">
            <v>ORDEN DE MALTA PANAMA ASOCIACION PANAMEÑA</v>
          </cell>
          <cell r="N954">
            <v>70</v>
          </cell>
        </row>
        <row r="955">
          <cell r="A955" t="str">
            <v>ORDEN DE MALTA PANAMA ASOCIACION PANAMEÑA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70</v>
          </cell>
          <cell r="J955" t="str">
            <v>ORDEN DE MALTA PANAMA ASOCIACION PANAMEÑA</v>
          </cell>
          <cell r="N955">
            <v>60</v>
          </cell>
        </row>
        <row r="956">
          <cell r="A956" t="str">
            <v>ORDEN DE MALTA PANAMA ASOCIACION PANAMEÑA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60</v>
          </cell>
          <cell r="J956" t="str">
            <v>ORDEN DE MALTA PANAMA ASOCIACION PANAMEÑA</v>
          </cell>
          <cell r="N956">
            <v>264</v>
          </cell>
        </row>
        <row r="957">
          <cell r="A957" t="str">
            <v>ORDEN DE MALTA PANAMA ASOCIACION PANAMEÑA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264</v>
          </cell>
          <cell r="J957" t="str">
            <v>ORDEN DE MALTA PANAMA ASOCIACION PANAMEÑA</v>
          </cell>
          <cell r="T957">
            <v>115</v>
          </cell>
        </row>
        <row r="958">
          <cell r="A958" t="str">
            <v>ORDEN DE MALTA PANAMA ASOCIACION PANAMEÑA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115</v>
          </cell>
          <cell r="J958" t="str">
            <v>ORDEN DE MALTA PANAMA ASOCIACION PANAMEÑA</v>
          </cell>
          <cell r="S958">
            <v>179</v>
          </cell>
        </row>
        <row r="959">
          <cell r="A959" t="str">
            <v>ORDEN DE MALTA PANAMA ASOCIACION PANAMEÑA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179</v>
          </cell>
          <cell r="J959" t="str">
            <v>ORDEN DE MALTA PANAMA ASOCIACION PANAMEÑA</v>
          </cell>
          <cell r="N959">
            <v>50</v>
          </cell>
        </row>
        <row r="960">
          <cell r="A960" t="str">
            <v>ORDEN DE MALTA PANAMA ASOCIACION PANAMEÑA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50</v>
          </cell>
          <cell r="J960" t="str">
            <v>ORDEN DE MALTA PANAMA ASOCIACION PANAMEÑA</v>
          </cell>
          <cell r="T960">
            <v>73</v>
          </cell>
        </row>
        <row r="961">
          <cell r="A961" t="str">
            <v>ORDEN DE MALTA PANAMA ASOCIACION PANAMEÑA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73</v>
          </cell>
          <cell r="J961" t="str">
            <v>ORDEN DE MALTA PANAMA ASOCIACION PANAMEÑA</v>
          </cell>
          <cell r="N961">
            <v>0</v>
          </cell>
        </row>
        <row r="962">
          <cell r="A962" t="str">
            <v>ORDEN DE MALTA PANAMA ASOCIACION PANAMEÑA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J962" t="str">
            <v>ORDEN DE MALTA PANAMA ASOCIACION PANAMEÑA</v>
          </cell>
          <cell r="O962">
            <v>1200</v>
          </cell>
        </row>
        <row r="963">
          <cell r="A963" t="str">
            <v>ORDEN DE MALTA PANAMA ASOCIACION PANAMEÑA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1200</v>
          </cell>
          <cell r="J963" t="str">
            <v>ORDEN DE MALTA PANAMA ASOCIACION PANAMEÑA</v>
          </cell>
          <cell r="N963">
            <v>20</v>
          </cell>
        </row>
        <row r="964">
          <cell r="A964" t="str">
            <v>ORDEN DE MALTA PANAMA ASOCIACION PANAMEÑA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20</v>
          </cell>
          <cell r="J964" t="str">
            <v>ORDEN DE MALTA PANAMA ASOCIACION PANAMEÑA</v>
          </cell>
          <cell r="N964">
            <v>250</v>
          </cell>
        </row>
        <row r="965">
          <cell r="A965" t="str">
            <v>ORDEN DE MALTA PANAMA ASOCIACION PANAMEÑA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250</v>
          </cell>
          <cell r="J965" t="str">
            <v>ORDEN DE MALTA PANAMA ASOCIACION PANAMEÑA</v>
          </cell>
          <cell r="N965">
            <v>0</v>
          </cell>
        </row>
        <row r="966">
          <cell r="A966" t="str">
            <v>ORDEN DE MALTA PANAMA ASOCIACION PANAMEÑA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J966" t="str">
            <v>ORDEN DE MALTA PANAMA ASOCIACION PANAMEÑA</v>
          </cell>
          <cell r="N966">
            <v>50</v>
          </cell>
        </row>
        <row r="967">
          <cell r="A967" t="str">
            <v>ORDEN DE MALTA PANAMA ASOCIACION PANAMEÑA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50</v>
          </cell>
          <cell r="J967" t="str">
            <v>ORDEN DE MALTA PANAMA ASOCIACION PANAMEÑA</v>
          </cell>
          <cell r="U967">
            <v>305</v>
          </cell>
        </row>
        <row r="968">
          <cell r="A968" t="str">
            <v>ORDEN DE MALTA PANAMA ASOCIACION PANAMEÑA</v>
          </cell>
          <cell r="C968">
            <v>0</v>
          </cell>
          <cell r="D968">
            <v>40</v>
          </cell>
          <cell r="E968">
            <v>60</v>
          </cell>
          <cell r="F968">
            <v>40</v>
          </cell>
          <cell r="G968">
            <v>305</v>
          </cell>
          <cell r="J968" t="str">
            <v>ORDEN DE MALTA PANAMA ASOCIACION PANAMEÑA</v>
          </cell>
          <cell r="M968">
            <v>400</v>
          </cell>
        </row>
        <row r="969">
          <cell r="A969" t="str">
            <v>ORDEN DE MALTA PANAMA ASOCIACION PANAMEÑA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400</v>
          </cell>
          <cell r="J969" t="str">
            <v>ORDEN DE MALTA PANAMA ASOCIACION PANAMEÑA</v>
          </cell>
          <cell r="Q969">
            <v>496</v>
          </cell>
        </row>
        <row r="970">
          <cell r="A970" t="str">
            <v>ORDEN DE MALTA PANAMA ASOCIACION PANAMEÑA</v>
          </cell>
          <cell r="C970">
            <v>73</v>
          </cell>
          <cell r="D970">
            <v>0</v>
          </cell>
          <cell r="E970">
            <v>0</v>
          </cell>
          <cell r="F970">
            <v>0</v>
          </cell>
          <cell r="G970">
            <v>496</v>
          </cell>
          <cell r="J970" t="str">
            <v>ORDEN DE MALTA PANAMA ASOCIACION PANAMEÑA</v>
          </cell>
          <cell r="Q970">
            <v>4560</v>
          </cell>
        </row>
        <row r="971">
          <cell r="A971" t="str">
            <v>ORDEN DE MALTA PANAMA ASOCIACION PANAMEÑA</v>
          </cell>
          <cell r="C971">
            <v>0</v>
          </cell>
          <cell r="D971">
            <v>680</v>
          </cell>
          <cell r="E971">
            <v>450</v>
          </cell>
          <cell r="F971">
            <v>450</v>
          </cell>
          <cell r="G971">
            <v>4560</v>
          </cell>
          <cell r="J971" t="str">
            <v>ORDEN DE MALTA PANAMA ASOCIACION PANAMEÑA</v>
          </cell>
          <cell r="N971">
            <v>0</v>
          </cell>
        </row>
        <row r="972">
          <cell r="A972" t="str">
            <v>ORDEN DE MALTA PANAMA ASOCIACION PANAMEÑA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J972" t="str">
            <v>ORDEN DE MALTA PANAMA ASOCIACION PANAMEÑA</v>
          </cell>
          <cell r="W972">
            <v>628</v>
          </cell>
        </row>
        <row r="973">
          <cell r="A973" t="str">
            <v>ORDEN DE MALTA PANAMA ASOCIACION PANAMEÑA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628</v>
          </cell>
          <cell r="J973" t="str">
            <v>ORDEN DE MALTA PANAMA ASOCIACION PANAMEÑA</v>
          </cell>
          <cell r="W973">
            <v>0</v>
          </cell>
        </row>
        <row r="974">
          <cell r="A974" t="str">
            <v>ORDEN DE MALTA PANAMA ASOCIACION PANAMEÑA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J974" t="str">
            <v>ORDEN DE MALTA PANAMA ASOCIACION PANAMEÑA</v>
          </cell>
          <cell r="U974">
            <v>251</v>
          </cell>
        </row>
        <row r="975">
          <cell r="A975" t="str">
            <v>ORDEN DE MALTA PANAMA ASOCIACION PANAMEÑA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251</v>
          </cell>
          <cell r="J975" t="str">
            <v>ORDEN DE MALTA PANAMA ASOCIACION PANAMEÑA</v>
          </cell>
          <cell r="V975">
            <v>0</v>
          </cell>
        </row>
        <row r="976">
          <cell r="A976" t="str">
            <v>ORDEN DE MALTA PANAMA ASOCIACION PANAMEÑA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J976" t="str">
            <v>ORDEN DE MALTA PANAMA ASOCIACION PANAMEÑA</v>
          </cell>
          <cell r="V976">
            <v>0</v>
          </cell>
        </row>
        <row r="977">
          <cell r="A977" t="str">
            <v>ORDEN DE MALTA PANAMA ASOCIACION PANAMEÑA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J977" t="str">
            <v>ORDEN DE MALTA PANAMA ASOCIACION PANAMEÑA</v>
          </cell>
          <cell r="M977">
            <v>0</v>
          </cell>
        </row>
        <row r="978">
          <cell r="A978" t="str">
            <v>ORDEN DE MALTA PANAMA ASOCIACION PANAMEÑA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J978" t="str">
            <v>ORDEN DE MALTA PANAMA ASOCIACION PANAMEÑA</v>
          </cell>
          <cell r="M978">
            <v>200</v>
          </cell>
        </row>
        <row r="979">
          <cell r="A979" t="str">
            <v>ORDEN DE MALTA PANAMA ASOCIACION PANAMEÑA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200</v>
          </cell>
          <cell r="J979" t="str">
            <v>ORDEN DE MALTA PANAMA ASOCIACION PANAMEÑA</v>
          </cell>
          <cell r="V979">
            <v>0</v>
          </cell>
        </row>
        <row r="980">
          <cell r="A980" t="str">
            <v>ORDEN DE MALTA PANAMA ASOCIACION PANAMEÑA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J980" t="str">
            <v>ORDEN DE MALTA PANAMA ASOCIACION PANAMEÑA</v>
          </cell>
          <cell r="U980">
            <v>696</v>
          </cell>
        </row>
        <row r="981">
          <cell r="A981" t="str">
            <v>ORDEN DE MALTA PANAMA ASOCIACION PANAMEÑA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696</v>
          </cell>
          <cell r="J981" t="str">
            <v>ORDEN DE MALTA PANAMA ASOCIACION PANAMEÑA</v>
          </cell>
          <cell r="T981">
            <v>0</v>
          </cell>
        </row>
        <row r="982">
          <cell r="A982" t="str">
            <v>ORDEN DE MALTA PANAMA ASOCIACION PANAMEÑA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J982" t="str">
            <v>ORDEN DE MALTA PANAMA ASOCIACION PANAMEÑA</v>
          </cell>
          <cell r="Y982">
            <v>50</v>
          </cell>
        </row>
        <row r="983">
          <cell r="A983" t="str">
            <v>ORDEN DE MALTA PANAMA ASOCIACION PANAMEÑA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50</v>
          </cell>
          <cell r="J983" t="str">
            <v>ORDEN DE MALTA PANAMA ASOCIACION PANAMEÑA</v>
          </cell>
          <cell r="V983">
            <v>430</v>
          </cell>
        </row>
        <row r="984">
          <cell r="A984" t="str">
            <v>ORDEN DE MALTA PANAMA ASOCIACION PANAMEÑA</v>
          </cell>
          <cell r="C984">
            <v>160</v>
          </cell>
          <cell r="D984">
            <v>0</v>
          </cell>
          <cell r="E984">
            <v>0</v>
          </cell>
          <cell r="F984">
            <v>0</v>
          </cell>
          <cell r="G984">
            <v>430</v>
          </cell>
          <cell r="J984" t="str">
            <v>ORDEN DE MALTA PANAMA ASOCIACION PANAMEÑA</v>
          </cell>
          <cell r="U984">
            <v>300</v>
          </cell>
        </row>
        <row r="985">
          <cell r="A985" t="str">
            <v>ORDEN DE MALTA PANAMA ASOCIACION PANAMEÑA</v>
          </cell>
          <cell r="C985">
            <v>300</v>
          </cell>
          <cell r="D985">
            <v>0</v>
          </cell>
          <cell r="E985">
            <v>0</v>
          </cell>
          <cell r="F985">
            <v>0</v>
          </cell>
          <cell r="G985">
            <v>300</v>
          </cell>
          <cell r="J985" t="str">
            <v>ORDEN DE MALTA PANAMA ASOCIACION PANAMEÑA</v>
          </cell>
          <cell r="T985">
            <v>240</v>
          </cell>
        </row>
        <row r="986">
          <cell r="A986" t="str">
            <v>ORDEN DE MALTA PANAMA ASOCIACION PANAMEÑA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240</v>
          </cell>
          <cell r="J986" t="str">
            <v>ORDEN DE MALTA PANAMA ASOCIACION PANAMEÑA</v>
          </cell>
          <cell r="U986">
            <v>80</v>
          </cell>
        </row>
        <row r="987">
          <cell r="A987" t="str">
            <v>ORDEN DE MALTA PANAMA ASOCIACION PANAMEÑA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80</v>
          </cell>
          <cell r="J987" t="str">
            <v>Grupo Calesa</v>
          </cell>
          <cell r="O987">
            <v>30</v>
          </cell>
        </row>
        <row r="988">
          <cell r="A988" t="str">
            <v>Grupo Calesa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30</v>
          </cell>
          <cell r="J988" t="str">
            <v>Grupo Calesa</v>
          </cell>
          <cell r="Q988">
            <v>1060</v>
          </cell>
        </row>
        <row r="989">
          <cell r="A989" t="str">
            <v>Grupo Calesa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1060</v>
          </cell>
          <cell r="J989" t="str">
            <v>Grupo Calesa</v>
          </cell>
          <cell r="N989">
            <v>250</v>
          </cell>
        </row>
        <row r="990">
          <cell r="A990" t="str">
            <v>Grupo Calesa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250</v>
          </cell>
          <cell r="J990" t="str">
            <v>Grupo Calesa</v>
          </cell>
          <cell r="N990">
            <v>282</v>
          </cell>
        </row>
        <row r="991">
          <cell r="A991" t="str">
            <v>Grupo Calesa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282</v>
          </cell>
          <cell r="J991" t="str">
            <v>Grupo Calesa</v>
          </cell>
          <cell r="N991">
            <v>467</v>
          </cell>
        </row>
        <row r="992">
          <cell r="A992" t="str">
            <v>Grupo Calesa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467</v>
          </cell>
          <cell r="J992" t="str">
            <v>Grupo Calesa</v>
          </cell>
          <cell r="N992">
            <v>70</v>
          </cell>
        </row>
        <row r="993">
          <cell r="A993" t="str">
            <v>Grupo Calesa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70</v>
          </cell>
          <cell r="J993" t="str">
            <v>Grupo Calesa</v>
          </cell>
          <cell r="M993">
            <v>215</v>
          </cell>
        </row>
        <row r="994">
          <cell r="A994" t="str">
            <v>Grupo Calesa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215</v>
          </cell>
          <cell r="J994" t="str">
            <v>Grupo Calesa</v>
          </cell>
          <cell r="Q994">
            <v>57</v>
          </cell>
        </row>
        <row r="995">
          <cell r="A995" t="str">
            <v>Grupo Calesa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57</v>
          </cell>
          <cell r="J995" t="str">
            <v>Grupo Calesa</v>
          </cell>
          <cell r="O995">
            <v>60</v>
          </cell>
        </row>
        <row r="996">
          <cell r="A996" t="str">
            <v>Grupo Calesa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60</v>
          </cell>
          <cell r="J996" t="str">
            <v>Grupo Calesa</v>
          </cell>
          <cell r="N996">
            <v>50</v>
          </cell>
        </row>
        <row r="997">
          <cell r="A997" t="str">
            <v>Grupo Calesa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50</v>
          </cell>
          <cell r="J997" t="str">
            <v>Grupo Calesa</v>
          </cell>
          <cell r="N997">
            <v>162</v>
          </cell>
        </row>
        <row r="998">
          <cell r="A998" t="str">
            <v>Grupo Calesa</v>
          </cell>
          <cell r="C998">
            <v>162</v>
          </cell>
          <cell r="D998">
            <v>0</v>
          </cell>
          <cell r="E998">
            <v>0</v>
          </cell>
          <cell r="F998">
            <v>0</v>
          </cell>
          <cell r="G998">
            <v>162</v>
          </cell>
          <cell r="J998" t="str">
            <v>Grupo Calesa</v>
          </cell>
          <cell r="R998">
            <v>181</v>
          </cell>
        </row>
        <row r="999">
          <cell r="A999" t="str">
            <v>Grupo Calesa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181</v>
          </cell>
          <cell r="J999" t="str">
            <v>Grupo Calesa</v>
          </cell>
          <cell r="N999">
            <v>201</v>
          </cell>
        </row>
        <row r="1000">
          <cell r="A1000" t="str">
            <v>Grupo Calesa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201</v>
          </cell>
          <cell r="J1000" t="str">
            <v>Grupo Calesa</v>
          </cell>
          <cell r="N1000">
            <v>20</v>
          </cell>
        </row>
        <row r="1001">
          <cell r="A1001" t="str">
            <v>Grupo Calesa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20</v>
          </cell>
          <cell r="J1001" t="str">
            <v>Grupo Calesa</v>
          </cell>
          <cell r="N1001">
            <v>251</v>
          </cell>
        </row>
        <row r="1002">
          <cell r="A1002" t="str">
            <v>Grupo Calesa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251</v>
          </cell>
          <cell r="J1002" t="str">
            <v>Grupo Calesa</v>
          </cell>
          <cell r="O1002">
            <v>219</v>
          </cell>
        </row>
        <row r="1003">
          <cell r="A1003" t="str">
            <v>Grupo Calesa</v>
          </cell>
          <cell r="C1003">
            <v>0</v>
          </cell>
          <cell r="D1003">
            <v>16</v>
          </cell>
          <cell r="E1003">
            <v>19</v>
          </cell>
          <cell r="F1003">
            <v>19</v>
          </cell>
          <cell r="G1003">
            <v>219</v>
          </cell>
          <cell r="J1003" t="str">
            <v>Grupo Calesa</v>
          </cell>
          <cell r="M1003">
            <v>265</v>
          </cell>
        </row>
        <row r="1004">
          <cell r="A1004" t="str">
            <v>Grupo Calesa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265</v>
          </cell>
          <cell r="J1004" t="str">
            <v>Grupo Calesa</v>
          </cell>
          <cell r="S1004">
            <v>152</v>
          </cell>
        </row>
        <row r="1005">
          <cell r="A1005" t="str">
            <v>Grupo Calesa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152</v>
          </cell>
          <cell r="J1005" t="str">
            <v>Grupo Calesa</v>
          </cell>
          <cell r="M1005">
            <v>400</v>
          </cell>
        </row>
        <row r="1006">
          <cell r="A1006" t="str">
            <v>Grupo Calesa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400</v>
          </cell>
          <cell r="J1006" t="str">
            <v>Grupo Calesa</v>
          </cell>
          <cell r="M1006">
            <v>100</v>
          </cell>
        </row>
        <row r="1007">
          <cell r="A1007" t="str">
            <v>Grupo Calesa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100</v>
          </cell>
          <cell r="J1007" t="str">
            <v>Grupo Calesa</v>
          </cell>
          <cell r="N1007">
            <v>230</v>
          </cell>
        </row>
        <row r="1008">
          <cell r="A1008" t="str">
            <v>Grupo Calesa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230</v>
          </cell>
          <cell r="J1008" t="str">
            <v>Grupo Calesa</v>
          </cell>
          <cell r="M1008">
            <v>352</v>
          </cell>
        </row>
        <row r="1009">
          <cell r="A1009" t="str">
            <v>Grupo Calesa</v>
          </cell>
          <cell r="C1009">
            <v>225</v>
          </cell>
          <cell r="D1009">
            <v>0</v>
          </cell>
          <cell r="E1009">
            <v>0</v>
          </cell>
          <cell r="F1009">
            <v>0</v>
          </cell>
          <cell r="G1009">
            <v>352</v>
          </cell>
          <cell r="J1009" t="str">
            <v>Grupo Calesa</v>
          </cell>
          <cell r="N1009">
            <v>97</v>
          </cell>
        </row>
        <row r="1010">
          <cell r="A1010" t="str">
            <v>Grupo Calesa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97</v>
          </cell>
          <cell r="J1010" t="str">
            <v>Grupo Calesa</v>
          </cell>
          <cell r="M1010">
            <v>77</v>
          </cell>
        </row>
        <row r="1011">
          <cell r="A1011" t="str">
            <v>Grupo Calesa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77</v>
          </cell>
          <cell r="J1011" t="str">
            <v>Grupo Calesa</v>
          </cell>
          <cell r="M1011">
            <v>0</v>
          </cell>
        </row>
        <row r="1012">
          <cell r="A1012" t="str">
            <v>Grupo Calesa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J1012" t="str">
            <v>Grupo Calesa</v>
          </cell>
          <cell r="N1012">
            <v>0</v>
          </cell>
        </row>
        <row r="1013">
          <cell r="A1013" t="str">
            <v>Grupo Calesa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J1013" t="str">
            <v>Grupo Calesa</v>
          </cell>
          <cell r="M1013">
            <v>1300</v>
          </cell>
        </row>
        <row r="1014">
          <cell r="A1014" t="str">
            <v>Grupo Calesa</v>
          </cell>
          <cell r="C1014">
            <v>100</v>
          </cell>
          <cell r="D1014">
            <v>0</v>
          </cell>
          <cell r="E1014">
            <v>0</v>
          </cell>
          <cell r="F1014">
            <v>0</v>
          </cell>
          <cell r="G1014">
            <v>1300</v>
          </cell>
          <cell r="J1014" t="str">
            <v>Grupo Calesa</v>
          </cell>
          <cell r="M1014">
            <v>630</v>
          </cell>
        </row>
        <row r="1015">
          <cell r="A1015" t="str">
            <v>Grupo Calesa</v>
          </cell>
          <cell r="C1015">
            <v>0</v>
          </cell>
          <cell r="D1015">
            <v>120</v>
          </cell>
          <cell r="E1015">
            <v>180</v>
          </cell>
          <cell r="F1015">
            <v>60</v>
          </cell>
          <cell r="G1015">
            <v>630</v>
          </cell>
          <cell r="J1015" t="str">
            <v>NESTLE PANAMA</v>
          </cell>
          <cell r="M1015">
            <v>325</v>
          </cell>
        </row>
        <row r="1016">
          <cell r="A1016" t="str">
            <v>NESTLE PANAMA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325</v>
          </cell>
          <cell r="J1016" t="str">
            <v>NESTLE PANAMA</v>
          </cell>
          <cell r="N1016">
            <v>212</v>
          </cell>
        </row>
        <row r="1017">
          <cell r="A1017" t="str">
            <v>NESTLE PANAMA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212</v>
          </cell>
          <cell r="J1017" t="str">
            <v>NESTLE PANAMA</v>
          </cell>
          <cell r="O1017">
            <v>30</v>
          </cell>
        </row>
        <row r="1018">
          <cell r="A1018" t="str">
            <v>NESTLE PANAMA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30</v>
          </cell>
          <cell r="J1018" t="str">
            <v>NESTLE PANAMA</v>
          </cell>
          <cell r="P1018">
            <v>102</v>
          </cell>
        </row>
        <row r="1019">
          <cell r="A1019" t="str">
            <v>NESTLE PANAMA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102</v>
          </cell>
          <cell r="J1019" t="str">
            <v>NESTLE PANAMA</v>
          </cell>
          <cell r="N1019">
            <v>100</v>
          </cell>
        </row>
        <row r="1020">
          <cell r="A1020" t="str">
            <v>NESTLE PANAMA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100</v>
          </cell>
          <cell r="J1020" t="str">
            <v>NESTLE PANAMA</v>
          </cell>
          <cell r="O1020">
            <v>180</v>
          </cell>
        </row>
        <row r="1021">
          <cell r="A1021" t="str">
            <v>NESTLE PANAMA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180</v>
          </cell>
          <cell r="J1021" t="str">
            <v>NESTLE PANAMA</v>
          </cell>
          <cell r="N1021">
            <v>70</v>
          </cell>
        </row>
        <row r="1022">
          <cell r="A1022" t="str">
            <v>NESTLE PANAMA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70</v>
          </cell>
          <cell r="J1022" t="str">
            <v>NESTLE PANAMA</v>
          </cell>
          <cell r="Q1022">
            <v>1060</v>
          </cell>
        </row>
        <row r="1023">
          <cell r="A1023" t="str">
            <v>NESTLE PANAMA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1060</v>
          </cell>
          <cell r="J1023" t="str">
            <v>NESTLE PANAMA</v>
          </cell>
          <cell r="N1023">
            <v>100</v>
          </cell>
        </row>
        <row r="1024">
          <cell r="A1024" t="str">
            <v>NESTLE PANAMA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100</v>
          </cell>
          <cell r="J1024" t="str">
            <v>NESTLE PANAMA</v>
          </cell>
          <cell r="R1024">
            <v>180</v>
          </cell>
        </row>
        <row r="1025">
          <cell r="A1025" t="str">
            <v>NESTLE PANAMA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180</v>
          </cell>
          <cell r="J1025" t="str">
            <v>NESTLE PANAMA</v>
          </cell>
          <cell r="R1025">
            <v>40</v>
          </cell>
        </row>
        <row r="1026">
          <cell r="A1026" t="str">
            <v>NESTLE PANAMA</v>
          </cell>
          <cell r="C1026">
            <v>40</v>
          </cell>
          <cell r="D1026">
            <v>0</v>
          </cell>
          <cell r="E1026">
            <v>0</v>
          </cell>
          <cell r="F1026">
            <v>0</v>
          </cell>
          <cell r="G1026">
            <v>40</v>
          </cell>
          <cell r="J1026" t="str">
            <v>NESTLE PANAMA</v>
          </cell>
          <cell r="S1026">
            <v>73</v>
          </cell>
        </row>
        <row r="1027">
          <cell r="A1027" t="str">
            <v>NESTLE PANAMA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73</v>
          </cell>
          <cell r="J1027" t="str">
            <v>NESTLE PANAMA</v>
          </cell>
          <cell r="O1027">
            <v>65</v>
          </cell>
        </row>
        <row r="1028">
          <cell r="A1028" t="str">
            <v>NESTLE PANAMA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65</v>
          </cell>
          <cell r="J1028" t="str">
            <v>NESTLE PANAMA</v>
          </cell>
          <cell r="N1028">
            <v>70</v>
          </cell>
        </row>
        <row r="1029">
          <cell r="A1029" t="str">
            <v>NESTLE PANAMA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70</v>
          </cell>
          <cell r="J1029" t="str">
            <v>NESTLE PANAMA</v>
          </cell>
          <cell r="O1029">
            <v>1090</v>
          </cell>
        </row>
        <row r="1030">
          <cell r="A1030" t="str">
            <v>NESTLE PANAMA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1090</v>
          </cell>
          <cell r="J1030" t="str">
            <v>NESTLE PANAMA</v>
          </cell>
          <cell r="M1030">
            <v>0</v>
          </cell>
        </row>
        <row r="1031">
          <cell r="A1031" t="str">
            <v>NESTLE PANAMA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J1031" t="str">
            <v>NESTLE PANAMA</v>
          </cell>
          <cell r="N1031">
            <v>282</v>
          </cell>
        </row>
        <row r="1032">
          <cell r="A1032" t="str">
            <v>NESTLE PANAMA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282</v>
          </cell>
          <cell r="J1032" t="str">
            <v>NESTLE PANAMA</v>
          </cell>
          <cell r="N1032">
            <v>467</v>
          </cell>
        </row>
        <row r="1033">
          <cell r="A1033" t="str">
            <v>NESTLE PANAMA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467</v>
          </cell>
          <cell r="J1033" t="str">
            <v>NESTLE PANAMA</v>
          </cell>
          <cell r="T1033">
            <v>82</v>
          </cell>
        </row>
        <row r="1034">
          <cell r="A1034" t="str">
            <v>NESTLE PANAMA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82</v>
          </cell>
          <cell r="J1034" t="str">
            <v>NESTLE PANAMA</v>
          </cell>
          <cell r="N1034">
            <v>38</v>
          </cell>
        </row>
        <row r="1035">
          <cell r="A1035" t="str">
            <v>NESTLE PANAMA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38</v>
          </cell>
          <cell r="J1035" t="str">
            <v>NESTLE PANAMA</v>
          </cell>
          <cell r="N1035">
            <v>70</v>
          </cell>
        </row>
        <row r="1036">
          <cell r="A1036" t="str">
            <v>NESTLE PANAMA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70</v>
          </cell>
          <cell r="J1036" t="str">
            <v>NESTLE PANAMA</v>
          </cell>
          <cell r="N1036">
            <v>130</v>
          </cell>
        </row>
        <row r="1037">
          <cell r="A1037" t="str">
            <v>NESTLE PANAMA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130</v>
          </cell>
          <cell r="J1037" t="str">
            <v>NESTLE PANAMA</v>
          </cell>
          <cell r="N1037">
            <v>62</v>
          </cell>
        </row>
        <row r="1038">
          <cell r="A1038" t="str">
            <v>NESTLE PANAMA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62</v>
          </cell>
          <cell r="J1038" t="str">
            <v>NESTLE PANAMA</v>
          </cell>
          <cell r="O1038">
            <v>116</v>
          </cell>
        </row>
        <row r="1039">
          <cell r="A1039" t="str">
            <v>NESTLE PANAMA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116</v>
          </cell>
          <cell r="J1039" t="str">
            <v>NESTLE PANAMA</v>
          </cell>
          <cell r="N1039">
            <v>542</v>
          </cell>
        </row>
        <row r="1040">
          <cell r="A1040" t="str">
            <v>NESTLE PANAMA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542</v>
          </cell>
          <cell r="J1040" t="str">
            <v>NESTLE PANAMA</v>
          </cell>
          <cell r="S1040">
            <v>211</v>
          </cell>
        </row>
        <row r="1041">
          <cell r="A1041" t="str">
            <v>NESTLE PANAMA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211</v>
          </cell>
          <cell r="J1041" t="str">
            <v>NESTLE PANAMA</v>
          </cell>
          <cell r="O1041">
            <v>138</v>
          </cell>
        </row>
        <row r="1042">
          <cell r="A1042" t="str">
            <v>NESTLE PANAMA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138</v>
          </cell>
          <cell r="J1042" t="str">
            <v>NESTLE PANAMA</v>
          </cell>
          <cell r="N1042">
            <v>147</v>
          </cell>
        </row>
        <row r="1043">
          <cell r="A1043" t="str">
            <v>NESTLE PANAMA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147</v>
          </cell>
          <cell r="J1043" t="str">
            <v>NESTLE PANAMA</v>
          </cell>
          <cell r="S1043">
            <v>52</v>
          </cell>
        </row>
        <row r="1044">
          <cell r="A1044" t="str">
            <v>NESTLE PANAMA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52</v>
          </cell>
          <cell r="J1044" t="str">
            <v>NESTLE PANAMA</v>
          </cell>
          <cell r="N1044">
            <v>62</v>
          </cell>
        </row>
        <row r="1045">
          <cell r="A1045" t="str">
            <v>NESTLE PANAMA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62</v>
          </cell>
          <cell r="J1045" t="str">
            <v>NESTLE PANAMA</v>
          </cell>
          <cell r="M1045">
            <v>215</v>
          </cell>
        </row>
        <row r="1046">
          <cell r="A1046" t="str">
            <v>NESTLE PANAMA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215</v>
          </cell>
          <cell r="J1046" t="str">
            <v>NESTLE PANAMA</v>
          </cell>
          <cell r="T1046">
            <v>84</v>
          </cell>
        </row>
        <row r="1047">
          <cell r="A1047" t="str">
            <v>NESTLE PANAMA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84</v>
          </cell>
          <cell r="J1047" t="str">
            <v>NESTLE PANAMA</v>
          </cell>
          <cell r="N1047">
            <v>105</v>
          </cell>
        </row>
        <row r="1048">
          <cell r="A1048" t="str">
            <v>NESTLE PANAMA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105</v>
          </cell>
          <cell r="J1048" t="str">
            <v>NESTLE PANAMA</v>
          </cell>
          <cell r="M1048">
            <v>100</v>
          </cell>
        </row>
        <row r="1049">
          <cell r="A1049" t="str">
            <v>NESTLE PANAMA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100</v>
          </cell>
          <cell r="J1049" t="str">
            <v>NESTLE PANAMA</v>
          </cell>
          <cell r="N1049">
            <v>264</v>
          </cell>
        </row>
        <row r="1050">
          <cell r="A1050" t="str">
            <v>NESTLE PANAMA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264</v>
          </cell>
          <cell r="J1050" t="str">
            <v>NESTLE PANAMA</v>
          </cell>
          <cell r="Q1050">
            <v>57</v>
          </cell>
        </row>
        <row r="1051">
          <cell r="A1051" t="str">
            <v>NESTLE PANAMA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57</v>
          </cell>
          <cell r="J1051" t="str">
            <v>NESTLE PANAMA</v>
          </cell>
          <cell r="O1051">
            <v>60</v>
          </cell>
        </row>
        <row r="1052">
          <cell r="A1052" t="str">
            <v>NESTLE PANAMA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60</v>
          </cell>
          <cell r="J1052" t="str">
            <v>NESTLE PANAMA</v>
          </cell>
          <cell r="T1052">
            <v>115</v>
          </cell>
        </row>
        <row r="1053">
          <cell r="A1053" t="str">
            <v>NESTLE PANAMA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115</v>
          </cell>
          <cell r="J1053" t="str">
            <v>NESTLE PANAMA</v>
          </cell>
          <cell r="S1053">
            <v>179</v>
          </cell>
        </row>
        <row r="1054">
          <cell r="A1054" t="str">
            <v>NESTLE PANAMA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179</v>
          </cell>
          <cell r="J1054" t="str">
            <v>NESTLE PANAMA</v>
          </cell>
          <cell r="N1054">
            <v>50</v>
          </cell>
        </row>
        <row r="1055">
          <cell r="A1055" t="str">
            <v>NESTLE PANAMA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50</v>
          </cell>
          <cell r="J1055" t="str">
            <v>NESTLE PANAMA</v>
          </cell>
          <cell r="N1055">
            <v>162</v>
          </cell>
        </row>
        <row r="1056">
          <cell r="A1056" t="str">
            <v>NESTLE PANAMA</v>
          </cell>
          <cell r="C1056">
            <v>162</v>
          </cell>
          <cell r="D1056">
            <v>0</v>
          </cell>
          <cell r="E1056">
            <v>0</v>
          </cell>
          <cell r="F1056">
            <v>0</v>
          </cell>
          <cell r="G1056">
            <v>162</v>
          </cell>
          <cell r="J1056" t="str">
            <v>NESTLE PANAMA</v>
          </cell>
          <cell r="N1056">
            <v>86</v>
          </cell>
        </row>
        <row r="1057">
          <cell r="A1057" t="str">
            <v>NESTLE PANAMA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86</v>
          </cell>
          <cell r="J1057" t="str">
            <v>NESTLE PANAMA</v>
          </cell>
          <cell r="M1057">
            <v>201</v>
          </cell>
        </row>
        <row r="1058">
          <cell r="A1058" t="str">
            <v>NESTLE PANAMA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201</v>
          </cell>
          <cell r="J1058" t="str">
            <v>NESTLE PANAMA</v>
          </cell>
          <cell r="T1058">
            <v>73</v>
          </cell>
        </row>
        <row r="1059">
          <cell r="A1059" t="str">
            <v>NESTLE PANAMA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73</v>
          </cell>
          <cell r="J1059" t="str">
            <v>NESTLE PANAMA</v>
          </cell>
          <cell r="R1059">
            <v>181</v>
          </cell>
        </row>
        <row r="1060">
          <cell r="A1060" t="str">
            <v>NESTLE PANAMA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181</v>
          </cell>
          <cell r="J1060" t="str">
            <v>NESTLE PANAMA</v>
          </cell>
          <cell r="T1060">
            <v>635</v>
          </cell>
        </row>
        <row r="1061">
          <cell r="A1061" t="str">
            <v>NESTLE PANAMA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635</v>
          </cell>
          <cell r="J1061" t="str">
            <v>NESTLE PANAMA</v>
          </cell>
          <cell r="N1061">
            <v>201</v>
          </cell>
        </row>
        <row r="1062">
          <cell r="A1062" t="str">
            <v>NESTLE PANAMA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201</v>
          </cell>
          <cell r="J1062" t="str">
            <v>NESTLE PANAMA</v>
          </cell>
          <cell r="N1062">
            <v>0</v>
          </cell>
        </row>
        <row r="1063">
          <cell r="A1063" t="str">
            <v>NESTLE PANAMA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J1063" t="str">
            <v>NESTLE PANAMA</v>
          </cell>
          <cell r="M1063">
            <v>150</v>
          </cell>
        </row>
        <row r="1064">
          <cell r="A1064" t="str">
            <v>NESTLE PANAMA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150</v>
          </cell>
          <cell r="J1064" t="str">
            <v>NESTLE PANAMA</v>
          </cell>
          <cell r="O1064">
            <v>1200</v>
          </cell>
        </row>
        <row r="1065">
          <cell r="A1065" t="str">
            <v>NESTLE PANAMA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1200</v>
          </cell>
          <cell r="J1065" t="str">
            <v>NESTLE PANAMA</v>
          </cell>
          <cell r="N1065">
            <v>20</v>
          </cell>
        </row>
        <row r="1066">
          <cell r="A1066" t="str">
            <v>NESTLE PANAMA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20</v>
          </cell>
          <cell r="J1066" t="str">
            <v>NESTLE PANAMA</v>
          </cell>
          <cell r="S1066">
            <v>110</v>
          </cell>
        </row>
        <row r="1067">
          <cell r="A1067" t="str">
            <v>NESTLE PANAMA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110</v>
          </cell>
          <cell r="J1067" t="str">
            <v>NESTLE PANAMA</v>
          </cell>
          <cell r="M1067">
            <v>390</v>
          </cell>
        </row>
        <row r="1068">
          <cell r="A1068" t="str">
            <v>NESTLE PANAMA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390</v>
          </cell>
          <cell r="J1068" t="str">
            <v>NESTLE PANAMA</v>
          </cell>
          <cell r="N1068">
            <v>250</v>
          </cell>
        </row>
        <row r="1069">
          <cell r="A1069" t="str">
            <v>NESTLE PANAMA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250</v>
          </cell>
          <cell r="J1069" t="str">
            <v>NESTLE PANAMA</v>
          </cell>
          <cell r="N1069">
            <v>120</v>
          </cell>
        </row>
        <row r="1070">
          <cell r="A1070" t="str">
            <v>NESTLE PANAMA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120</v>
          </cell>
          <cell r="J1070" t="str">
            <v>NESTLE PANAMA</v>
          </cell>
          <cell r="N1070">
            <v>356</v>
          </cell>
        </row>
        <row r="1071">
          <cell r="A1071" t="str">
            <v>NESTLE PANAMA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356</v>
          </cell>
          <cell r="J1071" t="str">
            <v>NESTLE PANAMA</v>
          </cell>
          <cell r="N1071">
            <v>90</v>
          </cell>
        </row>
        <row r="1072">
          <cell r="A1072" t="str">
            <v>NESTLE PANAMA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90</v>
          </cell>
          <cell r="J1072" t="str">
            <v>NESTLE PANAMA</v>
          </cell>
          <cell r="N1072">
            <v>22</v>
          </cell>
        </row>
        <row r="1073">
          <cell r="A1073" t="str">
            <v>NESTLE PANAMA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22</v>
          </cell>
          <cell r="J1073" t="str">
            <v>NESTLE PANAMA</v>
          </cell>
          <cell r="N1073">
            <v>230</v>
          </cell>
        </row>
        <row r="1074">
          <cell r="A1074" t="str">
            <v>NESTLE PANAMA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230</v>
          </cell>
          <cell r="J1074" t="str">
            <v>NESTLE PANAMA</v>
          </cell>
          <cell r="N1074">
            <v>103</v>
          </cell>
        </row>
        <row r="1075">
          <cell r="A1075" t="str">
            <v>NESTLE PANAMA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103</v>
          </cell>
          <cell r="J1075" t="str">
            <v>NESTLE PANAMA</v>
          </cell>
          <cell r="N1075">
            <v>0</v>
          </cell>
        </row>
        <row r="1076">
          <cell r="A1076" t="str">
            <v>NESTLE PANAMA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J1076" t="str">
            <v>NESTLE PANAMA</v>
          </cell>
          <cell r="N1076">
            <v>165</v>
          </cell>
        </row>
        <row r="1077">
          <cell r="A1077" t="str">
            <v>NESTLE PANAMA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165</v>
          </cell>
          <cell r="J1077" t="str">
            <v>NESTLE PANAMA</v>
          </cell>
          <cell r="N1077">
            <v>456</v>
          </cell>
        </row>
        <row r="1078">
          <cell r="A1078" t="str">
            <v>NESTLE PANAMA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456</v>
          </cell>
          <cell r="J1078" t="str">
            <v>NESTLE PANAMA</v>
          </cell>
          <cell r="N1078">
            <v>251</v>
          </cell>
        </row>
        <row r="1079">
          <cell r="A1079" t="str">
            <v>NESTLE PANAMA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251</v>
          </cell>
          <cell r="J1079" t="str">
            <v>NESTLE PANAMA</v>
          </cell>
          <cell r="N1079">
            <v>60</v>
          </cell>
        </row>
        <row r="1080">
          <cell r="A1080" t="str">
            <v>NESTLE PANAMA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60</v>
          </cell>
          <cell r="J1080" t="str">
            <v>NESTLE PANAMA</v>
          </cell>
          <cell r="N1080">
            <v>75</v>
          </cell>
        </row>
        <row r="1081">
          <cell r="A1081" t="str">
            <v>NESTLE PANAMA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75</v>
          </cell>
          <cell r="J1081" t="str">
            <v>NESTLE PANAMA</v>
          </cell>
          <cell r="O1081">
            <v>1017</v>
          </cell>
        </row>
        <row r="1082">
          <cell r="A1082" t="str">
            <v>NESTLE PANAMA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1017</v>
          </cell>
          <cell r="J1082" t="str">
            <v>NESTLE PANAMA</v>
          </cell>
          <cell r="N1082">
            <v>50</v>
          </cell>
        </row>
        <row r="1083">
          <cell r="A1083" t="str">
            <v>NESTLE PANAMA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50</v>
          </cell>
          <cell r="J1083" t="str">
            <v>NESTLE PANAMA</v>
          </cell>
          <cell r="O1083">
            <v>219</v>
          </cell>
        </row>
        <row r="1084">
          <cell r="A1084" t="str">
            <v>NESTLE PANAMA</v>
          </cell>
          <cell r="C1084">
            <v>0</v>
          </cell>
          <cell r="D1084">
            <v>16</v>
          </cell>
          <cell r="E1084">
            <v>19</v>
          </cell>
          <cell r="F1084">
            <v>19</v>
          </cell>
          <cell r="G1084">
            <v>219</v>
          </cell>
          <cell r="J1084" t="str">
            <v>NESTLE PANAMA</v>
          </cell>
          <cell r="Q1084">
            <v>83</v>
          </cell>
        </row>
        <row r="1085">
          <cell r="A1085" t="str">
            <v>NESTLE PANAMA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83</v>
          </cell>
          <cell r="J1085" t="str">
            <v>NESTLE PANAMA</v>
          </cell>
          <cell r="S1085">
            <v>152</v>
          </cell>
        </row>
        <row r="1086">
          <cell r="A1086" t="str">
            <v>NESTLE PANAMA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152</v>
          </cell>
          <cell r="J1086" t="str">
            <v>NESTLE PANAMA</v>
          </cell>
          <cell r="U1086">
            <v>0</v>
          </cell>
        </row>
        <row r="1087">
          <cell r="A1087" t="str">
            <v>NESTLE PANAMA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J1087" t="str">
            <v>NESTLE PANAMA</v>
          </cell>
        </row>
        <row r="1088">
          <cell r="A1088" t="str">
            <v>NESTLE PANAMA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J1088" t="str">
            <v>NESTLE PANAMA</v>
          </cell>
          <cell r="M1088">
            <v>910</v>
          </cell>
        </row>
        <row r="1089">
          <cell r="A1089" t="str">
            <v>NESTLE PANAMA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910</v>
          </cell>
          <cell r="J1089" t="str">
            <v>NESTLE PANAMA</v>
          </cell>
          <cell r="U1089">
            <v>305</v>
          </cell>
        </row>
        <row r="1090">
          <cell r="A1090" t="str">
            <v>NESTLE PANAMA</v>
          </cell>
          <cell r="C1090">
            <v>0</v>
          </cell>
          <cell r="D1090">
            <v>40</v>
          </cell>
          <cell r="E1090">
            <v>60</v>
          </cell>
          <cell r="F1090">
            <v>40</v>
          </cell>
          <cell r="G1090">
            <v>305</v>
          </cell>
          <cell r="J1090" t="str">
            <v>NESTLE PANAMA</v>
          </cell>
          <cell r="M1090">
            <v>400</v>
          </cell>
        </row>
        <row r="1091">
          <cell r="A1091" t="str">
            <v>NESTLE PANAMA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400</v>
          </cell>
          <cell r="J1091" t="str">
            <v>NESTLE PANAMA</v>
          </cell>
          <cell r="O1091">
            <v>68</v>
          </cell>
        </row>
        <row r="1092">
          <cell r="A1092" t="str">
            <v>NESTLE PANAMA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68</v>
          </cell>
          <cell r="J1092" t="str">
            <v>NESTLE PANAMA</v>
          </cell>
          <cell r="M1092">
            <v>175</v>
          </cell>
        </row>
        <row r="1093">
          <cell r="A1093" t="str">
            <v>NESTLE PANAMA</v>
          </cell>
          <cell r="C1093">
            <v>0</v>
          </cell>
          <cell r="D1093">
            <v>10</v>
          </cell>
          <cell r="E1093">
            <v>20</v>
          </cell>
          <cell r="F1093">
            <v>25</v>
          </cell>
          <cell r="G1093">
            <v>175</v>
          </cell>
          <cell r="J1093" t="str">
            <v>NESTLE PANAMA</v>
          </cell>
          <cell r="O1093">
            <v>256</v>
          </cell>
        </row>
        <row r="1094">
          <cell r="A1094" t="str">
            <v>NESTLE PANAMA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256</v>
          </cell>
          <cell r="J1094" t="str">
            <v>NESTLE PANAMA</v>
          </cell>
          <cell r="R1094">
            <v>31</v>
          </cell>
        </row>
        <row r="1095">
          <cell r="A1095" t="str">
            <v>NESTLE PANAMA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31</v>
          </cell>
          <cell r="J1095" t="str">
            <v>NESTLE PANAMA</v>
          </cell>
          <cell r="Q1095">
            <v>496</v>
          </cell>
        </row>
        <row r="1096">
          <cell r="A1096" t="str">
            <v>NESTLE PANAMA</v>
          </cell>
          <cell r="C1096">
            <v>73</v>
          </cell>
          <cell r="D1096">
            <v>0</v>
          </cell>
          <cell r="E1096">
            <v>0</v>
          </cell>
          <cell r="F1096">
            <v>0</v>
          </cell>
          <cell r="G1096">
            <v>496</v>
          </cell>
          <cell r="J1096" t="str">
            <v>NESTLE PANAMA</v>
          </cell>
          <cell r="T1096">
            <v>30</v>
          </cell>
        </row>
        <row r="1097">
          <cell r="A1097" t="str">
            <v>NESTLE PANAMA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30</v>
          </cell>
          <cell r="J1097" t="str">
            <v>NESTLE PANAMA</v>
          </cell>
          <cell r="Q1097">
            <v>4560</v>
          </cell>
        </row>
        <row r="1098">
          <cell r="A1098" t="str">
            <v>NESTLE PANAMA</v>
          </cell>
          <cell r="C1098">
            <v>0</v>
          </cell>
          <cell r="D1098">
            <v>680</v>
          </cell>
          <cell r="E1098">
            <v>450</v>
          </cell>
          <cell r="F1098">
            <v>450</v>
          </cell>
          <cell r="G1098">
            <v>4560</v>
          </cell>
          <cell r="J1098" t="str">
            <v>NESTLE PANAMA</v>
          </cell>
          <cell r="N1098">
            <v>0</v>
          </cell>
        </row>
        <row r="1099">
          <cell r="A1099" t="str">
            <v>NESTLE PANAMA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J1099" t="str">
            <v>NESTLE PANAMA</v>
          </cell>
          <cell r="W1099">
            <v>0</v>
          </cell>
        </row>
        <row r="1100">
          <cell r="A1100" t="str">
            <v>NESTLE PANAMA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J1100" t="str">
            <v>NESTLE PANAMA</v>
          </cell>
          <cell r="M1100">
            <v>400</v>
          </cell>
        </row>
        <row r="1101">
          <cell r="A1101" t="str">
            <v>NESTLE PANAMA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400</v>
          </cell>
          <cell r="J1101" t="str">
            <v>NESTLE PANAMA</v>
          </cell>
          <cell r="O1101">
            <v>34</v>
          </cell>
        </row>
        <row r="1102">
          <cell r="A1102" t="str">
            <v>NESTLE PANAMA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34</v>
          </cell>
          <cell r="J1102" t="str">
            <v>NESTLE PANAMA</v>
          </cell>
          <cell r="M1102">
            <v>100</v>
          </cell>
        </row>
        <row r="1103">
          <cell r="A1103" t="str">
            <v>NESTLE PANAMA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100</v>
          </cell>
          <cell r="J1103" t="str">
            <v>NESTLE PANAMA</v>
          </cell>
          <cell r="S1103">
            <v>96</v>
          </cell>
        </row>
        <row r="1104">
          <cell r="A1104" t="str">
            <v>NESTLE PANAMA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96</v>
          </cell>
          <cell r="J1104" t="str">
            <v>NESTLE PANAMA</v>
          </cell>
          <cell r="N1104">
            <v>230</v>
          </cell>
        </row>
        <row r="1105">
          <cell r="A1105" t="str">
            <v>NESTLE PANAMA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230</v>
          </cell>
          <cell r="J1105" t="str">
            <v>NESTLE PANAMA</v>
          </cell>
          <cell r="M1105">
            <v>350</v>
          </cell>
        </row>
        <row r="1106">
          <cell r="A1106" t="str">
            <v>NESTLE PANAMA</v>
          </cell>
          <cell r="C1106">
            <v>200</v>
          </cell>
          <cell r="D1106">
            <v>25</v>
          </cell>
          <cell r="E1106">
            <v>100</v>
          </cell>
          <cell r="F1106">
            <v>25</v>
          </cell>
          <cell r="G1106">
            <v>350</v>
          </cell>
          <cell r="J1106" t="str">
            <v>NESTLE PANAMA</v>
          </cell>
          <cell r="M1106">
            <v>352</v>
          </cell>
        </row>
        <row r="1107">
          <cell r="A1107" t="str">
            <v>NESTLE PANAMA</v>
          </cell>
          <cell r="C1107">
            <v>225</v>
          </cell>
          <cell r="D1107">
            <v>0</v>
          </cell>
          <cell r="E1107">
            <v>0</v>
          </cell>
          <cell r="F1107">
            <v>0</v>
          </cell>
          <cell r="G1107">
            <v>352</v>
          </cell>
          <cell r="J1107" t="str">
            <v>NESTLE PANAMA</v>
          </cell>
          <cell r="W1107">
            <v>628</v>
          </cell>
        </row>
        <row r="1108">
          <cell r="A1108" t="str">
            <v>NESTLE PANAMA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628</v>
          </cell>
          <cell r="J1108" t="str">
            <v>NESTLE PANAMA</v>
          </cell>
          <cell r="N1108">
            <v>510</v>
          </cell>
        </row>
        <row r="1109">
          <cell r="A1109" t="str">
            <v>NESTLE PANAMA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510</v>
          </cell>
          <cell r="J1109" t="str">
            <v>NESTLE PANAMA</v>
          </cell>
          <cell r="N1109">
            <v>97</v>
          </cell>
        </row>
        <row r="1110">
          <cell r="A1110" t="str">
            <v>NESTLE PANAMA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97</v>
          </cell>
          <cell r="J1110" t="str">
            <v>NESTLE PANAMA</v>
          </cell>
          <cell r="M1110">
            <v>40</v>
          </cell>
        </row>
        <row r="1111">
          <cell r="A1111" t="str">
            <v>NESTLE PANAMA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40</v>
          </cell>
          <cell r="J1111" t="str">
            <v>NESTLE PANAMA</v>
          </cell>
          <cell r="M1111">
            <v>1350</v>
          </cell>
        </row>
        <row r="1112">
          <cell r="A1112" t="str">
            <v>NESTLE PANAMA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1350</v>
          </cell>
          <cell r="J1112" t="str">
            <v>NESTLE PANAMA</v>
          </cell>
          <cell r="M1112">
            <v>77</v>
          </cell>
        </row>
        <row r="1113">
          <cell r="A1113" t="str">
            <v>NESTLE PANAMA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77</v>
          </cell>
          <cell r="J1113" t="str">
            <v>NESTLE PANAMA</v>
          </cell>
          <cell r="N1113">
            <v>130</v>
          </cell>
        </row>
        <row r="1114">
          <cell r="A1114" t="str">
            <v>NESTLE PANAMA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130</v>
          </cell>
          <cell r="J1114" t="str">
            <v>NESTLE PANAMA</v>
          </cell>
          <cell r="W1114">
            <v>0</v>
          </cell>
        </row>
        <row r="1115">
          <cell r="A1115" t="str">
            <v>NESTLE PANAMA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J1115" t="str">
            <v>NESTLE PANAMA</v>
          </cell>
          <cell r="W1115">
            <v>0</v>
          </cell>
        </row>
        <row r="1116">
          <cell r="A1116" t="str">
            <v>NESTLE PANAMA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J1116" t="str">
            <v>NESTLE PANAMA</v>
          </cell>
          <cell r="U1116">
            <v>251</v>
          </cell>
        </row>
        <row r="1117">
          <cell r="A1117" t="str">
            <v>NESTLE PANAMA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251</v>
          </cell>
          <cell r="J1117" t="str">
            <v>NESTLE PANAMA</v>
          </cell>
          <cell r="S1117">
            <v>40</v>
          </cell>
        </row>
        <row r="1118">
          <cell r="A1118" t="str">
            <v>NESTLE PANAMA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40</v>
          </cell>
          <cell r="J1118" t="str">
            <v>NESTLE PANAMA</v>
          </cell>
          <cell r="R1118">
            <v>130</v>
          </cell>
        </row>
        <row r="1119">
          <cell r="A1119" t="str">
            <v>NESTLE PANAMA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130</v>
          </cell>
          <cell r="J1119" t="str">
            <v>NESTLE PANAMA</v>
          </cell>
          <cell r="M1119">
            <v>125</v>
          </cell>
        </row>
        <row r="1120">
          <cell r="A1120" t="str">
            <v>NESTLE PANAMA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125</v>
          </cell>
          <cell r="J1120" t="str">
            <v>NESTLE PANAMA</v>
          </cell>
          <cell r="M1120">
            <v>25</v>
          </cell>
        </row>
        <row r="1121">
          <cell r="A1121" t="str">
            <v>NESTLE PANAMA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25</v>
          </cell>
          <cell r="J1121" t="str">
            <v>NESTLE PANAMA</v>
          </cell>
          <cell r="V1121">
            <v>0</v>
          </cell>
        </row>
        <row r="1122">
          <cell r="A1122" t="str">
            <v>NESTLE PANAMA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J1122" t="str">
            <v>NESTLE PANAMA</v>
          </cell>
          <cell r="Y1122">
            <v>0</v>
          </cell>
        </row>
        <row r="1123">
          <cell r="A1123" t="str">
            <v>NESTLE PANAMA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J1123" t="str">
            <v>NESTLE PANAMA</v>
          </cell>
          <cell r="O1123">
            <v>0</v>
          </cell>
        </row>
        <row r="1124">
          <cell r="A1124" t="str">
            <v>NESTLE PANAMA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J1124" t="str">
            <v>NESTLE PANAMA</v>
          </cell>
          <cell r="M1124">
            <v>209</v>
          </cell>
        </row>
        <row r="1125">
          <cell r="A1125" t="str">
            <v>NESTLE PANAMA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209</v>
          </cell>
          <cell r="J1125" t="str">
            <v>NESTLE PANAMA</v>
          </cell>
          <cell r="M1125">
            <v>0</v>
          </cell>
        </row>
        <row r="1126">
          <cell r="A1126" t="str">
            <v>NESTLE PANAMA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J1126" t="str">
            <v>NESTLE PANAMA</v>
          </cell>
          <cell r="N1126">
            <v>0</v>
          </cell>
        </row>
        <row r="1127">
          <cell r="A1127" t="str">
            <v>NESTLE PANAMA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J1127" t="str">
            <v>NESTLE PANAMA</v>
          </cell>
          <cell r="N1127">
            <v>6</v>
          </cell>
        </row>
        <row r="1128">
          <cell r="A1128" t="str">
            <v>NESTLE PANAMA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6</v>
          </cell>
          <cell r="J1128" t="str">
            <v>NESTLE PANAMA</v>
          </cell>
          <cell r="M1128">
            <v>200</v>
          </cell>
        </row>
        <row r="1129">
          <cell r="A1129" t="str">
            <v>NESTLE PANAMA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200</v>
          </cell>
          <cell r="J1129" t="str">
            <v>NESTLE PANAMA</v>
          </cell>
          <cell r="O1129">
            <v>240</v>
          </cell>
        </row>
        <row r="1130">
          <cell r="A1130" t="str">
            <v>NESTLE PANAMA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240</v>
          </cell>
          <cell r="J1130" t="str">
            <v>NESTLE PANAMA</v>
          </cell>
          <cell r="R1130">
            <v>0</v>
          </cell>
        </row>
        <row r="1131">
          <cell r="A1131" t="str">
            <v>NESTLE PANAMA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J1131" t="str">
            <v>NESTLE PANAMA</v>
          </cell>
          <cell r="O1131">
            <v>421</v>
          </cell>
        </row>
        <row r="1132">
          <cell r="A1132" t="str">
            <v>NESTLE PANAMA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421</v>
          </cell>
          <cell r="J1132" t="str">
            <v>NESTLE PANAMA</v>
          </cell>
          <cell r="S1132">
            <v>1190</v>
          </cell>
        </row>
        <row r="1133">
          <cell r="A1133" t="str">
            <v>NESTLE PANAMA</v>
          </cell>
          <cell r="C1133">
            <v>1190</v>
          </cell>
          <cell r="D1133">
            <v>0</v>
          </cell>
          <cell r="E1133">
            <v>0</v>
          </cell>
          <cell r="F1133">
            <v>0</v>
          </cell>
          <cell r="G1133">
            <v>1190</v>
          </cell>
          <cell r="J1133" t="str">
            <v>NESTLE PANAMA</v>
          </cell>
          <cell r="P1133">
            <v>173</v>
          </cell>
        </row>
        <row r="1134">
          <cell r="A1134" t="str">
            <v>NESTLE PANAMA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173</v>
          </cell>
          <cell r="J1134" t="str">
            <v>NESTLE PANAMA</v>
          </cell>
          <cell r="V1134">
            <v>200</v>
          </cell>
        </row>
        <row r="1135">
          <cell r="A1135" t="str">
            <v>NESTLE PANAMA</v>
          </cell>
          <cell r="C1135">
            <v>200</v>
          </cell>
          <cell r="D1135">
            <v>0</v>
          </cell>
          <cell r="E1135">
            <v>0</v>
          </cell>
          <cell r="F1135">
            <v>0</v>
          </cell>
          <cell r="G1135">
            <v>200</v>
          </cell>
          <cell r="J1135" t="str">
            <v>NESTLE PANAMA</v>
          </cell>
          <cell r="M1135">
            <v>265</v>
          </cell>
        </row>
        <row r="1136">
          <cell r="A1136" t="str">
            <v>NESTLE PANAMA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265</v>
          </cell>
          <cell r="J1136" t="str">
            <v>NESTLE PANAMA</v>
          </cell>
          <cell r="N1136">
            <v>130</v>
          </cell>
        </row>
        <row r="1137">
          <cell r="A1137" t="str">
            <v>NESTLE PANAMA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130</v>
          </cell>
          <cell r="J1137" t="str">
            <v>NESTLE PANAMA</v>
          </cell>
          <cell r="M1137">
            <v>1300</v>
          </cell>
        </row>
        <row r="1138">
          <cell r="A1138" t="str">
            <v>NESTLE PANAMA</v>
          </cell>
          <cell r="C1138">
            <v>100</v>
          </cell>
          <cell r="D1138">
            <v>0</v>
          </cell>
          <cell r="E1138">
            <v>0</v>
          </cell>
          <cell r="F1138">
            <v>0</v>
          </cell>
          <cell r="G1138">
            <v>1300</v>
          </cell>
          <cell r="J1138" t="str">
            <v>NESTLE PANAMA</v>
          </cell>
          <cell r="M1138">
            <v>52</v>
          </cell>
        </row>
        <row r="1139">
          <cell r="A1139" t="str">
            <v>NESTLE PANAMA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52</v>
          </cell>
          <cell r="J1139" t="str">
            <v>NESTLE PANAMA</v>
          </cell>
          <cell r="P1139">
            <v>150</v>
          </cell>
        </row>
        <row r="1140">
          <cell r="A1140" t="str">
            <v>NESTLE PANAMA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150</v>
          </cell>
          <cell r="J1140" t="str">
            <v>NESTLE PANAMA</v>
          </cell>
          <cell r="M1140">
            <v>630</v>
          </cell>
        </row>
        <row r="1141">
          <cell r="A1141" t="str">
            <v>NESTLE PANAMA</v>
          </cell>
          <cell r="C1141">
            <v>0</v>
          </cell>
          <cell r="D1141">
            <v>120</v>
          </cell>
          <cell r="E1141">
            <v>180</v>
          </cell>
          <cell r="F1141">
            <v>60</v>
          </cell>
          <cell r="G1141">
            <v>630</v>
          </cell>
          <cell r="J1141" t="str">
            <v>NESTLE PANAMA</v>
          </cell>
          <cell r="M1141">
            <v>50</v>
          </cell>
        </row>
        <row r="1142">
          <cell r="A1142" t="str">
            <v>NESTLE PANAMA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50</v>
          </cell>
          <cell r="J1142" t="str">
            <v>NESTLE PANAMA</v>
          </cell>
          <cell r="M1142">
            <v>600</v>
          </cell>
        </row>
        <row r="1143">
          <cell r="A1143" t="str">
            <v>NESTLE PANAMA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600</v>
          </cell>
          <cell r="J1143" t="str">
            <v>NESTLE PANAMA</v>
          </cell>
          <cell r="S1143">
            <v>40</v>
          </cell>
        </row>
        <row r="1144">
          <cell r="A1144" t="str">
            <v>NESTLE PANAMA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40</v>
          </cell>
          <cell r="J1144" t="str">
            <v>NESTLE PANAMA</v>
          </cell>
          <cell r="O1144">
            <v>105</v>
          </cell>
        </row>
        <row r="1145">
          <cell r="A1145" t="str">
            <v>NESTLE PANAMA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105</v>
          </cell>
          <cell r="J1145" t="str">
            <v>NESTLE PANAMA</v>
          </cell>
          <cell r="N1145">
            <v>490</v>
          </cell>
        </row>
        <row r="1146">
          <cell r="A1146" t="str">
            <v>NESTLE PANAMA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490</v>
          </cell>
          <cell r="J1146" t="str">
            <v>NESTLE PANAMA</v>
          </cell>
          <cell r="T1146">
            <v>0</v>
          </cell>
        </row>
        <row r="1147">
          <cell r="A1147" t="str">
            <v>NESTLE PANAMA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J1147" t="str">
            <v>NESTLE PANAMA</v>
          </cell>
          <cell r="Y1147">
            <v>50</v>
          </cell>
        </row>
        <row r="1148">
          <cell r="A1148" t="str">
            <v>NESTLE PANAMA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50</v>
          </cell>
          <cell r="J1148" t="str">
            <v>NESTLE PANAMA</v>
          </cell>
          <cell r="U1148">
            <v>300</v>
          </cell>
        </row>
        <row r="1149">
          <cell r="A1149" t="str">
            <v>NESTLE PANAMA</v>
          </cell>
          <cell r="C1149">
            <v>300</v>
          </cell>
          <cell r="D1149">
            <v>0</v>
          </cell>
          <cell r="E1149">
            <v>0</v>
          </cell>
          <cell r="F1149">
            <v>0</v>
          </cell>
          <cell r="G1149">
            <v>300</v>
          </cell>
          <cell r="J1149" t="str">
            <v>NESTLE PANAMA</v>
          </cell>
          <cell r="T1149">
            <v>240</v>
          </cell>
        </row>
        <row r="1150">
          <cell r="A1150" t="str">
            <v>NESTLE PANAMA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240</v>
          </cell>
          <cell r="J1150" t="str">
            <v>NESTLE PANAMA</v>
          </cell>
          <cell r="U1150">
            <v>80</v>
          </cell>
        </row>
        <row r="1151">
          <cell r="A1151" t="str">
            <v>NESTLE PANAMA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80</v>
          </cell>
          <cell r="J1151" t="str">
            <v>NESTLE PANAMA</v>
          </cell>
          <cell r="W1151">
            <v>200</v>
          </cell>
        </row>
        <row r="1152">
          <cell r="A1152" t="str">
            <v>NESTLE PANAMA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200</v>
          </cell>
          <cell r="J1152" t="str">
            <v>NESTLE PANAMA</v>
          </cell>
          <cell r="N1152">
            <v>0</v>
          </cell>
        </row>
        <row r="1153">
          <cell r="A1153" t="str">
            <v>NESTLE PANAMA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J1153" t="str">
            <v>NESTLE PANAMA</v>
          </cell>
          <cell r="O1153">
            <v>346</v>
          </cell>
        </row>
        <row r="1154">
          <cell r="A1154" t="str">
            <v>NESTLE PANAMA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346</v>
          </cell>
          <cell r="J1154" t="str">
            <v>PRODUCTOS TOLEDANO</v>
          </cell>
        </row>
        <row r="1155">
          <cell r="A1155" t="str">
            <v>PRODUCTOS TOLEDANO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J1155" t="str">
            <v>PRODUCTOS TOLEDANO</v>
          </cell>
          <cell r="M1155">
            <v>325</v>
          </cell>
        </row>
        <row r="1156">
          <cell r="A1156" t="str">
            <v>PRODUCTOS TOLEDANO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325</v>
          </cell>
          <cell r="J1156" t="str">
            <v>PRODUCTOS TOLEDANO</v>
          </cell>
          <cell r="P1156">
            <v>102</v>
          </cell>
        </row>
        <row r="1157">
          <cell r="A1157" t="str">
            <v>PRODUCTOS TOLEDANO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102</v>
          </cell>
          <cell r="J1157" t="str">
            <v>PRODUCTOS TOLEDANO</v>
          </cell>
          <cell r="N1157">
            <v>100</v>
          </cell>
        </row>
        <row r="1158">
          <cell r="A1158" t="str">
            <v>PRODUCTOS TOLEDANO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100</v>
          </cell>
          <cell r="J1158" t="str">
            <v>PRODUCTOS TOLEDANO</v>
          </cell>
          <cell r="O1158">
            <v>180</v>
          </cell>
        </row>
        <row r="1159">
          <cell r="A1159" t="str">
            <v>PRODUCTOS TOLEDANO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180</v>
          </cell>
          <cell r="J1159" t="str">
            <v>PRODUCTOS TOLEDANO</v>
          </cell>
          <cell r="Q1159">
            <v>1060</v>
          </cell>
        </row>
        <row r="1160">
          <cell r="A1160" t="str">
            <v>PRODUCTOS TOLEDANO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1060</v>
          </cell>
          <cell r="J1160" t="str">
            <v>PRODUCTOS TOLEDANO</v>
          </cell>
          <cell r="N1160">
            <v>100</v>
          </cell>
        </row>
        <row r="1161">
          <cell r="A1161" t="str">
            <v>PRODUCTOS TOLEDANO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100</v>
          </cell>
          <cell r="J1161" t="str">
            <v>PRODUCTOS TOLEDANO</v>
          </cell>
          <cell r="R1161">
            <v>180</v>
          </cell>
        </row>
        <row r="1162">
          <cell r="A1162" t="str">
            <v>PRODUCTOS TOLEDANO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180</v>
          </cell>
          <cell r="J1162" t="str">
            <v>PRODUCTOS TOLEDANO</v>
          </cell>
          <cell r="R1162">
            <v>40</v>
          </cell>
        </row>
        <row r="1163">
          <cell r="A1163" t="str">
            <v>PRODUCTOS TOLEDANO</v>
          </cell>
          <cell r="C1163">
            <v>40</v>
          </cell>
          <cell r="D1163">
            <v>0</v>
          </cell>
          <cell r="E1163">
            <v>0</v>
          </cell>
          <cell r="F1163">
            <v>0</v>
          </cell>
          <cell r="G1163">
            <v>40</v>
          </cell>
          <cell r="J1163" t="str">
            <v>PRODUCTOS TOLEDANO</v>
          </cell>
          <cell r="S1163">
            <v>73</v>
          </cell>
        </row>
        <row r="1164">
          <cell r="A1164" t="str">
            <v>PRODUCTOS TOLEDANO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73</v>
          </cell>
          <cell r="J1164" t="str">
            <v>PRODUCTOS TOLEDANO</v>
          </cell>
          <cell r="O1164">
            <v>65</v>
          </cell>
        </row>
        <row r="1165">
          <cell r="A1165" t="str">
            <v>PRODUCTOS TOLEDANO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65</v>
          </cell>
          <cell r="J1165" t="str">
            <v>PRODUCTOS TOLEDANO</v>
          </cell>
          <cell r="N1165">
            <v>70</v>
          </cell>
        </row>
        <row r="1166">
          <cell r="A1166" t="str">
            <v>PRODUCTOS TOLEDANO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70</v>
          </cell>
          <cell r="J1166" t="str">
            <v>PRODUCTOS TOLEDANO</v>
          </cell>
          <cell r="O1166">
            <v>1090</v>
          </cell>
        </row>
        <row r="1167">
          <cell r="A1167" t="str">
            <v>PRODUCTOS TOLEDANO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1090</v>
          </cell>
          <cell r="J1167" t="str">
            <v>PRODUCTOS TOLEDANO</v>
          </cell>
          <cell r="M1167">
            <v>0</v>
          </cell>
        </row>
        <row r="1168">
          <cell r="A1168" t="str">
            <v>PRODUCTOS TOLEDANO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J1168" t="str">
            <v>PRODUCTOS TOLEDANO</v>
          </cell>
          <cell r="N1168">
            <v>282</v>
          </cell>
        </row>
        <row r="1169">
          <cell r="A1169" t="str">
            <v>PRODUCTOS TOLEDANO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282</v>
          </cell>
          <cell r="J1169" t="str">
            <v>PRODUCTOS TOLEDANO</v>
          </cell>
          <cell r="N1169">
            <v>467</v>
          </cell>
        </row>
        <row r="1170">
          <cell r="A1170" t="str">
            <v>PRODUCTOS TOLEDANO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467</v>
          </cell>
          <cell r="J1170" t="str">
            <v>PRODUCTOS TOLEDANO</v>
          </cell>
          <cell r="T1170">
            <v>82</v>
          </cell>
        </row>
        <row r="1171">
          <cell r="A1171" t="str">
            <v>PRODUCTOS TOLEDANO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82</v>
          </cell>
          <cell r="J1171" t="str">
            <v>PRODUCTOS TOLEDANO</v>
          </cell>
          <cell r="N1171">
            <v>881</v>
          </cell>
        </row>
        <row r="1172">
          <cell r="A1172" t="str">
            <v>PRODUCTOS TOLEDANO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881</v>
          </cell>
          <cell r="J1172" t="str">
            <v>PRODUCTOS TOLEDANO</v>
          </cell>
          <cell r="N1172">
            <v>38</v>
          </cell>
        </row>
        <row r="1173">
          <cell r="A1173" t="str">
            <v>PRODUCTOS TOLEDANO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38</v>
          </cell>
          <cell r="J1173" t="str">
            <v>PRODUCTOS TOLEDANO</v>
          </cell>
          <cell r="N1173">
            <v>70</v>
          </cell>
        </row>
        <row r="1174">
          <cell r="A1174" t="str">
            <v>PRODUCTOS TOLEDANO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70</v>
          </cell>
          <cell r="J1174" t="str">
            <v>PRODUCTOS TOLEDANO</v>
          </cell>
          <cell r="N1174">
            <v>60</v>
          </cell>
        </row>
        <row r="1175">
          <cell r="A1175" t="str">
            <v>PRODUCTOS TOLEDANO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60</v>
          </cell>
          <cell r="J1175" t="str">
            <v>PRODUCTOS TOLEDANO</v>
          </cell>
          <cell r="N1175">
            <v>62</v>
          </cell>
        </row>
        <row r="1176">
          <cell r="A1176" t="str">
            <v>PRODUCTOS TOLEDANO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62</v>
          </cell>
          <cell r="J1176" t="str">
            <v>PRODUCTOS TOLEDANO</v>
          </cell>
          <cell r="O1176">
            <v>116</v>
          </cell>
        </row>
        <row r="1177">
          <cell r="A1177" t="str">
            <v>PRODUCTOS TOLEDANO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116</v>
          </cell>
          <cell r="J1177" t="str">
            <v>PRODUCTOS TOLEDANO</v>
          </cell>
          <cell r="N1177">
            <v>542</v>
          </cell>
        </row>
        <row r="1178">
          <cell r="A1178" t="str">
            <v>PRODUCTOS TOLEDANO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542</v>
          </cell>
          <cell r="J1178" t="str">
            <v>PRODUCTOS TOLEDANO</v>
          </cell>
          <cell r="S1178">
            <v>211</v>
          </cell>
        </row>
        <row r="1179">
          <cell r="A1179" t="str">
            <v>PRODUCTOS TOLEDANO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211</v>
          </cell>
          <cell r="J1179" t="str">
            <v>PRODUCTOS TOLEDANO</v>
          </cell>
          <cell r="N1179">
            <v>147</v>
          </cell>
        </row>
        <row r="1180">
          <cell r="A1180" t="str">
            <v>PRODUCTOS TOLEDANO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147</v>
          </cell>
          <cell r="J1180" t="str">
            <v>PRODUCTOS TOLEDANO</v>
          </cell>
          <cell r="M1180">
            <v>500</v>
          </cell>
        </row>
        <row r="1181">
          <cell r="A1181" t="str">
            <v>PRODUCTOS TOLEDANO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500</v>
          </cell>
          <cell r="J1181" t="str">
            <v>PRODUCTOS TOLEDANO</v>
          </cell>
          <cell r="T1181">
            <v>84</v>
          </cell>
        </row>
        <row r="1182">
          <cell r="A1182" t="str">
            <v>PRODUCTOS TOLEDANO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84</v>
          </cell>
          <cell r="J1182" t="str">
            <v>PRODUCTOS TOLEDANO</v>
          </cell>
          <cell r="M1182">
            <v>100</v>
          </cell>
        </row>
        <row r="1183">
          <cell r="A1183" t="str">
            <v>PRODUCTOS TOLEDANO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100</v>
          </cell>
          <cell r="J1183" t="str">
            <v>PRODUCTOS TOLEDANO</v>
          </cell>
          <cell r="N1183">
            <v>264</v>
          </cell>
        </row>
        <row r="1184">
          <cell r="A1184" t="str">
            <v>PRODUCTOS TOLEDANO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264</v>
          </cell>
          <cell r="J1184" t="str">
            <v>PRODUCTOS TOLEDANO</v>
          </cell>
          <cell r="O1184">
            <v>60</v>
          </cell>
        </row>
        <row r="1185">
          <cell r="A1185" t="str">
            <v>PRODUCTOS TOLEDANO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60</v>
          </cell>
          <cell r="J1185" t="str">
            <v>PRODUCTOS TOLEDANO</v>
          </cell>
          <cell r="T1185">
            <v>115</v>
          </cell>
        </row>
        <row r="1186">
          <cell r="A1186" t="str">
            <v>PRODUCTOS TOLEDANO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115</v>
          </cell>
          <cell r="J1186" t="str">
            <v>PRODUCTOS TOLEDANO</v>
          </cell>
          <cell r="S1186">
            <v>179</v>
          </cell>
        </row>
        <row r="1187">
          <cell r="A1187" t="str">
            <v>PRODUCTOS TOLEDANO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179</v>
          </cell>
          <cell r="J1187" t="str">
            <v>PRODUCTOS TOLEDANO</v>
          </cell>
          <cell r="N1187">
            <v>50</v>
          </cell>
        </row>
        <row r="1188">
          <cell r="A1188" t="str">
            <v>PRODUCTOS TOLEDANO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50</v>
          </cell>
          <cell r="J1188" t="str">
            <v>PRODUCTOS TOLEDANO</v>
          </cell>
          <cell r="N1188">
            <v>86</v>
          </cell>
        </row>
        <row r="1189">
          <cell r="A1189" t="str">
            <v>PRODUCTOS TOLEDANO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86</v>
          </cell>
          <cell r="J1189" t="str">
            <v>PRODUCTOS TOLEDANO</v>
          </cell>
          <cell r="M1189">
            <v>201</v>
          </cell>
        </row>
        <row r="1190">
          <cell r="A1190" t="str">
            <v>PRODUCTOS TOLEDANO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201</v>
          </cell>
          <cell r="J1190" t="str">
            <v>PRODUCTOS TOLEDANO</v>
          </cell>
          <cell r="T1190">
            <v>73</v>
          </cell>
        </row>
        <row r="1191">
          <cell r="A1191" t="str">
            <v>PRODUCTOS TOLEDANO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73</v>
          </cell>
          <cell r="J1191" t="str">
            <v>PRODUCTOS TOLEDANO</v>
          </cell>
          <cell r="T1191">
            <v>635</v>
          </cell>
        </row>
        <row r="1192">
          <cell r="A1192" t="str">
            <v>PRODUCTOS TOLEDANO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635</v>
          </cell>
          <cell r="J1192" t="str">
            <v>PRODUCTOS TOLEDANO</v>
          </cell>
          <cell r="N1192">
            <v>201</v>
          </cell>
        </row>
        <row r="1193">
          <cell r="A1193" t="str">
            <v>PRODUCTOS TOLEDANO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201</v>
          </cell>
          <cell r="J1193" t="str">
            <v>PRODUCTOS TOLEDANO</v>
          </cell>
          <cell r="N1193">
            <v>0</v>
          </cell>
        </row>
        <row r="1194">
          <cell r="A1194" t="str">
            <v>PRODUCTOS TOLEDANO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J1194" t="str">
            <v>PRODUCTOS TOLEDANO</v>
          </cell>
          <cell r="N1194">
            <v>284</v>
          </cell>
        </row>
        <row r="1195">
          <cell r="A1195" t="str">
            <v>PRODUCTOS TOLEDANO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284</v>
          </cell>
          <cell r="J1195" t="str">
            <v>PRODUCTOS TOLEDANO</v>
          </cell>
          <cell r="M1195">
            <v>150</v>
          </cell>
        </row>
        <row r="1196">
          <cell r="A1196" t="str">
            <v>PRODUCTOS TOLEDANO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150</v>
          </cell>
          <cell r="J1196" t="str">
            <v>PRODUCTOS TOLEDANO</v>
          </cell>
          <cell r="N1196">
            <v>250</v>
          </cell>
        </row>
        <row r="1197">
          <cell r="A1197" t="str">
            <v>PRODUCTOS TOLEDANO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250</v>
          </cell>
          <cell r="J1197" t="str">
            <v>PRODUCTOS TOLEDANO</v>
          </cell>
          <cell r="O1197">
            <v>1200</v>
          </cell>
        </row>
        <row r="1198">
          <cell r="A1198" t="str">
            <v>PRODUCTOS TOLEDANO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1200</v>
          </cell>
          <cell r="J1198" t="str">
            <v>PRODUCTOS TOLEDANO</v>
          </cell>
          <cell r="M1198">
            <v>390</v>
          </cell>
        </row>
        <row r="1199">
          <cell r="A1199" t="str">
            <v>PRODUCTOS TOLEDANO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390</v>
          </cell>
          <cell r="J1199" t="str">
            <v>PRODUCTOS TOLEDANO</v>
          </cell>
          <cell r="O1199">
            <v>410</v>
          </cell>
        </row>
        <row r="1200">
          <cell r="A1200" t="str">
            <v>PRODUCTOS TOLEDANO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410</v>
          </cell>
          <cell r="J1200" t="str">
            <v>PRODUCTOS TOLEDANO</v>
          </cell>
          <cell r="N1200">
            <v>250</v>
          </cell>
        </row>
        <row r="1201">
          <cell r="A1201" t="str">
            <v>PRODUCTOS TOLEDANO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250</v>
          </cell>
          <cell r="J1201" t="str">
            <v>PRODUCTOS TOLEDANO</v>
          </cell>
          <cell r="N1201">
            <v>120</v>
          </cell>
        </row>
        <row r="1202">
          <cell r="A1202" t="str">
            <v>PRODUCTOS TOLEDANO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120</v>
          </cell>
          <cell r="J1202" t="str">
            <v>PRODUCTOS TOLEDANO</v>
          </cell>
          <cell r="N1202">
            <v>84</v>
          </cell>
        </row>
        <row r="1203">
          <cell r="A1203" t="str">
            <v>PRODUCTOS TOLEDANO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84</v>
          </cell>
          <cell r="J1203" t="str">
            <v>PRODUCTOS TOLEDANO</v>
          </cell>
          <cell r="N1203">
            <v>22</v>
          </cell>
        </row>
        <row r="1204">
          <cell r="A1204" t="str">
            <v>PRODUCTOS TOLEDANO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22</v>
          </cell>
          <cell r="J1204" t="str">
            <v>PRODUCTOS TOLEDANO</v>
          </cell>
          <cell r="N1204">
            <v>103</v>
          </cell>
        </row>
        <row r="1205">
          <cell r="A1205" t="str">
            <v>PRODUCTOS TOLEDANO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103</v>
          </cell>
          <cell r="J1205" t="str">
            <v>PRODUCTOS TOLEDANO</v>
          </cell>
          <cell r="N1205">
            <v>0</v>
          </cell>
        </row>
        <row r="1206">
          <cell r="A1206" t="str">
            <v>PRODUCTOS TOLEDANO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J1206" t="str">
            <v>PRODUCTOS TOLEDANO</v>
          </cell>
          <cell r="N1206">
            <v>165</v>
          </cell>
        </row>
        <row r="1207">
          <cell r="A1207" t="str">
            <v>PRODUCTOS TOLEDANO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165</v>
          </cell>
          <cell r="J1207" t="str">
            <v>PRODUCTOS TOLEDANO</v>
          </cell>
          <cell r="N1207">
            <v>60</v>
          </cell>
        </row>
        <row r="1208">
          <cell r="A1208" t="str">
            <v>PRODUCTOS TOLEDANO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60</v>
          </cell>
          <cell r="J1208" t="str">
            <v>PRODUCTOS TOLEDANO</v>
          </cell>
          <cell r="O1208">
            <v>219</v>
          </cell>
        </row>
        <row r="1209">
          <cell r="A1209" t="str">
            <v>PRODUCTOS TOLEDANO</v>
          </cell>
          <cell r="C1209">
            <v>0</v>
          </cell>
          <cell r="D1209">
            <v>16</v>
          </cell>
          <cell r="E1209">
            <v>19</v>
          </cell>
          <cell r="F1209">
            <v>19</v>
          </cell>
          <cell r="G1209">
            <v>219</v>
          </cell>
          <cell r="J1209" t="str">
            <v>PRODUCTOS TOLEDANO</v>
          </cell>
          <cell r="Q1209">
            <v>83</v>
          </cell>
        </row>
        <row r="1210">
          <cell r="A1210" t="str">
            <v>PRODUCTOS TOLEDANO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83</v>
          </cell>
          <cell r="J1210" t="str">
            <v>PRODUCTOS TOLEDANO</v>
          </cell>
          <cell r="S1210">
            <v>152</v>
          </cell>
        </row>
        <row r="1211">
          <cell r="A1211" t="str">
            <v>PRODUCTOS TOLEDANO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152</v>
          </cell>
          <cell r="J1211" t="str">
            <v>PRODUCTOS TOLEDANO</v>
          </cell>
          <cell r="T1211">
            <v>37</v>
          </cell>
        </row>
        <row r="1212">
          <cell r="A1212" t="str">
            <v>PRODUCTOS TOLEDANO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37</v>
          </cell>
          <cell r="J1212" t="str">
            <v>PRODUCTOS TOLEDANO</v>
          </cell>
          <cell r="U1212">
            <v>0</v>
          </cell>
        </row>
        <row r="1213">
          <cell r="A1213" t="str">
            <v>PRODUCTOS TOLEDANO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J1213" t="str">
            <v>PRODUCTOS TOLEDANO</v>
          </cell>
          <cell r="Q1213">
            <v>60</v>
          </cell>
        </row>
        <row r="1214">
          <cell r="A1214" t="str">
            <v>PRODUCTOS TOLEDANO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60</v>
          </cell>
          <cell r="J1214" t="str">
            <v>PRODUCTOS TOLEDANO</v>
          </cell>
          <cell r="V1214">
            <v>0</v>
          </cell>
        </row>
        <row r="1215">
          <cell r="A1215" t="str">
            <v>PRODUCTOS TOLEDANO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J1215" t="str">
            <v>PRODUCTOS TOLEDANO</v>
          </cell>
          <cell r="U1215">
            <v>305</v>
          </cell>
        </row>
        <row r="1216">
          <cell r="A1216" t="str">
            <v>PRODUCTOS TOLEDANO</v>
          </cell>
          <cell r="C1216">
            <v>0</v>
          </cell>
          <cell r="D1216">
            <v>40</v>
          </cell>
          <cell r="E1216">
            <v>60</v>
          </cell>
          <cell r="F1216">
            <v>40</v>
          </cell>
          <cell r="G1216">
            <v>305</v>
          </cell>
          <cell r="J1216" t="str">
            <v>PRODUCTOS TOLEDANO</v>
          </cell>
          <cell r="M1216">
            <v>400</v>
          </cell>
        </row>
        <row r="1217">
          <cell r="A1217" t="str">
            <v>PRODUCTOS TOLEDANO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400</v>
          </cell>
          <cell r="J1217" t="str">
            <v>PRODUCTOS TOLEDANO</v>
          </cell>
          <cell r="O1217">
            <v>256</v>
          </cell>
        </row>
        <row r="1218">
          <cell r="A1218" t="str">
            <v>PRODUCTOS TOLEDANO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256</v>
          </cell>
          <cell r="J1218" t="str">
            <v>PRODUCTOS TOLEDANO</v>
          </cell>
          <cell r="Q1218">
            <v>496</v>
          </cell>
        </row>
        <row r="1219">
          <cell r="A1219" t="str">
            <v>PRODUCTOS TOLEDANO</v>
          </cell>
          <cell r="C1219">
            <v>73</v>
          </cell>
          <cell r="D1219">
            <v>0</v>
          </cell>
          <cell r="E1219">
            <v>0</v>
          </cell>
          <cell r="F1219">
            <v>0</v>
          </cell>
          <cell r="G1219">
            <v>496</v>
          </cell>
          <cell r="J1219" t="str">
            <v>PRODUCTOS TOLEDANO</v>
          </cell>
          <cell r="T1219">
            <v>30</v>
          </cell>
        </row>
        <row r="1220">
          <cell r="A1220" t="str">
            <v>PRODUCTOS TOLEDANO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30</v>
          </cell>
          <cell r="J1220" t="str">
            <v>PRODUCTOS TOLEDANO</v>
          </cell>
          <cell r="Q1220">
            <v>4560</v>
          </cell>
        </row>
        <row r="1221">
          <cell r="A1221" t="str">
            <v>PRODUCTOS TOLEDANO</v>
          </cell>
          <cell r="C1221">
            <v>0</v>
          </cell>
          <cell r="D1221">
            <v>680</v>
          </cell>
          <cell r="E1221">
            <v>450</v>
          </cell>
          <cell r="F1221">
            <v>450</v>
          </cell>
          <cell r="G1221">
            <v>4560</v>
          </cell>
          <cell r="J1221" t="str">
            <v>PRODUCTOS TOLEDANO</v>
          </cell>
          <cell r="N1221">
            <v>0</v>
          </cell>
        </row>
        <row r="1222">
          <cell r="A1222" t="str">
            <v>PRODUCTOS TOLEDANO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J1222" t="str">
            <v>PRODUCTOS TOLEDANO</v>
          </cell>
          <cell r="W1222">
            <v>0</v>
          </cell>
        </row>
        <row r="1223">
          <cell r="A1223" t="str">
            <v>PRODUCTOS TOLEDANO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J1223" t="str">
            <v>PRODUCTOS TOLEDANO</v>
          </cell>
          <cell r="M1223">
            <v>400</v>
          </cell>
        </row>
        <row r="1224">
          <cell r="A1224" t="str">
            <v>PRODUCTOS TOLEDANO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400</v>
          </cell>
          <cell r="J1224" t="str">
            <v>PRODUCTOS TOLEDANO</v>
          </cell>
          <cell r="O1224">
            <v>34</v>
          </cell>
        </row>
        <row r="1225">
          <cell r="A1225" t="str">
            <v>PRODUCTOS TOLEDANO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34</v>
          </cell>
          <cell r="J1225" t="str">
            <v>PRODUCTOS TOLEDANO</v>
          </cell>
          <cell r="M1225">
            <v>100</v>
          </cell>
        </row>
        <row r="1226">
          <cell r="A1226" t="str">
            <v>PRODUCTOS TOLEDANO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100</v>
          </cell>
          <cell r="J1226" t="str">
            <v>PRODUCTOS TOLEDANO</v>
          </cell>
          <cell r="N1226">
            <v>230</v>
          </cell>
        </row>
        <row r="1227">
          <cell r="A1227" t="str">
            <v>PRODUCTOS TOLEDANO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230</v>
          </cell>
          <cell r="J1227" t="str">
            <v>PRODUCTOS TOLEDANO</v>
          </cell>
          <cell r="M1227">
            <v>350</v>
          </cell>
        </row>
        <row r="1228">
          <cell r="A1228" t="str">
            <v>PRODUCTOS TOLEDANO</v>
          </cell>
          <cell r="C1228">
            <v>200</v>
          </cell>
          <cell r="D1228">
            <v>25</v>
          </cell>
          <cell r="E1228">
            <v>100</v>
          </cell>
          <cell r="F1228">
            <v>25</v>
          </cell>
          <cell r="G1228">
            <v>350</v>
          </cell>
          <cell r="J1228" t="str">
            <v>PRODUCTOS TOLEDANO</v>
          </cell>
          <cell r="W1228">
            <v>628</v>
          </cell>
        </row>
        <row r="1229">
          <cell r="A1229" t="str">
            <v>PRODUCTOS TOLEDANO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628</v>
          </cell>
          <cell r="J1229" t="str">
            <v>PRODUCTOS TOLEDANO</v>
          </cell>
          <cell r="T1229">
            <v>192</v>
          </cell>
        </row>
        <row r="1230">
          <cell r="A1230" t="str">
            <v>PRODUCTOS TOLEDANO</v>
          </cell>
          <cell r="C1230">
            <v>85</v>
          </cell>
          <cell r="D1230">
            <v>22</v>
          </cell>
          <cell r="E1230">
            <v>25</v>
          </cell>
          <cell r="F1230">
            <v>29</v>
          </cell>
          <cell r="G1230">
            <v>192</v>
          </cell>
          <cell r="J1230" t="str">
            <v>PRODUCTOS TOLEDANO</v>
          </cell>
          <cell r="N1230">
            <v>97</v>
          </cell>
        </row>
        <row r="1231">
          <cell r="A1231" t="str">
            <v>PRODUCTOS TOLEDANO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97</v>
          </cell>
          <cell r="J1231" t="str">
            <v>PRODUCTOS TOLEDANO</v>
          </cell>
          <cell r="M1231">
            <v>77</v>
          </cell>
        </row>
        <row r="1232">
          <cell r="A1232" t="str">
            <v>PRODUCTOS TOLEDANO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77</v>
          </cell>
          <cell r="J1232" t="str">
            <v>PRODUCTOS TOLEDANO</v>
          </cell>
          <cell r="N1232">
            <v>130</v>
          </cell>
        </row>
        <row r="1233">
          <cell r="A1233" t="str">
            <v>PRODUCTOS TOLEDANO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130</v>
          </cell>
          <cell r="J1233" t="str">
            <v>PRODUCTOS TOLEDANO</v>
          </cell>
          <cell r="W1233">
            <v>0</v>
          </cell>
        </row>
        <row r="1234">
          <cell r="A1234" t="str">
            <v>PRODUCTOS TOLEDANO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J1234" t="str">
            <v>PRODUCTOS TOLEDANO</v>
          </cell>
          <cell r="W1234">
            <v>0</v>
          </cell>
        </row>
        <row r="1235">
          <cell r="A1235" t="str">
            <v>PRODUCTOS TOLEDANO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J1235" t="str">
            <v>PRODUCTOS TOLEDANO</v>
          </cell>
          <cell r="U1235">
            <v>251</v>
          </cell>
        </row>
        <row r="1236">
          <cell r="A1236" t="str">
            <v>PRODUCTOS TOLEDANO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251</v>
          </cell>
          <cell r="J1236" t="str">
            <v>PRODUCTOS TOLEDANO</v>
          </cell>
          <cell r="S1236">
            <v>40</v>
          </cell>
        </row>
        <row r="1237">
          <cell r="A1237" t="str">
            <v>PRODUCTOS TOLEDANO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40</v>
          </cell>
          <cell r="J1237" t="str">
            <v>PRODUCTOS TOLEDANO</v>
          </cell>
          <cell r="N1237">
            <v>120</v>
          </cell>
        </row>
        <row r="1238">
          <cell r="A1238" t="str">
            <v>PRODUCTOS TOLEDANO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120</v>
          </cell>
          <cell r="J1238" t="str">
            <v>PRODUCTOS TOLEDANO</v>
          </cell>
          <cell r="M1238">
            <v>125</v>
          </cell>
        </row>
        <row r="1239">
          <cell r="A1239" t="str">
            <v>PRODUCTOS TOLEDANO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125</v>
          </cell>
          <cell r="J1239" t="str">
            <v>PRODUCTOS TOLEDANO</v>
          </cell>
          <cell r="V1239">
            <v>0</v>
          </cell>
        </row>
        <row r="1240">
          <cell r="A1240" t="str">
            <v>PRODUCTOS TOLEDANO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J1240" t="str">
            <v>PRODUCTOS TOLEDANO</v>
          </cell>
          <cell r="S1240">
            <v>50</v>
          </cell>
        </row>
        <row r="1241">
          <cell r="A1241" t="str">
            <v>PRODUCTOS TOLEDANO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50</v>
          </cell>
          <cell r="J1241" t="str">
            <v>PRODUCTOS TOLEDANO</v>
          </cell>
          <cell r="V1241">
            <v>0</v>
          </cell>
        </row>
        <row r="1242">
          <cell r="A1242" t="str">
            <v>PRODUCTOS TOLEDANO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J1242" t="str">
            <v>PRODUCTOS TOLEDANO</v>
          </cell>
          <cell r="Y1242">
            <v>0</v>
          </cell>
        </row>
        <row r="1243">
          <cell r="A1243" t="str">
            <v>PRODUCTOS TOLEDANO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J1243" t="str">
            <v>PRODUCTOS TOLEDANO</v>
          </cell>
          <cell r="O1243">
            <v>0</v>
          </cell>
        </row>
        <row r="1244">
          <cell r="A1244" t="str">
            <v>PRODUCTOS TOLEDANO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J1244" t="str">
            <v>PRODUCTOS TOLEDANO</v>
          </cell>
          <cell r="M1244">
            <v>209</v>
          </cell>
        </row>
        <row r="1245">
          <cell r="A1245" t="str">
            <v>PRODUCTOS TOLEDANO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209</v>
          </cell>
          <cell r="J1245" t="str">
            <v>PRODUCTOS TOLEDANO</v>
          </cell>
          <cell r="M1245">
            <v>0</v>
          </cell>
        </row>
        <row r="1246">
          <cell r="A1246" t="str">
            <v>PRODUCTOS TOLEDANO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J1246" t="str">
            <v>PRODUCTOS TOLEDANO</v>
          </cell>
          <cell r="S1246">
            <v>150</v>
          </cell>
        </row>
        <row r="1247">
          <cell r="A1247" t="str">
            <v>PRODUCTOS TOLEDANO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150</v>
          </cell>
          <cell r="J1247" t="str">
            <v>PRODUCTOS TOLEDANO</v>
          </cell>
          <cell r="O1247">
            <v>421</v>
          </cell>
        </row>
        <row r="1248">
          <cell r="A1248" t="str">
            <v>PRODUCTOS TOLEDANO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421</v>
          </cell>
          <cell r="J1248" t="str">
            <v>PRODUCTOS TOLEDANO</v>
          </cell>
          <cell r="P1248">
            <v>173</v>
          </cell>
        </row>
        <row r="1249">
          <cell r="A1249" t="str">
            <v>PRODUCTOS TOLEDANO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173</v>
          </cell>
          <cell r="J1249" t="str">
            <v>PRODUCTOS TOLEDANO</v>
          </cell>
          <cell r="V1249">
            <v>0</v>
          </cell>
        </row>
        <row r="1250">
          <cell r="A1250" t="str">
            <v>PRODUCTOS TOLEDANO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J1250" t="str">
            <v>PRODUCTOS TOLEDANO</v>
          </cell>
        </row>
        <row r="1251">
          <cell r="A1251" t="str">
            <v>PRODUCTOS TOLEDANO</v>
          </cell>
          <cell r="C1251">
            <v>0</v>
          </cell>
          <cell r="D1251">
            <v>10</v>
          </cell>
          <cell r="E1251">
            <v>20</v>
          </cell>
          <cell r="F1251">
            <v>32</v>
          </cell>
          <cell r="G1251">
            <v>83</v>
          </cell>
          <cell r="J1251" t="str">
            <v>PRODUCTOS TOLEDANO</v>
          </cell>
          <cell r="V1251">
            <v>200</v>
          </cell>
        </row>
        <row r="1252">
          <cell r="A1252" t="str">
            <v>PRODUCTOS TOLEDANO</v>
          </cell>
          <cell r="C1252">
            <v>200</v>
          </cell>
          <cell r="D1252">
            <v>0</v>
          </cell>
          <cell r="E1252">
            <v>0</v>
          </cell>
          <cell r="F1252">
            <v>0</v>
          </cell>
          <cell r="G1252">
            <v>200</v>
          </cell>
          <cell r="J1252" t="str">
            <v>PRODUCTOS TOLEDANO</v>
          </cell>
          <cell r="N1252">
            <v>110</v>
          </cell>
        </row>
        <row r="1253">
          <cell r="A1253" t="str">
            <v>PRODUCTOS TOLEDANO</v>
          </cell>
          <cell r="C1253">
            <v>0</v>
          </cell>
          <cell r="D1253">
            <v>35</v>
          </cell>
          <cell r="E1253">
            <v>0</v>
          </cell>
          <cell r="F1253">
            <v>0</v>
          </cell>
          <cell r="G1253">
            <v>110</v>
          </cell>
          <cell r="J1253" t="str">
            <v>PRODUCTOS TOLEDANO</v>
          </cell>
          <cell r="P1253">
            <v>150</v>
          </cell>
        </row>
        <row r="1254">
          <cell r="A1254" t="str">
            <v>PRODUCTOS TOLEDANO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150</v>
          </cell>
          <cell r="J1254" t="str">
            <v>PRODUCTOS TOLEDANO</v>
          </cell>
          <cell r="O1254">
            <v>105</v>
          </cell>
        </row>
        <row r="1255">
          <cell r="A1255" t="str">
            <v>PRODUCTOS TOLEDANO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105</v>
          </cell>
          <cell r="J1255" t="str">
            <v>PRODUCTOS TOLEDANO</v>
          </cell>
          <cell r="T1255">
            <v>0</v>
          </cell>
        </row>
        <row r="1256">
          <cell r="A1256" t="str">
            <v>PRODUCTOS TOLEDANO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J1256" t="str">
            <v>PRODUCTOS TOLEDANO</v>
          </cell>
          <cell r="Y1256">
            <v>50</v>
          </cell>
        </row>
        <row r="1257">
          <cell r="A1257" t="str">
            <v>PRODUCTOS TOLEDANO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50</v>
          </cell>
          <cell r="J1257" t="str">
            <v>PRODUCTOS TOLEDANO</v>
          </cell>
          <cell r="T1257">
            <v>1800</v>
          </cell>
        </row>
        <row r="1258">
          <cell r="A1258" t="str">
            <v>PRODUCTOS TOLEDANO</v>
          </cell>
          <cell r="C1258">
            <v>1200</v>
          </cell>
          <cell r="D1258">
            <v>0</v>
          </cell>
          <cell r="E1258">
            <v>0</v>
          </cell>
          <cell r="F1258">
            <v>0</v>
          </cell>
          <cell r="G1258">
            <v>1800</v>
          </cell>
          <cell r="J1258" t="str">
            <v>PRODUCTOS TOLEDANO</v>
          </cell>
          <cell r="T1258">
            <v>240</v>
          </cell>
        </row>
        <row r="1259">
          <cell r="A1259" t="str">
            <v>PRODUCTOS TOLEDANO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240</v>
          </cell>
          <cell r="J1259" t="str">
            <v>PRODUCTOS TOLEDANO</v>
          </cell>
          <cell r="U1259">
            <v>80</v>
          </cell>
        </row>
        <row r="1260">
          <cell r="A1260" t="str">
            <v>PRODUCTOS TOLEDANO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80</v>
          </cell>
          <cell r="J1260" t="str">
            <v>PRODUCTOS TOLEDANO</v>
          </cell>
          <cell r="U1260">
            <v>0</v>
          </cell>
        </row>
        <row r="1261">
          <cell r="A1261" t="str">
            <v>PRODUCTOS TOLEDANO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J1261" t="str">
            <v>PRODUCTOS TOLEDANO</v>
          </cell>
          <cell r="W1261">
            <v>200</v>
          </cell>
        </row>
        <row r="1262">
          <cell r="A1262" t="str">
            <v>PRODUCTOS TOLEDANO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200</v>
          </cell>
          <cell r="J1262" t="str">
            <v>PRODUCTOS TOLEDANO</v>
          </cell>
          <cell r="V1262">
            <v>39</v>
          </cell>
        </row>
        <row r="1263">
          <cell r="A1263" t="str">
            <v>PRODUCTOS TOLEDANO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39</v>
          </cell>
          <cell r="J1263" t="str">
            <v>PRODUCTOS TOLEDANO</v>
          </cell>
          <cell r="V1263">
            <v>30</v>
          </cell>
        </row>
        <row r="1264">
          <cell r="A1264" t="str">
            <v>PRODUCTOS TOLEDANO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30</v>
          </cell>
          <cell r="J1264" t="str">
            <v>PRODUCTOS TOLEDANO</v>
          </cell>
          <cell r="N1264">
            <v>0</v>
          </cell>
        </row>
        <row r="1265">
          <cell r="A1265" t="str">
            <v>PRODUCTOS TOLEDANO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J1265" t="str">
            <v>PRODUCTOS TOLEDANO</v>
          </cell>
          <cell r="O1265">
            <v>346</v>
          </cell>
        </row>
        <row r="1266">
          <cell r="A1266" t="str">
            <v>PRODUCTOS TOLEDANO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346</v>
          </cell>
          <cell r="J1266" t="str">
            <v>ALIMENTOS CÁRNICOS DE PANAMA ,S.A</v>
          </cell>
          <cell r="N1266">
            <v>212</v>
          </cell>
        </row>
        <row r="1267">
          <cell r="A1267" t="str">
            <v>ALIMENTOS CÁRNICOS DE PANAMA ,S.A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212</v>
          </cell>
          <cell r="J1267" t="str">
            <v>ALIMENTOS CÁRNICOS DE PANAMA ,S.A</v>
          </cell>
          <cell r="O1267">
            <v>180</v>
          </cell>
        </row>
        <row r="1268">
          <cell r="A1268" t="str">
            <v>ALIMENTOS CÁRNICOS DE PANAMA ,S.A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180</v>
          </cell>
          <cell r="J1268" t="str">
            <v>ALIMENTOS CÁRNICOS DE PANAMA ,S.A</v>
          </cell>
          <cell r="Q1268">
            <v>1060</v>
          </cell>
        </row>
        <row r="1269">
          <cell r="A1269" t="str">
            <v>ALIMENTOS CÁRNICOS DE PANAMA ,S.A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1060</v>
          </cell>
          <cell r="J1269" t="str">
            <v>ALIMENTOS CÁRNICOS DE PANAMA ,S.A</v>
          </cell>
          <cell r="R1269">
            <v>180</v>
          </cell>
        </row>
        <row r="1270">
          <cell r="A1270" t="str">
            <v>ALIMENTOS CÁRNICOS DE PANAMA ,S.A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180</v>
          </cell>
          <cell r="J1270" t="str">
            <v>ALIMENTOS CÁRNICOS DE PANAMA ,S.A</v>
          </cell>
          <cell r="S1270">
            <v>73</v>
          </cell>
        </row>
        <row r="1271">
          <cell r="A1271" t="str">
            <v>ALIMENTOS CÁRNICOS DE PANAMA ,S.A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73</v>
          </cell>
          <cell r="J1271" t="str">
            <v>ALIMENTOS CÁRNICOS DE PANAMA ,S.A</v>
          </cell>
          <cell r="O1271">
            <v>65</v>
          </cell>
        </row>
        <row r="1272">
          <cell r="A1272" t="str">
            <v>ALIMENTOS CÁRNICOS DE PANAMA ,S.A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65</v>
          </cell>
          <cell r="J1272" t="str">
            <v>ALIMENTOS CÁRNICOS DE PANAMA ,S.A</v>
          </cell>
          <cell r="M1272">
            <v>0</v>
          </cell>
        </row>
        <row r="1273">
          <cell r="A1273" t="str">
            <v>ALIMENTOS CÁRNICOS DE PANAMA ,S.A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J1273" t="str">
            <v>ALIMENTOS CÁRNICOS DE PANAMA ,S.A</v>
          </cell>
          <cell r="N1273">
            <v>282</v>
          </cell>
        </row>
        <row r="1274">
          <cell r="A1274" t="str">
            <v>ALIMENTOS CÁRNICOS DE PANAMA ,S.A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282</v>
          </cell>
          <cell r="J1274" t="str">
            <v>ALIMENTOS CÁRNICOS DE PANAMA ,S.A</v>
          </cell>
          <cell r="N1274">
            <v>62</v>
          </cell>
        </row>
        <row r="1275">
          <cell r="A1275" t="str">
            <v>ALIMENTOS CÁRNICOS DE PANAMA ,S.A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62</v>
          </cell>
          <cell r="J1275" t="str">
            <v>ALIMENTOS CÁRNICOS DE PANAMA ,S.A</v>
          </cell>
          <cell r="N1275">
            <v>456</v>
          </cell>
        </row>
        <row r="1276">
          <cell r="A1276" t="str">
            <v>ALIMENTOS CÁRNICOS DE PANAMA ,S.A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456</v>
          </cell>
          <cell r="J1276" t="str">
            <v>ALIMENTOS CÁRNICOS DE PANAMA ,S.A</v>
          </cell>
          <cell r="M1276">
            <v>350</v>
          </cell>
        </row>
        <row r="1277">
          <cell r="A1277" t="str">
            <v>ALIMENTOS CÁRNICOS DE PANAMA ,S.A</v>
          </cell>
          <cell r="C1277">
            <v>200</v>
          </cell>
          <cell r="D1277">
            <v>25</v>
          </cell>
          <cell r="E1277">
            <v>100</v>
          </cell>
          <cell r="F1277">
            <v>25</v>
          </cell>
          <cell r="G1277">
            <v>350</v>
          </cell>
          <cell r="J1277" t="str">
            <v>ALIMENTOS CÁRNICOS DE PANAMA ,S.A</v>
          </cell>
          <cell r="N1277">
            <v>510</v>
          </cell>
        </row>
        <row r="1278">
          <cell r="A1278" t="str">
            <v>ALIMENTOS CÁRNICOS DE PANAMA ,S.A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510</v>
          </cell>
          <cell r="J1278" t="str">
            <v>ALIMENTOS CÁRNICOS DE PANAMA ,S.A</v>
          </cell>
          <cell r="M1278">
            <v>25</v>
          </cell>
        </row>
        <row r="1279">
          <cell r="A1279" t="str">
            <v>ALIMENTOS CÁRNICOS DE PANAMA ,S.A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25</v>
          </cell>
          <cell r="J1279" t="str">
            <v>Price-Smart-Panama S.A</v>
          </cell>
        </row>
        <row r="1280">
          <cell r="A1280" t="str">
            <v>Price-Smart-Panama S.A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J1280" t="str">
            <v>Price-Smart-Panama S.A</v>
          </cell>
          <cell r="N1280">
            <v>212</v>
          </cell>
        </row>
        <row r="1281">
          <cell r="A1281" t="str">
            <v>Price-Smart-Panama S.A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212</v>
          </cell>
          <cell r="J1281" t="str">
            <v>Price-Smart-Panama S.A</v>
          </cell>
          <cell r="O1281">
            <v>30</v>
          </cell>
        </row>
        <row r="1282">
          <cell r="A1282" t="str">
            <v>Price-Smart-Panama S.A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30</v>
          </cell>
          <cell r="J1282" t="str">
            <v>Price-Smart-Panama S.A</v>
          </cell>
          <cell r="P1282">
            <v>102</v>
          </cell>
        </row>
        <row r="1283">
          <cell r="A1283" t="str">
            <v>Price-Smart-Panama S.A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102</v>
          </cell>
          <cell r="J1283" t="str">
            <v>Price-Smart-Panama S.A</v>
          </cell>
          <cell r="N1283">
            <v>100</v>
          </cell>
        </row>
        <row r="1284">
          <cell r="A1284" t="str">
            <v>Price-Smart-Panama S.A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100</v>
          </cell>
          <cell r="J1284" t="str">
            <v>Price-Smart-Panama S.A</v>
          </cell>
          <cell r="O1284">
            <v>180</v>
          </cell>
        </row>
        <row r="1285">
          <cell r="A1285" t="str">
            <v>Price-Smart-Panama S.A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180</v>
          </cell>
          <cell r="J1285" t="str">
            <v>Price-Smart-Panama S.A</v>
          </cell>
          <cell r="Q1285">
            <v>1060</v>
          </cell>
        </row>
        <row r="1286">
          <cell r="A1286" t="str">
            <v>Price-Smart-Panama S.A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1060</v>
          </cell>
          <cell r="J1286" t="str">
            <v>Price-Smart-Panama S.A</v>
          </cell>
          <cell r="N1286">
            <v>100</v>
          </cell>
        </row>
        <row r="1287">
          <cell r="A1287" t="str">
            <v>Price-Smart-Panama S.A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100</v>
          </cell>
          <cell r="J1287" t="str">
            <v>Price-Smart-Panama S.A</v>
          </cell>
          <cell r="N1287">
            <v>250</v>
          </cell>
        </row>
        <row r="1288">
          <cell r="A1288" t="str">
            <v>Price-Smart-Panama S.A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250</v>
          </cell>
          <cell r="J1288" t="str">
            <v>Price-Smart-Panama S.A</v>
          </cell>
          <cell r="R1288">
            <v>180</v>
          </cell>
        </row>
        <row r="1289">
          <cell r="A1289" t="str">
            <v>Price-Smart-Panama S.A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180</v>
          </cell>
          <cell r="J1289" t="str">
            <v>Price-Smart-Panama S.A</v>
          </cell>
          <cell r="R1289">
            <v>40</v>
          </cell>
        </row>
        <row r="1290">
          <cell r="A1290" t="str">
            <v>Price-Smart-Panama S.A</v>
          </cell>
          <cell r="C1290">
            <v>40</v>
          </cell>
          <cell r="D1290">
            <v>0</v>
          </cell>
          <cell r="E1290">
            <v>0</v>
          </cell>
          <cell r="F1290">
            <v>0</v>
          </cell>
          <cell r="G1290">
            <v>40</v>
          </cell>
          <cell r="J1290" t="str">
            <v>Price-Smart-Panama S.A</v>
          </cell>
          <cell r="S1290">
            <v>73</v>
          </cell>
        </row>
        <row r="1291">
          <cell r="A1291" t="str">
            <v>Price-Smart-Panama S.A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73</v>
          </cell>
          <cell r="J1291" t="str">
            <v>Price-Smart-Panama S.A</v>
          </cell>
          <cell r="O1291">
            <v>65</v>
          </cell>
        </row>
        <row r="1292">
          <cell r="A1292" t="str">
            <v>Price-Smart-Panama S.A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65</v>
          </cell>
          <cell r="J1292" t="str">
            <v>Price-Smart-Panama S.A</v>
          </cell>
          <cell r="N1292">
            <v>70</v>
          </cell>
        </row>
        <row r="1293">
          <cell r="A1293" t="str">
            <v>Price-Smart-Panama S.A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70</v>
          </cell>
          <cell r="J1293" t="str">
            <v>Price-Smart-Panama S.A</v>
          </cell>
          <cell r="O1293">
            <v>1090</v>
          </cell>
        </row>
        <row r="1294">
          <cell r="A1294" t="str">
            <v>Price-Smart-Panama S.A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1090</v>
          </cell>
          <cell r="J1294" t="str">
            <v>Price-Smart-Panama S.A</v>
          </cell>
          <cell r="M1294">
            <v>0</v>
          </cell>
        </row>
        <row r="1295">
          <cell r="A1295" t="str">
            <v>Price-Smart-Panama S.A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J1295" t="str">
            <v>Price-Smart-Panama S.A</v>
          </cell>
          <cell r="N1295">
            <v>282</v>
          </cell>
        </row>
        <row r="1296">
          <cell r="A1296" t="str">
            <v>Price-Smart-Panama S.A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282</v>
          </cell>
          <cell r="J1296" t="str">
            <v>Price-Smart-Panama S.A</v>
          </cell>
          <cell r="N1296">
            <v>467</v>
          </cell>
        </row>
        <row r="1297">
          <cell r="A1297" t="str">
            <v>Price-Smart-Panama S.A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467</v>
          </cell>
          <cell r="J1297" t="str">
            <v>Price-Smart-Panama S.A</v>
          </cell>
          <cell r="T1297">
            <v>82</v>
          </cell>
        </row>
        <row r="1298">
          <cell r="A1298" t="str">
            <v>Price-Smart-Panama S.A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82</v>
          </cell>
          <cell r="J1298" t="str">
            <v>Price-Smart-Panama S.A</v>
          </cell>
          <cell r="N1298">
            <v>38</v>
          </cell>
        </row>
        <row r="1299">
          <cell r="A1299" t="str">
            <v>Price-Smart-Panama S.A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38</v>
          </cell>
          <cell r="J1299" t="str">
            <v>Price-Smart-Panama S.A</v>
          </cell>
          <cell r="N1299">
            <v>70</v>
          </cell>
        </row>
        <row r="1300">
          <cell r="A1300" t="str">
            <v>Price-Smart-Panama S.A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70</v>
          </cell>
          <cell r="J1300" t="str">
            <v>Price-Smart-Panama S.A</v>
          </cell>
          <cell r="N1300">
            <v>60</v>
          </cell>
        </row>
        <row r="1301">
          <cell r="A1301" t="str">
            <v>Price-Smart-Panama S.A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60</v>
          </cell>
          <cell r="J1301" t="str">
            <v>Price-Smart-Panama S.A</v>
          </cell>
          <cell r="N1301">
            <v>243</v>
          </cell>
        </row>
        <row r="1302">
          <cell r="A1302" t="str">
            <v>Price-Smart-Panama S.A</v>
          </cell>
          <cell r="C1302">
            <v>0</v>
          </cell>
          <cell r="D1302">
            <v>13</v>
          </cell>
          <cell r="E1302">
            <v>37</v>
          </cell>
          <cell r="F1302">
            <v>28</v>
          </cell>
          <cell r="G1302">
            <v>243</v>
          </cell>
          <cell r="J1302" t="str">
            <v>Price-Smart-Panama S.A</v>
          </cell>
          <cell r="N1302">
            <v>62</v>
          </cell>
        </row>
        <row r="1303">
          <cell r="A1303" t="str">
            <v>Price-Smart-Panama S.A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62</v>
          </cell>
          <cell r="J1303" t="str">
            <v>Price-Smart-Panama S.A</v>
          </cell>
          <cell r="O1303">
            <v>116</v>
          </cell>
        </row>
        <row r="1304">
          <cell r="A1304" t="str">
            <v>Price-Smart-Panama S.A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116</v>
          </cell>
          <cell r="J1304" t="str">
            <v>Price-Smart-Panama S.A</v>
          </cell>
          <cell r="N1304">
            <v>542</v>
          </cell>
        </row>
        <row r="1305">
          <cell r="A1305" t="str">
            <v>Price-Smart-Panama S.A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542</v>
          </cell>
          <cell r="J1305" t="str">
            <v>Price-Smart-Panama S.A</v>
          </cell>
          <cell r="S1305">
            <v>211</v>
          </cell>
        </row>
        <row r="1306">
          <cell r="A1306" t="str">
            <v>Price-Smart-Panama S.A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211</v>
          </cell>
          <cell r="J1306" t="str">
            <v>Price-Smart-Panama S.A</v>
          </cell>
          <cell r="O1306">
            <v>138</v>
          </cell>
        </row>
        <row r="1307">
          <cell r="A1307" t="str">
            <v>Price-Smart-Panama S.A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138</v>
          </cell>
          <cell r="J1307" t="str">
            <v>Price-Smart-Panama S.A</v>
          </cell>
          <cell r="N1307">
            <v>147</v>
          </cell>
        </row>
        <row r="1308">
          <cell r="A1308" t="str">
            <v>Price-Smart-Panama S.A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147</v>
          </cell>
          <cell r="J1308" t="str">
            <v>Price-Smart-Panama S.A</v>
          </cell>
          <cell r="N1308">
            <v>62</v>
          </cell>
        </row>
        <row r="1309">
          <cell r="A1309" t="str">
            <v>Price-Smart-Panama S.A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62</v>
          </cell>
          <cell r="J1309" t="str">
            <v>Price-Smart-Panama S.A</v>
          </cell>
          <cell r="T1309">
            <v>84</v>
          </cell>
        </row>
        <row r="1310">
          <cell r="A1310" t="str">
            <v>Price-Smart-Panama S.A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84</v>
          </cell>
          <cell r="J1310" t="str">
            <v>Price-Smart-Panama S.A</v>
          </cell>
          <cell r="N1310">
            <v>105</v>
          </cell>
        </row>
        <row r="1311">
          <cell r="A1311" t="str">
            <v>Price-Smart-Panama S.A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105</v>
          </cell>
          <cell r="J1311" t="str">
            <v>Price-Smart-Panama S.A</v>
          </cell>
          <cell r="M1311">
            <v>100</v>
          </cell>
        </row>
        <row r="1312">
          <cell r="A1312" t="str">
            <v>Price-Smart-Panama S.A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100</v>
          </cell>
          <cell r="J1312" t="str">
            <v>Price-Smart-Panama S.A</v>
          </cell>
          <cell r="N1312">
            <v>264</v>
          </cell>
        </row>
        <row r="1313">
          <cell r="A1313" t="str">
            <v>Price-Smart-Panama S.A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264</v>
          </cell>
          <cell r="J1313" t="str">
            <v>Price-Smart-Panama S.A</v>
          </cell>
          <cell r="Q1313">
            <v>57</v>
          </cell>
        </row>
        <row r="1314">
          <cell r="A1314" t="str">
            <v>Price-Smart-Panama S.A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57</v>
          </cell>
          <cell r="J1314" t="str">
            <v>Price-Smart-Panama S.A</v>
          </cell>
          <cell r="O1314">
            <v>60</v>
          </cell>
        </row>
        <row r="1315">
          <cell r="A1315" t="str">
            <v>Price-Smart-Panama S.A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60</v>
          </cell>
          <cell r="J1315" t="str">
            <v>Price-Smart-Panama S.A</v>
          </cell>
          <cell r="T1315">
            <v>115</v>
          </cell>
        </row>
        <row r="1316">
          <cell r="A1316" t="str">
            <v>Price-Smart-Panama S.A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115</v>
          </cell>
          <cell r="J1316" t="str">
            <v>Price-Smart-Panama S.A</v>
          </cell>
          <cell r="S1316">
            <v>179</v>
          </cell>
        </row>
        <row r="1317">
          <cell r="A1317" t="str">
            <v>Price-Smart-Panama S.A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179</v>
          </cell>
          <cell r="J1317" t="str">
            <v>Price-Smart-Panama S.A</v>
          </cell>
          <cell r="N1317">
            <v>50</v>
          </cell>
        </row>
        <row r="1318">
          <cell r="A1318" t="str">
            <v>Price-Smart-Panama S.A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50</v>
          </cell>
          <cell r="J1318" t="str">
            <v>Price-Smart-Panama S.A</v>
          </cell>
          <cell r="N1318">
            <v>162</v>
          </cell>
        </row>
        <row r="1319">
          <cell r="A1319" t="str">
            <v>Price-Smart-Panama S.A</v>
          </cell>
          <cell r="C1319">
            <v>162</v>
          </cell>
          <cell r="D1319">
            <v>0</v>
          </cell>
          <cell r="E1319">
            <v>0</v>
          </cell>
          <cell r="F1319">
            <v>0</v>
          </cell>
          <cell r="G1319">
            <v>162</v>
          </cell>
          <cell r="J1319" t="str">
            <v>Price-Smart-Panama S.A</v>
          </cell>
          <cell r="N1319">
            <v>86</v>
          </cell>
        </row>
        <row r="1320">
          <cell r="A1320" t="str">
            <v>Price-Smart-Panama S.A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86</v>
          </cell>
          <cell r="J1320" t="str">
            <v>Price-Smart-Panama S.A</v>
          </cell>
          <cell r="M1320">
            <v>201</v>
          </cell>
        </row>
        <row r="1321">
          <cell r="A1321" t="str">
            <v>Price-Smart-Panama S.A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201</v>
          </cell>
          <cell r="J1321" t="str">
            <v>Price-Smart-Panama S.A</v>
          </cell>
          <cell r="T1321">
            <v>73</v>
          </cell>
        </row>
        <row r="1322">
          <cell r="A1322" t="str">
            <v>Price-Smart-Panama S.A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73</v>
          </cell>
          <cell r="J1322" t="str">
            <v>Price-Smart-Panama S.A</v>
          </cell>
          <cell r="R1322">
            <v>181</v>
          </cell>
        </row>
        <row r="1323">
          <cell r="A1323" t="str">
            <v>Price-Smart-Panama S.A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181</v>
          </cell>
          <cell r="J1323" t="str">
            <v>Price-Smart-Panama S.A</v>
          </cell>
          <cell r="T1323">
            <v>635</v>
          </cell>
        </row>
        <row r="1324">
          <cell r="A1324" t="str">
            <v>Price-Smart-Panama S.A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635</v>
          </cell>
          <cell r="J1324" t="str">
            <v>Price-Smart-Panama S.A</v>
          </cell>
          <cell r="N1324">
            <v>201</v>
          </cell>
        </row>
        <row r="1325">
          <cell r="A1325" t="str">
            <v>Price-Smart-Panama S.A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201</v>
          </cell>
          <cell r="J1325" t="str">
            <v>Price-Smart-Panama S.A</v>
          </cell>
          <cell r="N1325">
            <v>0</v>
          </cell>
        </row>
        <row r="1326">
          <cell r="A1326" t="str">
            <v>Price-Smart-Panama S.A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J1326" t="str">
            <v>Price-Smart-Panama S.A</v>
          </cell>
          <cell r="N1326">
            <v>284</v>
          </cell>
        </row>
        <row r="1327">
          <cell r="A1327" t="str">
            <v>Price-Smart-Panama S.A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284</v>
          </cell>
          <cell r="J1327" t="str">
            <v>Price-Smart-Panama S.A</v>
          </cell>
          <cell r="M1327">
            <v>150</v>
          </cell>
        </row>
        <row r="1328">
          <cell r="A1328" t="str">
            <v>Price-Smart-Panama S.A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150</v>
          </cell>
          <cell r="J1328" t="str">
            <v>Price-Smart-Panama S.A</v>
          </cell>
          <cell r="N1328">
            <v>250</v>
          </cell>
        </row>
        <row r="1329">
          <cell r="A1329" t="str">
            <v>Price-Smart-Panama S.A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250</v>
          </cell>
          <cell r="J1329" t="str">
            <v>Price-Smart-Panama S.A</v>
          </cell>
          <cell r="O1329">
            <v>1200</v>
          </cell>
        </row>
        <row r="1330">
          <cell r="A1330" t="str">
            <v>Price-Smart-Panama S.A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1200</v>
          </cell>
          <cell r="J1330" t="str">
            <v>Price-Smart-Panama S.A</v>
          </cell>
          <cell r="N1330">
            <v>20</v>
          </cell>
        </row>
        <row r="1331">
          <cell r="A1331" t="str">
            <v>Price-Smart-Panama S.A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20</v>
          </cell>
          <cell r="J1331" t="str">
            <v>Price-Smart-Panama S.A</v>
          </cell>
          <cell r="M1331">
            <v>390</v>
          </cell>
        </row>
        <row r="1332">
          <cell r="A1332" t="str">
            <v>Price-Smart-Panama S.A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390</v>
          </cell>
          <cell r="J1332" t="str">
            <v>Price-Smart-Panama S.A</v>
          </cell>
          <cell r="N1332">
            <v>250</v>
          </cell>
        </row>
        <row r="1333">
          <cell r="A1333" t="str">
            <v>Price-Smart-Panama S.A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250</v>
          </cell>
          <cell r="J1333" t="str">
            <v>Price-Smart-Panama S.A</v>
          </cell>
          <cell r="N1333">
            <v>120</v>
          </cell>
        </row>
        <row r="1334">
          <cell r="A1334" t="str">
            <v>Price-Smart-Panama S.A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120</v>
          </cell>
          <cell r="J1334" t="str">
            <v>Price-Smart-Panama S.A</v>
          </cell>
          <cell r="N1334">
            <v>356</v>
          </cell>
        </row>
        <row r="1335">
          <cell r="A1335" t="str">
            <v>Price-Smart-Panama S.A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356</v>
          </cell>
          <cell r="J1335" t="str">
            <v>Price-Smart-Panama S.A</v>
          </cell>
          <cell r="N1335">
            <v>90</v>
          </cell>
        </row>
        <row r="1336">
          <cell r="A1336" t="str">
            <v>Price-Smart-Panama S.A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90</v>
          </cell>
          <cell r="J1336" t="str">
            <v>Price-Smart-Panama S.A</v>
          </cell>
          <cell r="N1336">
            <v>84</v>
          </cell>
        </row>
        <row r="1337">
          <cell r="A1337" t="str">
            <v>Price-Smart-Panama S.A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84</v>
          </cell>
          <cell r="J1337" t="str">
            <v>Price-Smart-Panama S.A</v>
          </cell>
          <cell r="N1337">
            <v>22</v>
          </cell>
        </row>
        <row r="1338">
          <cell r="A1338" t="str">
            <v>Price-Smart-Panama S.A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22</v>
          </cell>
          <cell r="J1338" t="str">
            <v>Price-Smart-Panama S.A</v>
          </cell>
          <cell r="N1338">
            <v>230</v>
          </cell>
        </row>
        <row r="1339">
          <cell r="A1339" t="str">
            <v>Price-Smart-Panama S.A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230</v>
          </cell>
          <cell r="J1339" t="str">
            <v>Price-Smart-Panama S.A</v>
          </cell>
          <cell r="N1339">
            <v>103</v>
          </cell>
        </row>
        <row r="1340">
          <cell r="A1340" t="str">
            <v>Price-Smart-Panama S.A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103</v>
          </cell>
          <cell r="J1340" t="str">
            <v>Price-Smart-Panama S.A</v>
          </cell>
          <cell r="N1340">
            <v>0</v>
          </cell>
        </row>
        <row r="1341">
          <cell r="A1341" t="str">
            <v>Price-Smart-Panama S.A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J1341" t="str">
            <v>Price-Smart-Panama S.A</v>
          </cell>
          <cell r="N1341">
            <v>165</v>
          </cell>
        </row>
        <row r="1342">
          <cell r="A1342" t="str">
            <v>Price-Smart-Panama S.A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165</v>
          </cell>
          <cell r="J1342" t="str">
            <v>Price-Smart-Panama S.A</v>
          </cell>
          <cell r="N1342">
            <v>456</v>
          </cell>
        </row>
        <row r="1343">
          <cell r="A1343" t="str">
            <v>Price-Smart-Panama S.A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456</v>
          </cell>
          <cell r="J1343" t="str">
            <v>Price-Smart-Panama S.A</v>
          </cell>
          <cell r="N1343">
            <v>75</v>
          </cell>
        </row>
        <row r="1344">
          <cell r="A1344" t="str">
            <v>Price-Smart-Panama S.A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75</v>
          </cell>
          <cell r="J1344" t="str">
            <v>Price-Smart-Panama S.A</v>
          </cell>
          <cell r="O1344">
            <v>1017</v>
          </cell>
        </row>
        <row r="1345">
          <cell r="A1345" t="str">
            <v>Price-Smart-Panama S.A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1017</v>
          </cell>
          <cell r="J1345" t="str">
            <v>Price-Smart-Panama S.A</v>
          </cell>
          <cell r="O1345">
            <v>219</v>
          </cell>
        </row>
        <row r="1346">
          <cell r="A1346" t="str">
            <v>Price-Smart-Panama S.A</v>
          </cell>
          <cell r="C1346">
            <v>0</v>
          </cell>
          <cell r="D1346">
            <v>16</v>
          </cell>
          <cell r="E1346">
            <v>19</v>
          </cell>
          <cell r="F1346">
            <v>19</v>
          </cell>
          <cell r="G1346">
            <v>219</v>
          </cell>
          <cell r="J1346" t="str">
            <v>Price-Smart-Panama S.A</v>
          </cell>
          <cell r="S1346">
            <v>152</v>
          </cell>
        </row>
        <row r="1347">
          <cell r="A1347" t="str">
            <v>Price-Smart-Panama S.A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152</v>
          </cell>
          <cell r="J1347" t="str">
            <v>Price-Smart-Panama S.A</v>
          </cell>
          <cell r="T1347">
            <v>37</v>
          </cell>
        </row>
        <row r="1348">
          <cell r="A1348" t="str">
            <v>Price-Smart-Panama S.A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37</v>
          </cell>
          <cell r="J1348" t="str">
            <v>Price-Smart-Panama S.A</v>
          </cell>
          <cell r="U1348">
            <v>0</v>
          </cell>
        </row>
        <row r="1349">
          <cell r="A1349" t="str">
            <v>Price-Smart-Panama S.A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J1349" t="str">
            <v>Price-Smart-Panama S.A</v>
          </cell>
          <cell r="Q1349">
            <v>60</v>
          </cell>
        </row>
        <row r="1350">
          <cell r="A1350" t="str">
            <v>Price-Smart-Panama S.A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60</v>
          </cell>
          <cell r="J1350" t="str">
            <v>Price-Smart-Panama S.A</v>
          </cell>
        </row>
        <row r="1351">
          <cell r="A1351" t="str">
            <v>Price-Smart-Panama S.A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J1351" t="str">
            <v>Price-Smart-Panama S.A</v>
          </cell>
          <cell r="V1351">
            <v>0</v>
          </cell>
        </row>
        <row r="1352">
          <cell r="A1352" t="str">
            <v>Price-Smart-Panama S.A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J1352" t="str">
            <v>Price-Smart-Panama S.A</v>
          </cell>
          <cell r="M1352">
            <v>910</v>
          </cell>
        </row>
        <row r="1353">
          <cell r="A1353" t="str">
            <v>Price-Smart-Panama S.A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910</v>
          </cell>
          <cell r="J1353" t="str">
            <v>Price-Smart-Panama S.A</v>
          </cell>
          <cell r="U1353">
            <v>305</v>
          </cell>
        </row>
        <row r="1354">
          <cell r="A1354" t="str">
            <v>Price-Smart-Panama S.A</v>
          </cell>
          <cell r="C1354">
            <v>0</v>
          </cell>
          <cell r="D1354">
            <v>40</v>
          </cell>
          <cell r="E1354">
            <v>60</v>
          </cell>
          <cell r="F1354">
            <v>40</v>
          </cell>
          <cell r="G1354">
            <v>305</v>
          </cell>
          <cell r="J1354" t="str">
            <v>Price-Smart-Panama S.A</v>
          </cell>
          <cell r="M1354">
            <v>400</v>
          </cell>
        </row>
        <row r="1355">
          <cell r="A1355" t="str">
            <v>Price-Smart-Panama S.A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400</v>
          </cell>
          <cell r="J1355" t="str">
            <v>Price-Smart-Panama S.A</v>
          </cell>
          <cell r="M1355">
            <v>175</v>
          </cell>
        </row>
        <row r="1356">
          <cell r="A1356" t="str">
            <v>Price-Smart-Panama S.A</v>
          </cell>
          <cell r="C1356">
            <v>0</v>
          </cell>
          <cell r="D1356">
            <v>10</v>
          </cell>
          <cell r="E1356">
            <v>20</v>
          </cell>
          <cell r="F1356">
            <v>25</v>
          </cell>
          <cell r="G1356">
            <v>175</v>
          </cell>
          <cell r="J1356" t="str">
            <v>Price-Smart-Panama S.A</v>
          </cell>
          <cell r="Q1356">
            <v>496</v>
          </cell>
        </row>
        <row r="1357">
          <cell r="A1357" t="str">
            <v>Price-Smart-Panama S.A</v>
          </cell>
          <cell r="C1357">
            <v>73</v>
          </cell>
          <cell r="D1357">
            <v>0</v>
          </cell>
          <cell r="E1357">
            <v>0</v>
          </cell>
          <cell r="F1357">
            <v>0</v>
          </cell>
          <cell r="G1357">
            <v>496</v>
          </cell>
          <cell r="J1357" t="str">
            <v>Price-Smart-Panama S.A</v>
          </cell>
          <cell r="T1357">
            <v>30</v>
          </cell>
        </row>
        <row r="1358">
          <cell r="A1358" t="str">
            <v>Price-Smart-Panama S.A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30</v>
          </cell>
          <cell r="J1358" t="str">
            <v>Price-Smart-Panama S.A</v>
          </cell>
          <cell r="N1358">
            <v>0</v>
          </cell>
        </row>
        <row r="1359">
          <cell r="A1359" t="str">
            <v>Price-Smart-Panama S.A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J1359" t="str">
            <v>Price-Smart-Panama S.A</v>
          </cell>
          <cell r="W1359">
            <v>0</v>
          </cell>
        </row>
        <row r="1360">
          <cell r="A1360" t="str">
            <v>Price-Smart-Panama S.A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J1360" t="str">
            <v>Price-Smart-Panama S.A</v>
          </cell>
          <cell r="M1360">
            <v>400</v>
          </cell>
        </row>
        <row r="1361">
          <cell r="A1361" t="str">
            <v>Price-Smart-Panama S.A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400</v>
          </cell>
          <cell r="J1361" t="str">
            <v>Price-Smart-Panama S.A</v>
          </cell>
          <cell r="M1361">
            <v>100</v>
          </cell>
        </row>
        <row r="1362">
          <cell r="A1362" t="str">
            <v>Price-Smart-Panama S.A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100</v>
          </cell>
          <cell r="J1362" t="str">
            <v>Price-Smart-Panama S.A</v>
          </cell>
          <cell r="S1362">
            <v>96</v>
          </cell>
        </row>
        <row r="1363">
          <cell r="A1363" t="str">
            <v>Price-Smart-Panama S.A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96</v>
          </cell>
          <cell r="J1363" t="str">
            <v>Price-Smart-Panama S.A</v>
          </cell>
          <cell r="N1363">
            <v>230</v>
          </cell>
        </row>
        <row r="1364">
          <cell r="A1364" t="str">
            <v>Price-Smart-Panama S.A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230</v>
          </cell>
          <cell r="J1364" t="str">
            <v>Price-Smart-Panama S.A</v>
          </cell>
          <cell r="M1364">
            <v>350</v>
          </cell>
        </row>
        <row r="1365">
          <cell r="A1365" t="str">
            <v>Price-Smart-Panama S.A</v>
          </cell>
          <cell r="C1365">
            <v>200</v>
          </cell>
          <cell r="D1365">
            <v>25</v>
          </cell>
          <cell r="E1365">
            <v>100</v>
          </cell>
          <cell r="F1365">
            <v>25</v>
          </cell>
          <cell r="G1365">
            <v>350</v>
          </cell>
          <cell r="J1365" t="str">
            <v>Price-Smart-Panama S.A</v>
          </cell>
          <cell r="M1365">
            <v>352</v>
          </cell>
        </row>
        <row r="1366">
          <cell r="A1366" t="str">
            <v>Price-Smart-Panama S.A</v>
          </cell>
          <cell r="C1366">
            <v>225</v>
          </cell>
          <cell r="D1366">
            <v>0</v>
          </cell>
          <cell r="E1366">
            <v>0</v>
          </cell>
          <cell r="F1366">
            <v>0</v>
          </cell>
          <cell r="G1366">
            <v>352</v>
          </cell>
          <cell r="J1366" t="str">
            <v>Price-Smart-Panama S.A</v>
          </cell>
          <cell r="W1366">
            <v>628</v>
          </cell>
        </row>
        <row r="1367">
          <cell r="A1367" t="str">
            <v>Price-Smart-Panama S.A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628</v>
          </cell>
          <cell r="J1367" t="str">
            <v>Price-Smart-Panama S.A</v>
          </cell>
          <cell r="N1367">
            <v>510</v>
          </cell>
        </row>
        <row r="1368">
          <cell r="A1368" t="str">
            <v>Price-Smart-Panama S.A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510</v>
          </cell>
          <cell r="J1368" t="str">
            <v>Price-Smart-Panama S.A</v>
          </cell>
          <cell r="N1368">
            <v>97</v>
          </cell>
        </row>
        <row r="1369">
          <cell r="A1369" t="str">
            <v>Price-Smart-Panama S.A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97</v>
          </cell>
          <cell r="J1369" t="str">
            <v>Price-Smart-Panama S.A</v>
          </cell>
          <cell r="M1369">
            <v>77</v>
          </cell>
        </row>
        <row r="1370">
          <cell r="A1370" t="str">
            <v>Price-Smart-Panama S.A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77</v>
          </cell>
          <cell r="J1370" t="str">
            <v>Price-Smart-Panama S.A</v>
          </cell>
          <cell r="N1370">
            <v>130</v>
          </cell>
        </row>
        <row r="1371">
          <cell r="A1371" t="str">
            <v>Price-Smart-Panama S.A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130</v>
          </cell>
          <cell r="J1371" t="str">
            <v>Price-Smart-Panama S.A</v>
          </cell>
          <cell r="W1371">
            <v>0</v>
          </cell>
        </row>
        <row r="1372">
          <cell r="A1372" t="str">
            <v>Price-Smart-Panama S.A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J1372" t="str">
            <v>Price-Smart-Panama S.A</v>
          </cell>
          <cell r="W1372">
            <v>0</v>
          </cell>
        </row>
        <row r="1373">
          <cell r="A1373" t="str">
            <v>Price-Smart-Panama S.A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J1373" t="str">
            <v>Price-Smart-Panama S.A</v>
          </cell>
          <cell r="U1373">
            <v>251</v>
          </cell>
        </row>
        <row r="1374">
          <cell r="A1374" t="str">
            <v>Price-Smart-Panama S.A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251</v>
          </cell>
          <cell r="J1374" t="str">
            <v>Price-Smart-Panama S.A</v>
          </cell>
          <cell r="M1374">
            <v>125</v>
          </cell>
        </row>
        <row r="1375">
          <cell r="A1375" t="str">
            <v>Price-Smart-Panama S.A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125</v>
          </cell>
          <cell r="J1375" t="str">
            <v>Price-Smart-Panama S.A</v>
          </cell>
          <cell r="V1375">
            <v>0</v>
          </cell>
        </row>
        <row r="1376">
          <cell r="A1376" t="str">
            <v>Price-Smart-Panama S.A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J1376" t="str">
            <v>Price-Smart-Panama S.A</v>
          </cell>
          <cell r="S1376">
            <v>50</v>
          </cell>
        </row>
        <row r="1377">
          <cell r="A1377" t="str">
            <v>Price-Smart-Panama S.A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50</v>
          </cell>
          <cell r="J1377" t="str">
            <v>Price-Smart-Panama S.A</v>
          </cell>
          <cell r="M1377">
            <v>25</v>
          </cell>
        </row>
        <row r="1378">
          <cell r="A1378" t="str">
            <v>Price-Smart-Panama S.A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25</v>
          </cell>
          <cell r="J1378" t="str">
            <v>Price-Smart-Panama S.A</v>
          </cell>
          <cell r="V1378">
            <v>0</v>
          </cell>
        </row>
        <row r="1379">
          <cell r="A1379" t="str">
            <v>Price-Smart-Panama S.A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J1379" t="str">
            <v>Price-Smart-Panama S.A</v>
          </cell>
          <cell r="Y1379">
            <v>0</v>
          </cell>
        </row>
        <row r="1380">
          <cell r="A1380" t="str">
            <v>Price-Smart-Panama S.A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J1380" t="str">
            <v>Price-Smart-Panama S.A</v>
          </cell>
          <cell r="O1380">
            <v>0</v>
          </cell>
        </row>
        <row r="1381">
          <cell r="A1381" t="str">
            <v>Price-Smart-Panama S.A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J1381" t="str">
            <v>Price-Smart-Panama S.A</v>
          </cell>
          <cell r="M1381">
            <v>209</v>
          </cell>
        </row>
        <row r="1382">
          <cell r="A1382" t="str">
            <v>Price-Smart-Panama S.A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209</v>
          </cell>
          <cell r="J1382" t="str">
            <v>Price-Smart-Panama S.A</v>
          </cell>
          <cell r="M1382">
            <v>0</v>
          </cell>
        </row>
        <row r="1383">
          <cell r="A1383" t="str">
            <v>Price-Smart-Panama S.A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J1383" t="str">
            <v>Price-Smart-Panama S.A</v>
          </cell>
          <cell r="S1383">
            <v>150</v>
          </cell>
        </row>
        <row r="1384">
          <cell r="A1384" t="str">
            <v>Price-Smart-Panama S.A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150</v>
          </cell>
          <cell r="J1384" t="str">
            <v>Price-Smart-Panama S.A</v>
          </cell>
          <cell r="N1384">
            <v>6</v>
          </cell>
        </row>
        <row r="1385">
          <cell r="A1385" t="str">
            <v>Price-Smart-Panama S.A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6</v>
          </cell>
          <cell r="J1385" t="str">
            <v>Price-Smart-Panama S.A</v>
          </cell>
          <cell r="O1385">
            <v>240</v>
          </cell>
        </row>
        <row r="1386">
          <cell r="A1386" t="str">
            <v>Price-Smart-Panama S.A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240</v>
          </cell>
          <cell r="J1386" t="str">
            <v>Price-Smart-Panama S.A</v>
          </cell>
          <cell r="R1386">
            <v>0</v>
          </cell>
        </row>
        <row r="1387">
          <cell r="A1387" t="str">
            <v>Price-Smart-Panama S.A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J1387" t="str">
            <v>Price-Smart-Panama S.A</v>
          </cell>
          <cell r="O1387">
            <v>421</v>
          </cell>
        </row>
        <row r="1388">
          <cell r="A1388" t="str">
            <v>Price-Smart-Panama S.A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421</v>
          </cell>
          <cell r="J1388" t="str">
            <v>Price-Smart-Panama S.A</v>
          </cell>
          <cell r="S1388">
            <v>1190</v>
          </cell>
        </row>
        <row r="1389">
          <cell r="A1389" t="str">
            <v>Price-Smart-Panama S.A</v>
          </cell>
          <cell r="C1389">
            <v>1190</v>
          </cell>
          <cell r="D1389">
            <v>0</v>
          </cell>
          <cell r="E1389">
            <v>0</v>
          </cell>
          <cell r="F1389">
            <v>0</v>
          </cell>
          <cell r="G1389">
            <v>1190</v>
          </cell>
          <cell r="J1389" t="str">
            <v>Price-Smart-Panama S.A</v>
          </cell>
        </row>
        <row r="1390">
          <cell r="A1390" t="str">
            <v>Price-Smart-Panama S.A</v>
          </cell>
          <cell r="C1390">
            <v>0</v>
          </cell>
          <cell r="D1390">
            <v>10</v>
          </cell>
          <cell r="E1390">
            <v>20</v>
          </cell>
          <cell r="F1390">
            <v>32</v>
          </cell>
          <cell r="G1390">
            <v>83</v>
          </cell>
          <cell r="J1390" t="str">
            <v>Price-Smart-Panama S.A</v>
          </cell>
          <cell r="V1390">
            <v>200</v>
          </cell>
        </row>
        <row r="1391">
          <cell r="A1391" t="str">
            <v>Price-Smart-Panama S.A</v>
          </cell>
          <cell r="C1391">
            <v>200</v>
          </cell>
          <cell r="D1391">
            <v>0</v>
          </cell>
          <cell r="E1391">
            <v>0</v>
          </cell>
          <cell r="F1391">
            <v>0</v>
          </cell>
          <cell r="G1391">
            <v>200</v>
          </cell>
          <cell r="J1391" t="str">
            <v>Price-Smart-Panama S.A</v>
          </cell>
          <cell r="M1391">
            <v>265</v>
          </cell>
        </row>
        <row r="1392">
          <cell r="A1392" t="str">
            <v>Price-Smart-Panama S.A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265</v>
          </cell>
          <cell r="J1392" t="str">
            <v>Price-Smart-Panama S.A</v>
          </cell>
          <cell r="N1392">
            <v>130</v>
          </cell>
        </row>
        <row r="1393">
          <cell r="A1393" t="str">
            <v>Price-Smart-Panama S.A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130</v>
          </cell>
          <cell r="J1393" t="str">
            <v>Price-Smart-Panama S.A</v>
          </cell>
          <cell r="M1393">
            <v>52</v>
          </cell>
        </row>
        <row r="1394">
          <cell r="A1394" t="str">
            <v>Price-Smart-Panama S.A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52</v>
          </cell>
          <cell r="J1394" t="str">
            <v>Price-Smart-Panama S.A</v>
          </cell>
          <cell r="M1394">
            <v>360</v>
          </cell>
        </row>
        <row r="1395">
          <cell r="A1395" t="str">
            <v>Price-Smart-Panama S.A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360</v>
          </cell>
          <cell r="J1395" t="str">
            <v>Price-Smart-Panama S.A</v>
          </cell>
          <cell r="P1395">
            <v>150</v>
          </cell>
        </row>
        <row r="1396">
          <cell r="A1396" t="str">
            <v>Price-Smart-Panama S.A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150</v>
          </cell>
          <cell r="J1396" t="str">
            <v>Price-Smart-Panama S.A</v>
          </cell>
          <cell r="O1396">
            <v>105</v>
          </cell>
        </row>
        <row r="1397">
          <cell r="A1397" t="str">
            <v>Price-Smart-Panama S.A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105</v>
          </cell>
          <cell r="J1397" t="str">
            <v>Price-Smart-Panama S.A</v>
          </cell>
          <cell r="O1397">
            <v>480</v>
          </cell>
        </row>
        <row r="1398">
          <cell r="A1398" t="str">
            <v>Price-Smart-Panama S.A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480</v>
          </cell>
          <cell r="J1398" t="str">
            <v>Price-Smart-Panama S.A</v>
          </cell>
          <cell r="M1398">
            <v>740</v>
          </cell>
        </row>
        <row r="1399">
          <cell r="A1399" t="str">
            <v>Price-Smart-Panama S.A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740</v>
          </cell>
          <cell r="J1399" t="str">
            <v>Price-Smart-Panama S.A</v>
          </cell>
          <cell r="T1399">
            <v>0</v>
          </cell>
        </row>
        <row r="1400">
          <cell r="A1400" t="str">
            <v>Price-Smart-Panama S.A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J1400" t="str">
            <v>Price-Smart-Panama S.A</v>
          </cell>
          <cell r="T1400">
            <v>240</v>
          </cell>
        </row>
        <row r="1401">
          <cell r="A1401" t="str">
            <v>Price-Smart-Panama S.A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240</v>
          </cell>
          <cell r="J1401" t="str">
            <v>Price-Smart-Panama S.A</v>
          </cell>
          <cell r="U1401">
            <v>0</v>
          </cell>
        </row>
        <row r="1402">
          <cell r="A1402" t="str">
            <v>Price-Smart-Panama S.A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J1402" t="str">
            <v>Price-Smart-Panama S.A</v>
          </cell>
          <cell r="W1402">
            <v>200</v>
          </cell>
        </row>
        <row r="1403">
          <cell r="A1403" t="str">
            <v>Price-Smart-Panama S.A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200</v>
          </cell>
          <cell r="J1403" t="str">
            <v>Price-Smart-Panama S.A</v>
          </cell>
          <cell r="V1403">
            <v>30</v>
          </cell>
        </row>
        <row r="1404">
          <cell r="A1404" t="str">
            <v>Price-Smart-Panama S.A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30</v>
          </cell>
          <cell r="J1404" t="str">
            <v>Price-Smart-Panama S.A</v>
          </cell>
          <cell r="N1404">
            <v>0</v>
          </cell>
        </row>
        <row r="1405">
          <cell r="A1405" t="str">
            <v>Price-Smart-Panama S.A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J1405" t="str">
            <v>Price-Smart-Panama S.A</v>
          </cell>
          <cell r="O1405">
            <v>346</v>
          </cell>
        </row>
        <row r="1406">
          <cell r="A1406" t="str">
            <v>Price-Smart-Panama S.A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346</v>
          </cell>
          <cell r="J1406" t="str">
            <v>Vima Foods Panamá S.A.</v>
          </cell>
          <cell r="M1406">
            <v>325</v>
          </cell>
        </row>
        <row r="1407">
          <cell r="A1407" t="str">
            <v>Vima Foods Panamá S.A.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325</v>
          </cell>
          <cell r="J1407" t="str">
            <v>Vima Foods Panamá S.A.</v>
          </cell>
          <cell r="P1407">
            <v>102</v>
          </cell>
        </row>
        <row r="1408">
          <cell r="A1408" t="str">
            <v>Vima Foods Panamá S.A.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102</v>
          </cell>
          <cell r="J1408" t="str">
            <v>Vima Foods Panamá S.A.</v>
          </cell>
          <cell r="N1408">
            <v>100</v>
          </cell>
        </row>
        <row r="1409">
          <cell r="A1409" t="str">
            <v>Vima Foods Panamá S.A.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100</v>
          </cell>
          <cell r="J1409" t="str">
            <v>Vima Foods Panamá S.A.</v>
          </cell>
          <cell r="O1409">
            <v>180</v>
          </cell>
        </row>
        <row r="1410">
          <cell r="A1410" t="str">
            <v>Vima Foods Panamá S.A.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180</v>
          </cell>
          <cell r="J1410" t="str">
            <v>Vima Foods Panamá S.A.</v>
          </cell>
          <cell r="Q1410">
            <v>1060</v>
          </cell>
        </row>
        <row r="1411">
          <cell r="A1411" t="str">
            <v>Vima Foods Panamá S.A.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1060</v>
          </cell>
          <cell r="J1411" t="str">
            <v>Vima Foods Panamá S.A.</v>
          </cell>
          <cell r="N1411">
            <v>542</v>
          </cell>
        </row>
        <row r="1412">
          <cell r="A1412" t="str">
            <v>Vima Foods Panamá S.A.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542</v>
          </cell>
          <cell r="J1412" t="str">
            <v>Vima Foods Panamá S.A.</v>
          </cell>
          <cell r="N1412">
            <v>264</v>
          </cell>
        </row>
        <row r="1413">
          <cell r="A1413" t="str">
            <v>Vima Foods Panamá S.A.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264</v>
          </cell>
          <cell r="J1413" t="str">
            <v>Vima Foods Panamá S.A.</v>
          </cell>
          <cell r="N1413">
            <v>250</v>
          </cell>
        </row>
        <row r="1414">
          <cell r="A1414" t="str">
            <v>Vima Foods Panamá S.A.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250</v>
          </cell>
          <cell r="J1414" t="str">
            <v>Vima Foods Panamá S.A.</v>
          </cell>
          <cell r="N1414">
            <v>0</v>
          </cell>
        </row>
        <row r="1415">
          <cell r="A1415" t="str">
            <v>Vima Foods Panamá S.A.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J1415" t="str">
            <v>Vima Foods Panamá S.A.</v>
          </cell>
          <cell r="N1415">
            <v>456</v>
          </cell>
        </row>
        <row r="1416">
          <cell r="A1416" t="str">
            <v>Vima Foods Panamá S.A.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456</v>
          </cell>
          <cell r="J1416" t="str">
            <v>Vima Foods Panamá S.A.</v>
          </cell>
          <cell r="O1416">
            <v>219</v>
          </cell>
        </row>
        <row r="1417">
          <cell r="A1417" t="str">
            <v>Vima Foods Panamá S.A.</v>
          </cell>
          <cell r="C1417">
            <v>0</v>
          </cell>
          <cell r="D1417">
            <v>16</v>
          </cell>
          <cell r="E1417">
            <v>19</v>
          </cell>
          <cell r="F1417">
            <v>19</v>
          </cell>
          <cell r="G1417">
            <v>219</v>
          </cell>
          <cell r="J1417" t="str">
            <v>Vima Foods Panamá S.A.</v>
          </cell>
          <cell r="O1417">
            <v>34</v>
          </cell>
        </row>
        <row r="1418">
          <cell r="A1418" t="str">
            <v>Vima Foods Panamá S.A.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34</v>
          </cell>
          <cell r="J1418" t="str">
            <v>Vima Foods Panamá S.A.</v>
          </cell>
          <cell r="N1418">
            <v>230</v>
          </cell>
        </row>
        <row r="1419">
          <cell r="A1419" t="str">
            <v>Vima Foods Panamá S.A.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230</v>
          </cell>
          <cell r="J1419" t="str">
            <v>Vima Foods Panamá S.A.</v>
          </cell>
          <cell r="N1419">
            <v>97</v>
          </cell>
        </row>
        <row r="1420">
          <cell r="A1420" t="str">
            <v>Vima Foods Panamá S.A.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97</v>
          </cell>
          <cell r="J1420" t="str">
            <v>Vima Foods Panamá S.A.</v>
          </cell>
          <cell r="N1420">
            <v>120</v>
          </cell>
        </row>
        <row r="1421">
          <cell r="A1421" t="str">
            <v>Vima Foods Panamá S.A.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120</v>
          </cell>
          <cell r="J1421" t="str">
            <v>Vima Foods Panamá S.A.</v>
          </cell>
          <cell r="O1421">
            <v>0</v>
          </cell>
        </row>
        <row r="1422">
          <cell r="A1422" t="str">
            <v>Vima Foods Panamá S.A.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J1422" t="str">
            <v>Vima Foods Panamá S.A.</v>
          </cell>
          <cell r="M1422">
            <v>209</v>
          </cell>
        </row>
        <row r="1423">
          <cell r="A1423" t="str">
            <v>Vima Foods Panamá S.A.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209</v>
          </cell>
          <cell r="J1423" t="str">
            <v>Vima Foods Panamá S.A.</v>
          </cell>
          <cell r="S1423">
            <v>150</v>
          </cell>
        </row>
        <row r="1424">
          <cell r="A1424" t="str">
            <v>Vima Foods Panamá S.A.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150</v>
          </cell>
          <cell r="J1424" t="str">
            <v>Vima Foods Panamá S.A.</v>
          </cell>
          <cell r="M1424">
            <v>630</v>
          </cell>
        </row>
        <row r="1425">
          <cell r="A1425" t="str">
            <v>Vima Foods Panamá S.A.</v>
          </cell>
          <cell r="C1425">
            <v>0</v>
          </cell>
          <cell r="D1425">
            <v>120</v>
          </cell>
          <cell r="E1425">
            <v>180</v>
          </cell>
          <cell r="F1425">
            <v>60</v>
          </cell>
          <cell r="G1425">
            <v>630</v>
          </cell>
          <cell r="J1425" t="str">
            <v>PRODUCTOS KIENER</v>
          </cell>
          <cell r="O1425">
            <v>30</v>
          </cell>
        </row>
        <row r="1426">
          <cell r="A1426" t="str">
            <v>PRODUCTOS KIENER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30</v>
          </cell>
          <cell r="J1426" t="str">
            <v>PRODUCTOS KIENER</v>
          </cell>
          <cell r="P1426">
            <v>102</v>
          </cell>
        </row>
        <row r="1427">
          <cell r="A1427" t="str">
            <v>PRODUCTOS KIENER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102</v>
          </cell>
          <cell r="J1427" t="str">
            <v>PRODUCTOS KIENER</v>
          </cell>
          <cell r="N1427">
            <v>100</v>
          </cell>
        </row>
        <row r="1428">
          <cell r="A1428" t="str">
            <v>PRODUCTOS KIENER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100</v>
          </cell>
          <cell r="J1428" t="str">
            <v>PRODUCTOS KIENER</v>
          </cell>
          <cell r="N1428">
            <v>70</v>
          </cell>
        </row>
        <row r="1429">
          <cell r="A1429" t="str">
            <v>PRODUCTOS KIENER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70</v>
          </cell>
          <cell r="J1429" t="str">
            <v>PRODUCTOS KIENER</v>
          </cell>
          <cell r="Q1429">
            <v>1060</v>
          </cell>
        </row>
        <row r="1430">
          <cell r="A1430" t="str">
            <v>PRODUCTOS KIENER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1060</v>
          </cell>
          <cell r="J1430" t="str">
            <v>PRODUCTOS KIENER</v>
          </cell>
          <cell r="N1430">
            <v>100</v>
          </cell>
        </row>
        <row r="1431">
          <cell r="A1431" t="str">
            <v>PRODUCTOS KIENER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100</v>
          </cell>
          <cell r="J1431" t="str">
            <v>PRODUCTOS KIENER</v>
          </cell>
          <cell r="N1431">
            <v>250</v>
          </cell>
        </row>
        <row r="1432">
          <cell r="A1432" t="str">
            <v>PRODUCTOS KIENER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250</v>
          </cell>
          <cell r="J1432" t="str">
            <v>PRODUCTOS KIENER</v>
          </cell>
          <cell r="R1432">
            <v>180</v>
          </cell>
        </row>
        <row r="1433">
          <cell r="A1433" t="str">
            <v>PRODUCTOS KIENER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180</v>
          </cell>
          <cell r="J1433" t="str">
            <v>PRODUCTOS KIENER</v>
          </cell>
          <cell r="S1433">
            <v>73</v>
          </cell>
        </row>
        <row r="1434">
          <cell r="A1434" t="str">
            <v>PRODUCTOS KIENER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73</v>
          </cell>
          <cell r="J1434" t="str">
            <v>PRODUCTOS KIENER</v>
          </cell>
          <cell r="O1434">
            <v>65</v>
          </cell>
        </row>
        <row r="1435">
          <cell r="A1435" t="str">
            <v>PRODUCTOS KIENER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65</v>
          </cell>
          <cell r="J1435" t="str">
            <v>PRODUCTOS KIENER</v>
          </cell>
          <cell r="N1435">
            <v>70</v>
          </cell>
        </row>
        <row r="1436">
          <cell r="A1436" t="str">
            <v>PRODUCTOS KIENER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70</v>
          </cell>
          <cell r="J1436" t="str">
            <v>PRODUCTOS KIENER</v>
          </cell>
          <cell r="O1436">
            <v>1090</v>
          </cell>
        </row>
        <row r="1437">
          <cell r="A1437" t="str">
            <v>PRODUCTOS KIENER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1090</v>
          </cell>
          <cell r="J1437" t="str">
            <v>PRODUCTOS KIENER</v>
          </cell>
          <cell r="M1437">
            <v>0</v>
          </cell>
        </row>
        <row r="1438">
          <cell r="A1438" t="str">
            <v>PRODUCTOS KIENER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J1438" t="str">
            <v>PRODUCTOS KIENER</v>
          </cell>
          <cell r="N1438">
            <v>282</v>
          </cell>
        </row>
        <row r="1439">
          <cell r="A1439" t="str">
            <v>PRODUCTOS KIENER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282</v>
          </cell>
          <cell r="J1439" t="str">
            <v>PRODUCTOS KIENER</v>
          </cell>
          <cell r="N1439">
            <v>467</v>
          </cell>
        </row>
        <row r="1440">
          <cell r="A1440" t="str">
            <v>PRODUCTOS KIENER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467</v>
          </cell>
          <cell r="J1440" t="str">
            <v>PRODUCTOS KIENER</v>
          </cell>
          <cell r="N1440">
            <v>38</v>
          </cell>
        </row>
        <row r="1441">
          <cell r="A1441" t="str">
            <v>PRODUCTOS KIENER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38</v>
          </cell>
          <cell r="J1441" t="str">
            <v>PRODUCTOS KIENER</v>
          </cell>
          <cell r="N1441">
            <v>70</v>
          </cell>
        </row>
        <row r="1442">
          <cell r="A1442" t="str">
            <v>PRODUCTOS KIENER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70</v>
          </cell>
          <cell r="J1442" t="str">
            <v>PRODUCTOS KIENER</v>
          </cell>
          <cell r="N1442">
            <v>60</v>
          </cell>
        </row>
        <row r="1443">
          <cell r="A1443" t="str">
            <v>PRODUCTOS KIENER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60</v>
          </cell>
          <cell r="J1443" t="str">
            <v>PRODUCTOS KIENER</v>
          </cell>
          <cell r="N1443">
            <v>243</v>
          </cell>
        </row>
        <row r="1444">
          <cell r="A1444" t="str">
            <v>PRODUCTOS KIENER</v>
          </cell>
          <cell r="C1444">
            <v>0</v>
          </cell>
          <cell r="D1444">
            <v>13</v>
          </cell>
          <cell r="E1444">
            <v>37</v>
          </cell>
          <cell r="F1444">
            <v>28</v>
          </cell>
          <cell r="G1444">
            <v>243</v>
          </cell>
          <cell r="J1444" t="str">
            <v>PRODUCTOS KIENER</v>
          </cell>
          <cell r="N1444">
            <v>62</v>
          </cell>
        </row>
        <row r="1445">
          <cell r="A1445" t="str">
            <v>PRODUCTOS KIENER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62</v>
          </cell>
          <cell r="J1445" t="str">
            <v>PRODUCTOS KIENER</v>
          </cell>
          <cell r="O1445">
            <v>116</v>
          </cell>
        </row>
        <row r="1446">
          <cell r="A1446" t="str">
            <v>PRODUCTOS KIENER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116</v>
          </cell>
          <cell r="J1446" t="str">
            <v>PRODUCTOS KIENER</v>
          </cell>
          <cell r="N1446">
            <v>542</v>
          </cell>
        </row>
        <row r="1447">
          <cell r="A1447" t="str">
            <v>PRODUCTOS KIENER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542</v>
          </cell>
          <cell r="J1447" t="str">
            <v>PRODUCTOS KIENER</v>
          </cell>
          <cell r="S1447">
            <v>211</v>
          </cell>
        </row>
        <row r="1448">
          <cell r="A1448" t="str">
            <v>PRODUCTOS KIENER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211</v>
          </cell>
          <cell r="J1448" t="str">
            <v>PRODUCTOS KIENER</v>
          </cell>
          <cell r="O1448">
            <v>138</v>
          </cell>
        </row>
        <row r="1449">
          <cell r="A1449" t="str">
            <v>PRODUCTOS KIENER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138</v>
          </cell>
          <cell r="J1449" t="str">
            <v>PRODUCTOS KIENER</v>
          </cell>
          <cell r="N1449">
            <v>147</v>
          </cell>
        </row>
        <row r="1450">
          <cell r="A1450" t="str">
            <v>PRODUCTOS KIENER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147</v>
          </cell>
          <cell r="J1450" t="str">
            <v>PRODUCTOS KIENER</v>
          </cell>
          <cell r="M1450">
            <v>500</v>
          </cell>
        </row>
        <row r="1451">
          <cell r="A1451" t="str">
            <v>PRODUCTOS KIENER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500</v>
          </cell>
          <cell r="J1451" t="str">
            <v>PRODUCTOS KIENER</v>
          </cell>
          <cell r="N1451">
            <v>62</v>
          </cell>
        </row>
        <row r="1452">
          <cell r="A1452" t="str">
            <v>PRODUCTOS KIENER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62</v>
          </cell>
          <cell r="J1452" t="str">
            <v>PRODUCTOS KIENER</v>
          </cell>
          <cell r="M1452">
            <v>155</v>
          </cell>
        </row>
        <row r="1453">
          <cell r="A1453" t="str">
            <v>PRODUCTOS KIENER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155</v>
          </cell>
          <cell r="J1453" t="str">
            <v>PRODUCTOS KIENER</v>
          </cell>
          <cell r="M1453">
            <v>100</v>
          </cell>
        </row>
        <row r="1454">
          <cell r="A1454" t="str">
            <v>PRODUCTOS KIENER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100</v>
          </cell>
          <cell r="J1454" t="str">
            <v>PRODUCTOS KIENER</v>
          </cell>
          <cell r="S1454">
            <v>179</v>
          </cell>
        </row>
        <row r="1455">
          <cell r="A1455" t="str">
            <v>PRODUCTOS KIENER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179</v>
          </cell>
          <cell r="J1455" t="str">
            <v>PRODUCTOS KIENER</v>
          </cell>
          <cell r="N1455">
            <v>50</v>
          </cell>
        </row>
        <row r="1456">
          <cell r="A1456" t="str">
            <v>PRODUCTOS KIENER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50</v>
          </cell>
          <cell r="J1456" t="str">
            <v>PRODUCTOS KIENER</v>
          </cell>
          <cell r="N1456">
            <v>162</v>
          </cell>
        </row>
        <row r="1457">
          <cell r="A1457" t="str">
            <v>PRODUCTOS KIENER</v>
          </cell>
          <cell r="C1457">
            <v>162</v>
          </cell>
          <cell r="D1457">
            <v>0</v>
          </cell>
          <cell r="E1457">
            <v>0</v>
          </cell>
          <cell r="F1457">
            <v>0</v>
          </cell>
          <cell r="G1457">
            <v>162</v>
          </cell>
          <cell r="J1457" t="str">
            <v>PRODUCTOS KIENER</v>
          </cell>
          <cell r="N1457">
            <v>86</v>
          </cell>
        </row>
        <row r="1458">
          <cell r="A1458" t="str">
            <v>PRODUCTOS KIENER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86</v>
          </cell>
          <cell r="J1458" t="str">
            <v>PRODUCTOS KIENER</v>
          </cell>
          <cell r="M1458">
            <v>201</v>
          </cell>
        </row>
        <row r="1459">
          <cell r="A1459" t="str">
            <v>PRODUCTOS KIENER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201</v>
          </cell>
          <cell r="J1459" t="str">
            <v>PRODUCTOS KIENER</v>
          </cell>
          <cell r="T1459">
            <v>73</v>
          </cell>
        </row>
        <row r="1460">
          <cell r="A1460" t="str">
            <v>PRODUCTOS KIENER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73</v>
          </cell>
          <cell r="J1460" t="str">
            <v>PRODUCTOS KIENER</v>
          </cell>
          <cell r="R1460">
            <v>181</v>
          </cell>
        </row>
        <row r="1461">
          <cell r="A1461" t="str">
            <v>PRODUCTOS KIENER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181</v>
          </cell>
          <cell r="J1461" t="str">
            <v>PRODUCTOS KIENER</v>
          </cell>
          <cell r="N1461">
            <v>201</v>
          </cell>
        </row>
        <row r="1462">
          <cell r="A1462" t="str">
            <v>PRODUCTOS KIENER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201</v>
          </cell>
          <cell r="J1462" t="str">
            <v>PRODUCTOS KIENER</v>
          </cell>
          <cell r="N1462">
            <v>0</v>
          </cell>
        </row>
        <row r="1463">
          <cell r="A1463" t="str">
            <v>PRODUCTOS KIENER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J1463" t="str">
            <v>PRODUCTOS KIENER</v>
          </cell>
          <cell r="M1463">
            <v>150</v>
          </cell>
        </row>
        <row r="1464">
          <cell r="A1464" t="str">
            <v>PRODUCTOS KIENER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150</v>
          </cell>
          <cell r="J1464" t="str">
            <v>PRODUCTOS KIENER</v>
          </cell>
          <cell r="O1464">
            <v>1200</v>
          </cell>
        </row>
        <row r="1465">
          <cell r="A1465" t="str">
            <v>PRODUCTOS KIENER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1200</v>
          </cell>
          <cell r="J1465" t="str">
            <v>PRODUCTOS KIENER</v>
          </cell>
          <cell r="N1465">
            <v>20</v>
          </cell>
        </row>
        <row r="1466">
          <cell r="A1466" t="str">
            <v>PRODUCTOS KIENER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20</v>
          </cell>
          <cell r="J1466" t="str">
            <v>PRODUCTOS KIENER</v>
          </cell>
          <cell r="M1466">
            <v>390</v>
          </cell>
        </row>
        <row r="1467">
          <cell r="A1467" t="str">
            <v>PRODUCTOS KIENER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390</v>
          </cell>
          <cell r="J1467" t="str">
            <v>PRODUCTOS KIENER</v>
          </cell>
          <cell r="O1467">
            <v>410</v>
          </cell>
        </row>
        <row r="1468">
          <cell r="A1468" t="str">
            <v>PRODUCTOS KIENER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410</v>
          </cell>
          <cell r="J1468" t="str">
            <v>PRODUCTOS KIENER</v>
          </cell>
          <cell r="N1468">
            <v>356</v>
          </cell>
        </row>
        <row r="1469">
          <cell r="A1469" t="str">
            <v>PRODUCTOS KIENER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356</v>
          </cell>
          <cell r="J1469" t="str">
            <v>PRODUCTOS KIENER</v>
          </cell>
          <cell r="N1469">
            <v>90</v>
          </cell>
        </row>
        <row r="1470">
          <cell r="A1470" t="str">
            <v>PRODUCTOS KIENER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90</v>
          </cell>
          <cell r="J1470" t="str">
            <v>PRODUCTOS KIENER</v>
          </cell>
          <cell r="N1470">
            <v>84</v>
          </cell>
        </row>
        <row r="1471">
          <cell r="A1471" t="str">
            <v>PRODUCTOS KIENER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84</v>
          </cell>
          <cell r="J1471" t="str">
            <v>PRODUCTOS KIENER</v>
          </cell>
          <cell r="N1471">
            <v>22</v>
          </cell>
        </row>
        <row r="1472">
          <cell r="A1472" t="str">
            <v>PRODUCTOS KIENER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22</v>
          </cell>
          <cell r="J1472" t="str">
            <v>PRODUCTOS KIENER</v>
          </cell>
          <cell r="N1472">
            <v>205</v>
          </cell>
        </row>
        <row r="1473">
          <cell r="A1473" t="str">
            <v>PRODUCTOS KIENER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205</v>
          </cell>
          <cell r="J1473" t="str">
            <v>PRODUCTOS KIENER</v>
          </cell>
          <cell r="N1473">
            <v>0</v>
          </cell>
        </row>
        <row r="1474">
          <cell r="A1474" t="str">
            <v>PRODUCTOS KIENER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J1474" t="str">
            <v>PRODUCTOS KIENER</v>
          </cell>
          <cell r="N1474">
            <v>251</v>
          </cell>
        </row>
        <row r="1475">
          <cell r="A1475" t="str">
            <v>PRODUCTOS KIENER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251</v>
          </cell>
          <cell r="J1475" t="str">
            <v>PRODUCTOS KIENER</v>
          </cell>
          <cell r="N1475">
            <v>75</v>
          </cell>
        </row>
        <row r="1476">
          <cell r="A1476" t="str">
            <v>PRODUCTOS KIENER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75</v>
          </cell>
          <cell r="J1476" t="str">
            <v>PRODUCTOS KIENER</v>
          </cell>
          <cell r="O1476">
            <v>1017</v>
          </cell>
        </row>
        <row r="1477">
          <cell r="A1477" t="str">
            <v>PRODUCTOS KIENER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1017</v>
          </cell>
          <cell r="J1477" t="str">
            <v>PRODUCTOS KIENER</v>
          </cell>
          <cell r="O1477">
            <v>219</v>
          </cell>
        </row>
        <row r="1478">
          <cell r="A1478" t="str">
            <v>PRODUCTOS KIENER</v>
          </cell>
          <cell r="C1478">
            <v>0</v>
          </cell>
          <cell r="D1478">
            <v>16</v>
          </cell>
          <cell r="E1478">
            <v>19</v>
          </cell>
          <cell r="F1478">
            <v>19</v>
          </cell>
          <cell r="G1478">
            <v>219</v>
          </cell>
          <cell r="J1478" t="str">
            <v>PRODUCTOS KIENER</v>
          </cell>
          <cell r="Q1478">
            <v>83</v>
          </cell>
        </row>
        <row r="1479">
          <cell r="A1479" t="str">
            <v>PRODUCTOS KIENER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83</v>
          </cell>
          <cell r="J1479" t="str">
            <v>PRODUCTOS KIENER</v>
          </cell>
          <cell r="S1479">
            <v>152</v>
          </cell>
        </row>
        <row r="1480">
          <cell r="A1480" t="str">
            <v>PRODUCTOS KIENER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152</v>
          </cell>
          <cell r="J1480" t="str">
            <v>PRODUCTOS KIENER</v>
          </cell>
          <cell r="Q1480">
            <v>60</v>
          </cell>
        </row>
        <row r="1481">
          <cell r="A1481" t="str">
            <v>PRODUCTOS KIENER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60</v>
          </cell>
          <cell r="J1481" t="str">
            <v>PRODUCTOS KIENER</v>
          </cell>
          <cell r="M1481">
            <v>910</v>
          </cell>
        </row>
        <row r="1482">
          <cell r="A1482" t="str">
            <v>PRODUCTOS KIENER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910</v>
          </cell>
          <cell r="J1482" t="str">
            <v>PRODUCTOS KIENER</v>
          </cell>
          <cell r="M1482">
            <v>400</v>
          </cell>
        </row>
        <row r="1483">
          <cell r="A1483" t="str">
            <v>PRODUCTOS KIENER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400</v>
          </cell>
          <cell r="J1483" t="str">
            <v>PRODUCTOS KIENER</v>
          </cell>
          <cell r="Q1483">
            <v>496</v>
          </cell>
        </row>
        <row r="1484">
          <cell r="A1484" t="str">
            <v>PRODUCTOS KIENER</v>
          </cell>
          <cell r="C1484">
            <v>73</v>
          </cell>
          <cell r="D1484">
            <v>0</v>
          </cell>
          <cell r="E1484">
            <v>0</v>
          </cell>
          <cell r="F1484">
            <v>0</v>
          </cell>
          <cell r="G1484">
            <v>496</v>
          </cell>
          <cell r="J1484" t="str">
            <v>PRODUCTOS KIENER</v>
          </cell>
          <cell r="Q1484">
            <v>4560</v>
          </cell>
        </row>
        <row r="1485">
          <cell r="A1485" t="str">
            <v>PRODUCTOS KIENER</v>
          </cell>
          <cell r="C1485">
            <v>0</v>
          </cell>
          <cell r="D1485">
            <v>680</v>
          </cell>
          <cell r="E1485">
            <v>450</v>
          </cell>
          <cell r="F1485">
            <v>450</v>
          </cell>
          <cell r="G1485">
            <v>4560</v>
          </cell>
          <cell r="J1485" t="str">
            <v>PRODUCTOS KIENER</v>
          </cell>
          <cell r="N1485">
            <v>0</v>
          </cell>
        </row>
        <row r="1486">
          <cell r="A1486" t="str">
            <v>PRODUCTOS KIENER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J1486" t="str">
            <v>PRODUCTOS KIENER</v>
          </cell>
          <cell r="M1486">
            <v>400</v>
          </cell>
        </row>
        <row r="1487">
          <cell r="A1487" t="str">
            <v>PRODUCTOS KIENER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400</v>
          </cell>
          <cell r="J1487" t="str">
            <v>PRODUCTOS KIENER</v>
          </cell>
          <cell r="O1487">
            <v>34</v>
          </cell>
        </row>
        <row r="1488">
          <cell r="A1488" t="str">
            <v>PRODUCTOS KIENER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34</v>
          </cell>
          <cell r="J1488" t="str">
            <v>PRODUCTOS KIENER</v>
          </cell>
          <cell r="N1488">
            <v>230</v>
          </cell>
        </row>
        <row r="1489">
          <cell r="A1489" t="str">
            <v>PRODUCTOS KIENER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230</v>
          </cell>
          <cell r="J1489" t="str">
            <v>PRODUCTOS KIENER</v>
          </cell>
          <cell r="M1489">
            <v>350</v>
          </cell>
        </row>
        <row r="1490">
          <cell r="A1490" t="str">
            <v>PRODUCTOS KIENER</v>
          </cell>
          <cell r="C1490">
            <v>200</v>
          </cell>
          <cell r="D1490">
            <v>25</v>
          </cell>
          <cell r="E1490">
            <v>100</v>
          </cell>
          <cell r="F1490">
            <v>25</v>
          </cell>
          <cell r="G1490">
            <v>350</v>
          </cell>
          <cell r="J1490" t="str">
            <v>PRODUCTOS KIENER</v>
          </cell>
          <cell r="M1490">
            <v>352</v>
          </cell>
        </row>
        <row r="1491">
          <cell r="A1491" t="str">
            <v>PRODUCTOS KIENER</v>
          </cell>
          <cell r="C1491">
            <v>225</v>
          </cell>
          <cell r="D1491">
            <v>0</v>
          </cell>
          <cell r="E1491">
            <v>0</v>
          </cell>
          <cell r="F1491">
            <v>0</v>
          </cell>
          <cell r="G1491">
            <v>352</v>
          </cell>
          <cell r="J1491" t="str">
            <v>PRODUCTOS KIENER</v>
          </cell>
          <cell r="N1491">
            <v>510</v>
          </cell>
        </row>
        <row r="1492">
          <cell r="A1492" t="str">
            <v>PRODUCTOS KIENER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510</v>
          </cell>
          <cell r="J1492" t="str">
            <v>PRODUCTOS KIENER</v>
          </cell>
          <cell r="M1492">
            <v>1350</v>
          </cell>
        </row>
        <row r="1493">
          <cell r="A1493" t="str">
            <v>PRODUCTOS KIENER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1350</v>
          </cell>
          <cell r="J1493" t="str">
            <v>PRODUCTOS KIENER</v>
          </cell>
          <cell r="M1493">
            <v>77</v>
          </cell>
        </row>
        <row r="1494">
          <cell r="A1494" t="str">
            <v>PRODUCTOS KIENER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77</v>
          </cell>
          <cell r="J1494" t="str">
            <v>PRODUCTOS KIENER</v>
          </cell>
          <cell r="S1494">
            <v>56</v>
          </cell>
        </row>
        <row r="1495">
          <cell r="A1495" t="str">
            <v>PRODUCTOS KIENER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56</v>
          </cell>
          <cell r="J1495" t="str">
            <v>PRODUCTOS KIENER</v>
          </cell>
          <cell r="N1495">
            <v>130</v>
          </cell>
        </row>
        <row r="1496">
          <cell r="A1496" t="str">
            <v>PRODUCTOS KIENER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130</v>
          </cell>
          <cell r="J1496" t="str">
            <v>PRODUCTOS KIENER</v>
          </cell>
          <cell r="S1496">
            <v>40</v>
          </cell>
        </row>
        <row r="1497">
          <cell r="A1497" t="str">
            <v>PRODUCTOS KIENER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40</v>
          </cell>
          <cell r="J1497" t="str">
            <v>PRODUCTOS KIENER</v>
          </cell>
          <cell r="N1497">
            <v>120</v>
          </cell>
        </row>
        <row r="1498">
          <cell r="A1498" t="str">
            <v>PRODUCTOS KIENER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120</v>
          </cell>
          <cell r="J1498" t="str">
            <v>PRODUCTOS KIENER</v>
          </cell>
          <cell r="M1498">
            <v>125</v>
          </cell>
        </row>
        <row r="1499">
          <cell r="A1499" t="str">
            <v>PRODUCTOS KIENER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125</v>
          </cell>
          <cell r="J1499" t="str">
            <v>PRODUCTOS KIENER</v>
          </cell>
          <cell r="S1499">
            <v>50</v>
          </cell>
        </row>
        <row r="1500">
          <cell r="A1500" t="str">
            <v>PRODUCTOS KIENER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50</v>
          </cell>
          <cell r="J1500" t="str">
            <v>PRODUCTOS KIENER</v>
          </cell>
          <cell r="M1500">
            <v>25</v>
          </cell>
        </row>
        <row r="1501">
          <cell r="A1501" t="str">
            <v>PRODUCTOS KIENER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25</v>
          </cell>
          <cell r="J1501" t="str">
            <v>PRODUCTOS KIENER</v>
          </cell>
          <cell r="O1501">
            <v>0</v>
          </cell>
        </row>
        <row r="1502">
          <cell r="A1502" t="str">
            <v>PRODUCTOS KIENER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J1502" t="str">
            <v>PRODUCTOS KIENER</v>
          </cell>
          <cell r="M1502">
            <v>209</v>
          </cell>
        </row>
        <row r="1503">
          <cell r="A1503" t="str">
            <v>PRODUCTOS KIENER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209</v>
          </cell>
          <cell r="J1503" t="str">
            <v>PRODUCTOS KIENER</v>
          </cell>
          <cell r="M1503">
            <v>0</v>
          </cell>
        </row>
        <row r="1504">
          <cell r="A1504" t="str">
            <v>PRODUCTOS KIENER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J1504" t="str">
            <v>PRODUCTOS KIENER</v>
          </cell>
          <cell r="S1504">
            <v>150</v>
          </cell>
        </row>
        <row r="1505">
          <cell r="A1505" t="str">
            <v>PRODUCTOS KIENER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150</v>
          </cell>
          <cell r="J1505" t="str">
            <v>PRODUCTOS KIENER</v>
          </cell>
          <cell r="N1505">
            <v>6</v>
          </cell>
        </row>
        <row r="1506">
          <cell r="A1506" t="str">
            <v>PRODUCTOS KIENER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6</v>
          </cell>
          <cell r="J1506" t="str">
            <v>PRODUCTOS KIENER</v>
          </cell>
          <cell r="O1506">
            <v>240</v>
          </cell>
        </row>
        <row r="1507">
          <cell r="A1507" t="str">
            <v>PRODUCTOS KIENER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240</v>
          </cell>
          <cell r="J1507" t="str">
            <v>PRODUCTOS KIENER</v>
          </cell>
          <cell r="O1507">
            <v>421</v>
          </cell>
        </row>
        <row r="1508">
          <cell r="A1508" t="str">
            <v>PRODUCTOS KIENER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421</v>
          </cell>
          <cell r="J1508" t="str">
            <v>PRODUCTOS KIENER</v>
          </cell>
          <cell r="S1508">
            <v>200</v>
          </cell>
        </row>
        <row r="1509">
          <cell r="A1509" t="str">
            <v>PRODUCTOS KIENER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200</v>
          </cell>
          <cell r="J1509" t="str">
            <v>PRODUCTOS KIENER</v>
          </cell>
          <cell r="P1509">
            <v>173</v>
          </cell>
        </row>
        <row r="1510">
          <cell r="A1510" t="str">
            <v>PRODUCTOS KIENER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173</v>
          </cell>
          <cell r="J1510" t="str">
            <v>PRODUCTOS KIENER</v>
          </cell>
          <cell r="M1510">
            <v>265</v>
          </cell>
        </row>
        <row r="1511">
          <cell r="A1511" t="str">
            <v>PRODUCTOS KIENER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265</v>
          </cell>
          <cell r="J1511" t="str">
            <v>PRODUCTOS KIENER</v>
          </cell>
          <cell r="N1511">
            <v>110</v>
          </cell>
        </row>
        <row r="1512">
          <cell r="A1512" t="str">
            <v>PRODUCTOS KIENER</v>
          </cell>
          <cell r="C1512">
            <v>0</v>
          </cell>
          <cell r="D1512">
            <v>35</v>
          </cell>
          <cell r="E1512">
            <v>0</v>
          </cell>
          <cell r="F1512">
            <v>0</v>
          </cell>
          <cell r="G1512">
            <v>110</v>
          </cell>
          <cell r="J1512" t="str">
            <v>PRODUCTOS KIENER</v>
          </cell>
          <cell r="N1512">
            <v>130</v>
          </cell>
        </row>
        <row r="1513">
          <cell r="A1513" t="str">
            <v>PRODUCTOS KIENER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130</v>
          </cell>
          <cell r="J1513" t="str">
            <v>PRODUCTOS KIENER</v>
          </cell>
          <cell r="M1513">
            <v>1300</v>
          </cell>
        </row>
        <row r="1514">
          <cell r="A1514" t="str">
            <v>PRODUCTOS KIENER</v>
          </cell>
          <cell r="C1514">
            <v>100</v>
          </cell>
          <cell r="D1514">
            <v>0</v>
          </cell>
          <cell r="E1514">
            <v>0</v>
          </cell>
          <cell r="F1514">
            <v>0</v>
          </cell>
          <cell r="G1514">
            <v>1300</v>
          </cell>
          <cell r="J1514" t="str">
            <v>PRODUCTOS KIENER</v>
          </cell>
          <cell r="M1514">
            <v>52</v>
          </cell>
        </row>
        <row r="1515">
          <cell r="A1515" t="str">
            <v>PRODUCTOS KIENER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52</v>
          </cell>
          <cell r="J1515" t="str">
            <v>PRODUCTOS KIENER</v>
          </cell>
          <cell r="M1515">
            <v>50</v>
          </cell>
        </row>
        <row r="1516">
          <cell r="A1516" t="str">
            <v>PRODUCTOS KIENER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50</v>
          </cell>
          <cell r="J1516" t="str">
            <v>PRODUCTOS KIENER</v>
          </cell>
          <cell r="S1516">
            <v>40</v>
          </cell>
        </row>
        <row r="1517">
          <cell r="A1517" t="str">
            <v>PRODUCTOS KIENER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40</v>
          </cell>
          <cell r="J1517" t="str">
            <v>PRODUCTOS KIENER</v>
          </cell>
          <cell r="O1517">
            <v>105</v>
          </cell>
        </row>
        <row r="1518">
          <cell r="A1518" t="str">
            <v>PRODUCTOS KIENER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105</v>
          </cell>
          <cell r="J1518" t="str">
            <v>PRODUCTOS KIENER</v>
          </cell>
          <cell r="N1518">
            <v>490</v>
          </cell>
        </row>
        <row r="1519">
          <cell r="A1519" t="str">
            <v>PRODUCTOS KIENER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490</v>
          </cell>
          <cell r="J1519" t="str">
            <v>PRODUCTOS KIENER</v>
          </cell>
          <cell r="O1519">
            <v>480</v>
          </cell>
        </row>
        <row r="1520">
          <cell r="A1520" t="str">
            <v>PRODUCTOS KIENER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480</v>
          </cell>
          <cell r="J1520" t="str">
            <v>PRODUCTOS KIENER</v>
          </cell>
          <cell r="M1520">
            <v>740</v>
          </cell>
        </row>
        <row r="1521">
          <cell r="A1521" t="str">
            <v>PRODUCTOS KIENER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740</v>
          </cell>
          <cell r="J1521" t="str">
            <v>PRODUCTOS KIENER</v>
          </cell>
          <cell r="O1521">
            <v>346</v>
          </cell>
        </row>
        <row r="1522">
          <cell r="A1522" t="str">
            <v>PRODUCTOS KIENER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346</v>
          </cell>
          <cell r="J1522" t="str">
            <v>SALVA - MAR,</v>
          </cell>
          <cell r="N1522">
            <v>100</v>
          </cell>
        </row>
        <row r="1523">
          <cell r="A1523" t="str">
            <v>SALVA - MAR,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100</v>
          </cell>
          <cell r="J1523" t="str">
            <v>SALVA - MAR,</v>
          </cell>
          <cell r="Q1523">
            <v>1060</v>
          </cell>
        </row>
        <row r="1524">
          <cell r="A1524" t="str">
            <v>SALVA - MAR,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1060</v>
          </cell>
          <cell r="J1524" t="str">
            <v>SALVA - MAR,</v>
          </cell>
          <cell r="R1524">
            <v>180</v>
          </cell>
        </row>
        <row r="1525">
          <cell r="A1525" t="str">
            <v>SALVA - MAR,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180</v>
          </cell>
          <cell r="J1525" t="str">
            <v>SALVA - MAR,</v>
          </cell>
          <cell r="S1525">
            <v>73</v>
          </cell>
        </row>
        <row r="1526">
          <cell r="A1526" t="str">
            <v>SALVA - MAR,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73</v>
          </cell>
          <cell r="J1526" t="str">
            <v>SALVA - MAR,</v>
          </cell>
          <cell r="O1526">
            <v>65</v>
          </cell>
        </row>
        <row r="1527">
          <cell r="A1527" t="str">
            <v>SALVA - MAR,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65</v>
          </cell>
          <cell r="J1527" t="str">
            <v>SALVA - MAR,</v>
          </cell>
          <cell r="O1527">
            <v>1090</v>
          </cell>
        </row>
        <row r="1528">
          <cell r="A1528" t="str">
            <v>SALVA - MAR,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1090</v>
          </cell>
          <cell r="J1528" t="str">
            <v>SALVA - MAR,</v>
          </cell>
          <cell r="N1528">
            <v>282</v>
          </cell>
        </row>
        <row r="1529">
          <cell r="A1529" t="str">
            <v>SALVA - MAR,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282</v>
          </cell>
          <cell r="J1529" t="str">
            <v>SALVA - MAR,</v>
          </cell>
          <cell r="T1529">
            <v>82</v>
          </cell>
        </row>
        <row r="1530">
          <cell r="A1530" t="str">
            <v>SALVA - MAR,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82</v>
          </cell>
          <cell r="J1530" t="str">
            <v>SALVA - MAR,</v>
          </cell>
          <cell r="N1530">
            <v>70</v>
          </cell>
        </row>
        <row r="1531">
          <cell r="A1531" t="str">
            <v>SALVA - MAR,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70</v>
          </cell>
          <cell r="J1531" t="str">
            <v>SALVA - MAR,</v>
          </cell>
          <cell r="N1531">
            <v>62</v>
          </cell>
        </row>
        <row r="1532">
          <cell r="A1532" t="str">
            <v>SALVA - MAR,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62</v>
          </cell>
          <cell r="J1532" t="str">
            <v>SALVA - MAR,</v>
          </cell>
          <cell r="O1532">
            <v>116</v>
          </cell>
        </row>
        <row r="1533">
          <cell r="A1533" t="str">
            <v>SALVA - MAR,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116</v>
          </cell>
          <cell r="J1533" t="str">
            <v>SALVA - MAR,</v>
          </cell>
          <cell r="N1533">
            <v>542</v>
          </cell>
        </row>
        <row r="1534">
          <cell r="A1534" t="str">
            <v>SALVA - MAR,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542</v>
          </cell>
          <cell r="J1534" t="str">
            <v>SALVA - MAR,</v>
          </cell>
          <cell r="O1534">
            <v>138</v>
          </cell>
        </row>
        <row r="1535">
          <cell r="A1535" t="str">
            <v>SALVA - MAR,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138</v>
          </cell>
          <cell r="J1535" t="str">
            <v>SALVA - MAR,</v>
          </cell>
          <cell r="N1535">
            <v>105</v>
          </cell>
        </row>
        <row r="1536">
          <cell r="A1536" t="str">
            <v>SALVA - MAR,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105</v>
          </cell>
          <cell r="J1536" t="str">
            <v>SALVA - MAR,</v>
          </cell>
          <cell r="O1536">
            <v>60</v>
          </cell>
        </row>
        <row r="1537">
          <cell r="A1537" t="str">
            <v>SALVA - MAR,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60</v>
          </cell>
          <cell r="J1537" t="str">
            <v>SALVA - MAR,</v>
          </cell>
          <cell r="S1537">
            <v>179</v>
          </cell>
        </row>
        <row r="1538">
          <cell r="A1538" t="str">
            <v>SALVA - MAR,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179</v>
          </cell>
          <cell r="J1538" t="str">
            <v>SALVA - MAR,</v>
          </cell>
          <cell r="R1538">
            <v>181</v>
          </cell>
        </row>
        <row r="1539">
          <cell r="A1539" t="str">
            <v>SALVA - MAR,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181</v>
          </cell>
          <cell r="J1539" t="str">
            <v>SALVA - MAR,</v>
          </cell>
          <cell r="T1539">
            <v>635</v>
          </cell>
        </row>
        <row r="1540">
          <cell r="A1540" t="str">
            <v>SALVA - MAR,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635</v>
          </cell>
          <cell r="J1540" t="str">
            <v>SALVA - MAR,</v>
          </cell>
          <cell r="N1540">
            <v>201</v>
          </cell>
        </row>
        <row r="1541">
          <cell r="A1541" t="str">
            <v>SALVA - MAR,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201</v>
          </cell>
          <cell r="J1541" t="str">
            <v>SALVA - MAR,</v>
          </cell>
          <cell r="N1541">
            <v>0</v>
          </cell>
        </row>
        <row r="1542">
          <cell r="A1542" t="str">
            <v>SALVA - MAR,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J1542" t="str">
            <v>SALVA - MAR,</v>
          </cell>
          <cell r="M1542">
            <v>150</v>
          </cell>
        </row>
        <row r="1543">
          <cell r="A1543" t="str">
            <v>SALVA - MAR,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150</v>
          </cell>
          <cell r="J1543" t="str">
            <v>SALVA - MAR,</v>
          </cell>
          <cell r="O1543">
            <v>1200</v>
          </cell>
        </row>
        <row r="1544">
          <cell r="A1544" t="str">
            <v>SALVA - MAR,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1200</v>
          </cell>
          <cell r="J1544" t="str">
            <v>SALVA - MAR,</v>
          </cell>
          <cell r="N1544">
            <v>356</v>
          </cell>
        </row>
        <row r="1545">
          <cell r="A1545" t="str">
            <v>SALVA - MAR,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356</v>
          </cell>
          <cell r="J1545" t="str">
            <v>SALVA - MAR,</v>
          </cell>
          <cell r="N1545">
            <v>22</v>
          </cell>
        </row>
        <row r="1546">
          <cell r="A1546" t="str">
            <v>SALVA - MAR,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22</v>
          </cell>
          <cell r="J1546" t="str">
            <v>SALVA - MAR,</v>
          </cell>
          <cell r="N1546">
            <v>456</v>
          </cell>
        </row>
        <row r="1547">
          <cell r="A1547" t="str">
            <v>SALVA - MAR,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456</v>
          </cell>
          <cell r="J1547" t="str">
            <v>SALVA - MAR,</v>
          </cell>
          <cell r="N1547">
            <v>75</v>
          </cell>
        </row>
        <row r="1548">
          <cell r="A1548" t="str">
            <v>SALVA - MAR,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75</v>
          </cell>
          <cell r="J1548" t="str">
            <v>SALVA - MAR,</v>
          </cell>
          <cell r="T1548">
            <v>37</v>
          </cell>
        </row>
        <row r="1549">
          <cell r="A1549" t="str">
            <v>SALVA - MAR,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37</v>
          </cell>
          <cell r="J1549" t="str">
            <v>SALVA - MAR,</v>
          </cell>
          <cell r="M1549">
            <v>910</v>
          </cell>
        </row>
        <row r="1550">
          <cell r="A1550" t="str">
            <v>SALVA - MAR,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910</v>
          </cell>
          <cell r="J1550" t="str">
            <v>SALVA - MAR,</v>
          </cell>
          <cell r="U1550">
            <v>305</v>
          </cell>
        </row>
        <row r="1551">
          <cell r="A1551" t="str">
            <v>SALVA - MAR,</v>
          </cell>
          <cell r="C1551">
            <v>0</v>
          </cell>
          <cell r="D1551">
            <v>40</v>
          </cell>
          <cell r="E1551">
            <v>60</v>
          </cell>
          <cell r="F1551">
            <v>40</v>
          </cell>
          <cell r="G1551">
            <v>305</v>
          </cell>
          <cell r="J1551" t="str">
            <v>SALVA - MAR,</v>
          </cell>
          <cell r="N1551">
            <v>0</v>
          </cell>
        </row>
        <row r="1552">
          <cell r="A1552" t="str">
            <v>SALVA - MAR,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J1552" t="str">
            <v>SALVA - MAR,</v>
          </cell>
          <cell r="W1552">
            <v>0</v>
          </cell>
        </row>
        <row r="1553">
          <cell r="A1553" t="str">
            <v>SALVA - MAR,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J1553" t="str">
            <v>SALVA - MAR,</v>
          </cell>
          <cell r="M1553">
            <v>400</v>
          </cell>
        </row>
        <row r="1554">
          <cell r="A1554" t="str">
            <v>SALVA - MAR,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400</v>
          </cell>
          <cell r="J1554" t="str">
            <v>SALVA - MAR,</v>
          </cell>
          <cell r="N1554">
            <v>510</v>
          </cell>
        </row>
        <row r="1555">
          <cell r="A1555" t="str">
            <v>SALVA - MAR,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510</v>
          </cell>
          <cell r="J1555" t="str">
            <v>SALVA - MAR,</v>
          </cell>
          <cell r="N1555">
            <v>97</v>
          </cell>
        </row>
        <row r="1556">
          <cell r="A1556" t="str">
            <v>SALVA - MAR,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97</v>
          </cell>
          <cell r="J1556" t="str">
            <v>SALVA - MAR,</v>
          </cell>
          <cell r="W1556">
            <v>0</v>
          </cell>
        </row>
        <row r="1557">
          <cell r="A1557" t="str">
            <v>SALVA - MAR,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J1557" t="str">
            <v>SALVA - MAR,</v>
          </cell>
          <cell r="U1557">
            <v>251</v>
          </cell>
        </row>
        <row r="1558">
          <cell r="A1558" t="str">
            <v>SALVA - MAR,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251</v>
          </cell>
          <cell r="J1558" t="str">
            <v>SALVA - MAR,</v>
          </cell>
          <cell r="Y1558">
            <v>0</v>
          </cell>
        </row>
        <row r="1559">
          <cell r="A1559" t="str">
            <v>SALVA - MAR,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J1559" t="str">
            <v>SALVA - MAR,</v>
          </cell>
          <cell r="V1559">
            <v>200</v>
          </cell>
        </row>
        <row r="1560">
          <cell r="A1560" t="str">
            <v>SALVA - MAR,</v>
          </cell>
          <cell r="C1560">
            <v>200</v>
          </cell>
          <cell r="D1560">
            <v>0</v>
          </cell>
          <cell r="E1560">
            <v>0</v>
          </cell>
          <cell r="F1560">
            <v>0</v>
          </cell>
          <cell r="G1560">
            <v>200</v>
          </cell>
          <cell r="J1560" t="str">
            <v>SALVA - MAR,</v>
          </cell>
          <cell r="M1560">
            <v>265</v>
          </cell>
        </row>
        <row r="1561">
          <cell r="A1561" t="str">
            <v>SALVA - MAR,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265</v>
          </cell>
          <cell r="J1561" t="str">
            <v>SALVA - MAR,</v>
          </cell>
          <cell r="M1561">
            <v>1300</v>
          </cell>
        </row>
        <row r="1562">
          <cell r="A1562" t="str">
            <v>SALVA - MAR,</v>
          </cell>
          <cell r="C1562">
            <v>100</v>
          </cell>
          <cell r="D1562">
            <v>0</v>
          </cell>
          <cell r="E1562">
            <v>0</v>
          </cell>
          <cell r="F1562">
            <v>0</v>
          </cell>
          <cell r="G1562">
            <v>1300</v>
          </cell>
          <cell r="J1562" t="str">
            <v>SALVA - MAR,</v>
          </cell>
          <cell r="M1562">
            <v>52</v>
          </cell>
        </row>
        <row r="1563">
          <cell r="A1563" t="str">
            <v>SALVA - MAR,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52</v>
          </cell>
          <cell r="J1563" t="str">
            <v>SALVA - MAR,</v>
          </cell>
          <cell r="O1563">
            <v>105</v>
          </cell>
        </row>
        <row r="1564">
          <cell r="A1564" t="str">
            <v>SALVA - MAR,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105</v>
          </cell>
          <cell r="J1564" t="str">
            <v>SALVA - MAR,</v>
          </cell>
          <cell r="N1564">
            <v>490</v>
          </cell>
        </row>
        <row r="1565">
          <cell r="A1565" t="str">
            <v>SALVA - MAR,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490</v>
          </cell>
          <cell r="J1565" t="str">
            <v>SALVA - MAR,</v>
          </cell>
          <cell r="U1565">
            <v>80</v>
          </cell>
        </row>
        <row r="1566">
          <cell r="A1566" t="str">
            <v>SALVA - MAR,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80</v>
          </cell>
          <cell r="J1566" t="str">
            <v>SALVA - MAR,</v>
          </cell>
          <cell r="U1566">
            <v>0</v>
          </cell>
        </row>
        <row r="1567">
          <cell r="A1567" t="str">
            <v>SALVA - MAR,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J1567" t="str">
            <v>SALVA - MAR,</v>
          </cell>
          <cell r="W1567">
            <v>200</v>
          </cell>
        </row>
        <row r="1568">
          <cell r="A1568" t="str">
            <v>SALVA - MAR,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200</v>
          </cell>
          <cell r="J1568" t="str">
            <v>SALVA - MAR,</v>
          </cell>
          <cell r="N1568">
            <v>0</v>
          </cell>
        </row>
        <row r="1569">
          <cell r="A1569" t="str">
            <v>SALVA - MAR,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J1569" t="str">
            <v>IMPORTADORA FRUTA INTERNACIONAL PANAMÁ, S.A.</v>
          </cell>
          <cell r="N1569">
            <v>250</v>
          </cell>
        </row>
        <row r="1570">
          <cell r="A1570" t="str">
            <v>IMPORTADORA FRUTA INTERNACIONAL PANAMÁ, S.A.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250</v>
          </cell>
          <cell r="J1570" t="str">
            <v>IMPORTADORA FRUTA INTERNACIONAL PANAMÁ, S.A.</v>
          </cell>
          <cell r="R1570">
            <v>180</v>
          </cell>
        </row>
        <row r="1571">
          <cell r="A1571" t="str">
            <v>IMPORTADORA FRUTA INTERNACIONAL PANAMÁ, S.A.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180</v>
          </cell>
          <cell r="J1571" t="str">
            <v>IMPORTADORA FRUTA INTERNACIONAL PANAMÁ, S.A.</v>
          </cell>
          <cell r="S1571">
            <v>73</v>
          </cell>
        </row>
        <row r="1572">
          <cell r="A1572" t="str">
            <v>IMPORTADORA FRUTA INTERNACIONAL PANAMÁ, S.A.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73</v>
          </cell>
          <cell r="J1572" t="str">
            <v>IMPORTADORA FRUTA INTERNACIONAL PANAMÁ, S.A.</v>
          </cell>
          <cell r="O1572">
            <v>65</v>
          </cell>
        </row>
        <row r="1573">
          <cell r="A1573" t="str">
            <v>IMPORTADORA FRUTA INTERNACIONAL PANAMÁ, S.A.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65</v>
          </cell>
          <cell r="J1573" t="str">
            <v>IMPORTADORA FRUTA INTERNACIONAL PANAMÁ, S.A.</v>
          </cell>
          <cell r="O1573">
            <v>1090</v>
          </cell>
        </row>
        <row r="1574">
          <cell r="A1574" t="str">
            <v>IMPORTADORA FRUTA INTERNACIONAL PANAMÁ, S.A.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1090</v>
          </cell>
          <cell r="J1574" t="str">
            <v>IMPORTADORA FRUTA INTERNACIONAL PANAMÁ, S.A.</v>
          </cell>
          <cell r="M1574">
            <v>0</v>
          </cell>
        </row>
        <row r="1575">
          <cell r="A1575" t="str">
            <v>IMPORTADORA FRUTA INTERNACIONAL PANAMÁ, S.A.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J1575" t="str">
            <v>IMPORTADORA FRUTA INTERNACIONAL PANAMÁ, S.A.</v>
          </cell>
          <cell r="N1575">
            <v>282</v>
          </cell>
        </row>
        <row r="1576">
          <cell r="A1576" t="str">
            <v>IMPORTADORA FRUTA INTERNACIONAL PANAMÁ, S.A.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282</v>
          </cell>
          <cell r="J1576" t="str">
            <v>IMPORTADORA FRUTA INTERNACIONAL PANAMÁ, S.A.</v>
          </cell>
          <cell r="N1576">
            <v>467</v>
          </cell>
        </row>
        <row r="1577">
          <cell r="A1577" t="str">
            <v>IMPORTADORA FRUTA INTERNACIONAL PANAMÁ, S.A.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467</v>
          </cell>
          <cell r="J1577" t="str">
            <v>IMPORTADORA FRUTA INTERNACIONAL PANAMÁ, S.A.</v>
          </cell>
          <cell r="N1577">
            <v>70</v>
          </cell>
        </row>
        <row r="1578">
          <cell r="A1578" t="str">
            <v>IMPORTADORA FRUTA INTERNACIONAL PANAMÁ, S.A.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70</v>
          </cell>
          <cell r="J1578" t="str">
            <v>IMPORTADORA FRUTA INTERNACIONAL PANAMÁ, S.A.</v>
          </cell>
          <cell r="N1578">
            <v>62</v>
          </cell>
        </row>
        <row r="1579">
          <cell r="A1579" t="str">
            <v>IMPORTADORA FRUTA INTERNACIONAL PANAMÁ, S.A.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62</v>
          </cell>
          <cell r="J1579" t="str">
            <v>IMPORTADORA FRUTA INTERNACIONAL PANAMÁ, S.A.</v>
          </cell>
          <cell r="O1579">
            <v>116</v>
          </cell>
        </row>
        <row r="1580">
          <cell r="A1580" t="str">
            <v>IMPORTADORA FRUTA INTERNACIONAL PANAMÁ, S.A.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116</v>
          </cell>
          <cell r="J1580" t="str">
            <v>IMPORTADORA FRUTA INTERNACIONAL PANAMÁ, S.A.</v>
          </cell>
          <cell r="N1580">
            <v>542</v>
          </cell>
        </row>
        <row r="1581">
          <cell r="A1581" t="str">
            <v>IMPORTADORA FRUTA INTERNACIONAL PANAMÁ, S.A.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542</v>
          </cell>
          <cell r="J1581" t="str">
            <v>IMPORTADORA FRUTA INTERNACIONAL PANAMÁ, S.A.</v>
          </cell>
          <cell r="O1581">
            <v>138</v>
          </cell>
        </row>
        <row r="1582">
          <cell r="A1582" t="str">
            <v>IMPORTADORA FRUTA INTERNACIONAL PANAMÁ, S.A.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138</v>
          </cell>
          <cell r="J1582" t="str">
            <v>IMPORTADORA FRUTA INTERNACIONAL PANAMÁ, S.A.</v>
          </cell>
          <cell r="N1582">
            <v>147</v>
          </cell>
        </row>
        <row r="1583">
          <cell r="A1583" t="str">
            <v>IMPORTADORA FRUTA INTERNACIONAL PANAMÁ, S.A.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147</v>
          </cell>
          <cell r="J1583" t="str">
            <v>IMPORTADORA FRUTA INTERNACIONAL PANAMÁ, S.A.</v>
          </cell>
          <cell r="N1583">
            <v>264</v>
          </cell>
        </row>
        <row r="1584">
          <cell r="A1584" t="str">
            <v>IMPORTADORA FRUTA INTERNACIONAL PANAMÁ, S.A.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264</v>
          </cell>
          <cell r="J1584" t="str">
            <v>IMPORTADORA FRUTA INTERNACIONAL PANAMÁ, S.A.</v>
          </cell>
          <cell r="O1584">
            <v>60</v>
          </cell>
        </row>
        <row r="1585">
          <cell r="A1585" t="str">
            <v>IMPORTADORA FRUTA INTERNACIONAL PANAMÁ, S.A.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60</v>
          </cell>
          <cell r="J1585" t="str">
            <v>IMPORTADORA FRUTA INTERNACIONAL PANAMÁ, S.A.</v>
          </cell>
          <cell r="M1585">
            <v>201</v>
          </cell>
        </row>
        <row r="1586">
          <cell r="A1586" t="str">
            <v>IMPORTADORA FRUTA INTERNACIONAL PANAMÁ, S.A.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201</v>
          </cell>
          <cell r="J1586" t="str">
            <v>IMPORTADORA FRUTA INTERNACIONAL PANAMÁ, S.A.</v>
          </cell>
          <cell r="T1586">
            <v>73</v>
          </cell>
        </row>
        <row r="1587">
          <cell r="A1587" t="str">
            <v>IMPORTADORA FRUTA INTERNACIONAL PANAMÁ, S.A.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73</v>
          </cell>
          <cell r="J1587" t="str">
            <v>IMPORTADORA FRUTA INTERNACIONAL PANAMÁ, S.A.</v>
          </cell>
          <cell r="R1587">
            <v>181</v>
          </cell>
        </row>
        <row r="1588">
          <cell r="A1588" t="str">
            <v>IMPORTADORA FRUTA INTERNACIONAL PANAMÁ, S.A.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181</v>
          </cell>
          <cell r="J1588" t="str">
            <v>IMPORTADORA FRUTA INTERNACIONAL PANAMÁ, S.A.</v>
          </cell>
          <cell r="M1588">
            <v>150</v>
          </cell>
        </row>
        <row r="1589">
          <cell r="A1589" t="str">
            <v>IMPORTADORA FRUTA INTERNACIONAL PANAMÁ, S.A.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150</v>
          </cell>
          <cell r="J1589" t="str">
            <v>IMPORTADORA FRUTA INTERNACIONAL PANAMÁ, S.A.</v>
          </cell>
          <cell r="N1589">
            <v>250</v>
          </cell>
        </row>
        <row r="1590">
          <cell r="A1590" t="str">
            <v>IMPORTADORA FRUTA INTERNACIONAL PANAMÁ, S.A.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250</v>
          </cell>
          <cell r="J1590" t="str">
            <v>IMPORTADORA FRUTA INTERNACIONAL PANAMÁ, S.A.</v>
          </cell>
          <cell r="N1590">
            <v>250</v>
          </cell>
        </row>
        <row r="1591">
          <cell r="A1591" t="str">
            <v>IMPORTADORA FRUTA INTERNACIONAL PANAMÁ, S.A.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250</v>
          </cell>
          <cell r="J1591" t="str">
            <v>IMPORTADORA FRUTA INTERNACIONAL PANAMÁ, S.A.</v>
          </cell>
          <cell r="N1591">
            <v>90</v>
          </cell>
        </row>
        <row r="1592">
          <cell r="A1592" t="str">
            <v>IMPORTADORA FRUTA INTERNACIONAL PANAMÁ, S.A.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90</v>
          </cell>
          <cell r="J1592" t="str">
            <v>IMPORTADORA FRUTA INTERNACIONAL PANAMÁ, S.A.</v>
          </cell>
          <cell r="N1592">
            <v>22</v>
          </cell>
        </row>
        <row r="1593">
          <cell r="A1593" t="str">
            <v>IMPORTADORA FRUTA INTERNACIONAL PANAMÁ, S.A.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22</v>
          </cell>
          <cell r="J1593" t="str">
            <v>IMPORTADORA FRUTA INTERNACIONAL PANAMÁ, S.A.</v>
          </cell>
          <cell r="N1593">
            <v>103</v>
          </cell>
        </row>
        <row r="1594">
          <cell r="A1594" t="str">
            <v>IMPORTADORA FRUTA INTERNACIONAL PANAMÁ, S.A.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103</v>
          </cell>
          <cell r="J1594" t="str">
            <v>IMPORTADORA FRUTA INTERNACIONAL PANAMÁ, S.A.</v>
          </cell>
          <cell r="N1594">
            <v>0</v>
          </cell>
        </row>
        <row r="1595">
          <cell r="A1595" t="str">
            <v>IMPORTADORA FRUTA INTERNACIONAL PANAMÁ, S.A.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J1595" t="str">
            <v>IMPORTADORA FRUTA INTERNACIONAL PANAMÁ, S.A.</v>
          </cell>
          <cell r="N1595">
            <v>456</v>
          </cell>
        </row>
        <row r="1596">
          <cell r="A1596" t="str">
            <v>IMPORTADORA FRUTA INTERNACIONAL PANAMÁ, S.A.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456</v>
          </cell>
          <cell r="J1596" t="str">
            <v>IMPORTADORA FRUTA INTERNACIONAL PANAMÁ, S.A.</v>
          </cell>
          <cell r="N1596">
            <v>75</v>
          </cell>
        </row>
        <row r="1597">
          <cell r="A1597" t="str">
            <v>IMPORTADORA FRUTA INTERNACIONAL PANAMÁ, S.A.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75</v>
          </cell>
          <cell r="J1597" t="str">
            <v>IMPORTADORA FRUTA INTERNACIONAL PANAMÁ, S.A.</v>
          </cell>
          <cell r="M1597">
            <v>400</v>
          </cell>
        </row>
        <row r="1598">
          <cell r="A1598" t="str">
            <v>IMPORTADORA FRUTA INTERNACIONAL PANAMÁ, S.A.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400</v>
          </cell>
          <cell r="J1598" t="str">
            <v>IMPORTADORA FRUTA INTERNACIONAL PANAMÁ, S.A.</v>
          </cell>
          <cell r="N1598">
            <v>230</v>
          </cell>
        </row>
        <row r="1599">
          <cell r="A1599" t="str">
            <v>IMPORTADORA FRUTA INTERNACIONAL PANAMÁ, S.A.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230</v>
          </cell>
          <cell r="J1599" t="str">
            <v>IMPORTADORA FRUTA INTERNACIONAL PANAMÁ, S.A.</v>
          </cell>
          <cell r="N1599">
            <v>97</v>
          </cell>
        </row>
        <row r="1600">
          <cell r="A1600" t="str">
            <v>IMPORTADORA FRUTA INTERNACIONAL PANAMÁ, S.A.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97</v>
          </cell>
          <cell r="J1600" t="str">
            <v>IMPORTADORA FRUTA INTERNACIONAL PANAMÁ, S.A.</v>
          </cell>
          <cell r="M1600">
            <v>40</v>
          </cell>
        </row>
        <row r="1601">
          <cell r="A1601" t="str">
            <v>IMPORTADORA FRUTA INTERNACIONAL PANAMÁ, S.A.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40</v>
          </cell>
          <cell r="J1601" t="str">
            <v>IMPORTADORA FRUTA INTERNACIONAL PANAMÁ, S.A.</v>
          </cell>
          <cell r="N1601">
            <v>130</v>
          </cell>
        </row>
        <row r="1602">
          <cell r="A1602" t="str">
            <v>IMPORTADORA FRUTA INTERNACIONAL PANAMÁ, S.A.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130</v>
          </cell>
          <cell r="J1602" t="str">
            <v>IMPORTADORA FRUTA INTERNACIONAL PANAMÁ, S.A.</v>
          </cell>
          <cell r="R1602">
            <v>130</v>
          </cell>
        </row>
        <row r="1603">
          <cell r="A1603" t="str">
            <v>IMPORTADORA FRUTA INTERNACIONAL PANAMÁ, S.A.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130</v>
          </cell>
          <cell r="J1603" t="str">
            <v>IMPORTADORA FRUTA INTERNACIONAL PANAMÁ, S.A.</v>
          </cell>
          <cell r="M1603">
            <v>209</v>
          </cell>
        </row>
        <row r="1604">
          <cell r="A1604" t="str">
            <v>IMPORTADORA FRUTA INTERNACIONAL PANAMÁ, S.A.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209</v>
          </cell>
          <cell r="J1604" t="str">
            <v>IMPORTADORA FRUTA INTERNACIONAL PANAMÁ, S.A.</v>
          </cell>
          <cell r="M1604">
            <v>0</v>
          </cell>
        </row>
        <row r="1605">
          <cell r="A1605" t="str">
            <v>IMPORTADORA FRUTA INTERNACIONAL PANAMÁ, S.A.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J1605" t="str">
            <v>IMPORTADORA FRUTA INTERNACIONAL PANAMÁ, S.A.</v>
          </cell>
          <cell r="S1605">
            <v>1190</v>
          </cell>
        </row>
        <row r="1606">
          <cell r="A1606" t="str">
            <v>IMPORTADORA FRUTA INTERNACIONAL PANAMÁ, S.A.</v>
          </cell>
          <cell r="C1606">
            <v>1190</v>
          </cell>
          <cell r="D1606">
            <v>0</v>
          </cell>
          <cell r="E1606">
            <v>0</v>
          </cell>
          <cell r="F1606">
            <v>0</v>
          </cell>
          <cell r="G1606">
            <v>1190</v>
          </cell>
          <cell r="J1606" t="str">
            <v>IMPORTADORA FRUTA INTERNACIONAL PANAMÁ, S.A.</v>
          </cell>
          <cell r="S1606">
            <v>200</v>
          </cell>
        </row>
        <row r="1607">
          <cell r="A1607" t="str">
            <v>IMPORTADORA FRUTA INTERNACIONAL PANAMÁ, S.A.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200</v>
          </cell>
          <cell r="J1607" t="str">
            <v>IMPORTADORA FRUTA INTERNACIONAL PANAMÁ, S.A.</v>
          </cell>
          <cell r="M1607">
            <v>265</v>
          </cell>
        </row>
        <row r="1608">
          <cell r="A1608" t="str">
            <v>IMPORTADORA FRUTA INTERNACIONAL PANAMÁ, S.A.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265</v>
          </cell>
          <cell r="J1608" t="str">
            <v>IMPORTADORA FRUTA INTERNACIONAL PANAMÁ, S.A.</v>
          </cell>
          <cell r="M1608">
            <v>1300</v>
          </cell>
        </row>
        <row r="1609">
          <cell r="A1609" t="str">
            <v>IMPORTADORA FRUTA INTERNACIONAL PANAMÁ, S.A.</v>
          </cell>
          <cell r="C1609">
            <v>100</v>
          </cell>
          <cell r="D1609">
            <v>0</v>
          </cell>
          <cell r="E1609">
            <v>0</v>
          </cell>
          <cell r="F1609">
            <v>0</v>
          </cell>
          <cell r="G1609">
            <v>1300</v>
          </cell>
          <cell r="J1609" t="str">
            <v>IMPORTADORA FRUTA INTERNACIONAL PANAMÁ, S.A.</v>
          </cell>
          <cell r="M1609">
            <v>52</v>
          </cell>
        </row>
        <row r="1610">
          <cell r="A1610" t="str">
            <v>IMPORTADORA FRUTA INTERNACIONAL PANAMÁ, S.A.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52</v>
          </cell>
          <cell r="J1610" t="str">
            <v>IMPORTADORA FRUTA INTERNACIONAL PANAMÁ, S.A.</v>
          </cell>
          <cell r="S1610">
            <v>40</v>
          </cell>
        </row>
        <row r="1611">
          <cell r="A1611" t="str">
            <v>IMPORTADORA FRUTA INTERNACIONAL PANAMÁ, S.A.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40</v>
          </cell>
          <cell r="J1611" t="str">
            <v>IMPORTADORA FRUTA INTERNACIONAL PANAMÁ, S.A.</v>
          </cell>
          <cell r="O1611">
            <v>105</v>
          </cell>
        </row>
        <row r="1612">
          <cell r="A1612" t="str">
            <v>IMPORTADORA FRUTA INTERNACIONAL PANAMÁ, S.A.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105</v>
          </cell>
          <cell r="J1612" t="str">
            <v>IMPORTADORA FRUTA INTERNACIONAL PANAMÁ, S.A.</v>
          </cell>
          <cell r="N1612">
            <v>490</v>
          </cell>
        </row>
        <row r="1613">
          <cell r="A1613" t="str">
            <v>IMPORTADORA FRUTA INTERNACIONAL PANAMÁ, S.A.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490</v>
          </cell>
          <cell r="J1613" t="str">
            <v>MERCA PANAMA</v>
          </cell>
          <cell r="N1613">
            <v>212</v>
          </cell>
        </row>
        <row r="1614">
          <cell r="A1614" t="str">
            <v>MERCA PANAMA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212</v>
          </cell>
          <cell r="J1614" t="str">
            <v>MERCA PANAMA</v>
          </cell>
          <cell r="Q1614">
            <v>1060</v>
          </cell>
        </row>
        <row r="1615">
          <cell r="A1615" t="str">
            <v>MERCA PANAMA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1060</v>
          </cell>
          <cell r="J1615" t="str">
            <v>MERCA PANAMA</v>
          </cell>
          <cell r="N1615">
            <v>100</v>
          </cell>
        </row>
        <row r="1616">
          <cell r="A1616" t="str">
            <v>MERCA PANAMA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100</v>
          </cell>
          <cell r="J1616" t="str">
            <v>MERCA PANAMA</v>
          </cell>
          <cell r="N1616">
            <v>250</v>
          </cell>
        </row>
        <row r="1617">
          <cell r="A1617" t="str">
            <v>MERCA PANAMA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250</v>
          </cell>
          <cell r="J1617" t="str">
            <v>MERCA PANAMA</v>
          </cell>
          <cell r="R1617">
            <v>180</v>
          </cell>
        </row>
        <row r="1618">
          <cell r="A1618" t="str">
            <v>MERCA PANAMA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180</v>
          </cell>
          <cell r="J1618" t="str">
            <v>MERCA PANAMA</v>
          </cell>
          <cell r="S1618">
            <v>73</v>
          </cell>
        </row>
        <row r="1619">
          <cell r="A1619" t="str">
            <v>MERCA PANAMA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73</v>
          </cell>
          <cell r="J1619" t="str">
            <v>MERCA PANAMA</v>
          </cell>
          <cell r="O1619">
            <v>65</v>
          </cell>
        </row>
        <row r="1620">
          <cell r="A1620" t="str">
            <v>MERCA PANAMA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65</v>
          </cell>
          <cell r="J1620" t="str">
            <v>MERCA PANAMA</v>
          </cell>
          <cell r="N1620">
            <v>70</v>
          </cell>
        </row>
        <row r="1621">
          <cell r="A1621" t="str">
            <v>MERCA PANAMA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70</v>
          </cell>
          <cell r="J1621" t="str">
            <v>MERCA PANAMA</v>
          </cell>
          <cell r="O1621">
            <v>1090</v>
          </cell>
        </row>
        <row r="1622">
          <cell r="A1622" t="str">
            <v>MERCA PANAMA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1090</v>
          </cell>
          <cell r="J1622" t="str">
            <v>MERCA PANAMA</v>
          </cell>
          <cell r="M1622">
            <v>0</v>
          </cell>
        </row>
        <row r="1623">
          <cell r="A1623" t="str">
            <v>MERCA PANAMA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J1623" t="str">
            <v>MERCA PANAMA</v>
          </cell>
          <cell r="N1623">
            <v>282</v>
          </cell>
        </row>
        <row r="1624">
          <cell r="A1624" t="str">
            <v>MERCA PANAMA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282</v>
          </cell>
          <cell r="J1624" t="str">
            <v>MERCA PANAMA</v>
          </cell>
          <cell r="N1624">
            <v>467</v>
          </cell>
        </row>
        <row r="1625">
          <cell r="A1625" t="str">
            <v>MERCA PANAMA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467</v>
          </cell>
          <cell r="J1625" t="str">
            <v>MERCA PANAMA</v>
          </cell>
          <cell r="N1625">
            <v>38</v>
          </cell>
        </row>
        <row r="1626">
          <cell r="A1626" t="str">
            <v>MERCA PANAMA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38</v>
          </cell>
          <cell r="J1626" t="str">
            <v>MERCA PANAMA</v>
          </cell>
          <cell r="N1626">
            <v>70</v>
          </cell>
        </row>
        <row r="1627">
          <cell r="A1627" t="str">
            <v>MERCA PANAMA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70</v>
          </cell>
          <cell r="J1627" t="str">
            <v>MERCA PANAMA</v>
          </cell>
          <cell r="N1627">
            <v>62</v>
          </cell>
        </row>
        <row r="1628">
          <cell r="A1628" t="str">
            <v>MERCA PANAMA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62</v>
          </cell>
          <cell r="J1628" t="str">
            <v>MERCA PANAMA</v>
          </cell>
          <cell r="O1628">
            <v>116</v>
          </cell>
        </row>
        <row r="1629">
          <cell r="A1629" t="str">
            <v>MERCA PANAMA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116</v>
          </cell>
          <cell r="J1629" t="str">
            <v>MERCA PANAMA</v>
          </cell>
          <cell r="O1629">
            <v>138</v>
          </cell>
        </row>
        <row r="1630">
          <cell r="A1630" t="str">
            <v>MERCA PANAMA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138</v>
          </cell>
          <cell r="J1630" t="str">
            <v>MERCA PANAMA</v>
          </cell>
          <cell r="N1630">
            <v>147</v>
          </cell>
        </row>
        <row r="1631">
          <cell r="A1631" t="str">
            <v>MERCA PANAMA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147</v>
          </cell>
          <cell r="J1631" t="str">
            <v>MERCA PANAMA</v>
          </cell>
          <cell r="N1631">
            <v>62</v>
          </cell>
        </row>
        <row r="1632">
          <cell r="A1632" t="str">
            <v>MERCA PANAMA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62</v>
          </cell>
          <cell r="J1632" t="str">
            <v>MERCA PANAMA</v>
          </cell>
          <cell r="M1632">
            <v>100</v>
          </cell>
        </row>
        <row r="1633">
          <cell r="A1633" t="str">
            <v>MERCA PANAMA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100</v>
          </cell>
          <cell r="J1633" t="str">
            <v>MERCA PANAMA</v>
          </cell>
          <cell r="O1633">
            <v>60</v>
          </cell>
        </row>
        <row r="1634">
          <cell r="A1634" t="str">
            <v>MERCA PANAMA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60</v>
          </cell>
          <cell r="J1634" t="str">
            <v>MERCA PANAMA</v>
          </cell>
          <cell r="N1634">
            <v>86</v>
          </cell>
        </row>
        <row r="1635">
          <cell r="A1635" t="str">
            <v>MERCA PANAMA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86</v>
          </cell>
          <cell r="J1635" t="str">
            <v>MERCA PANAMA</v>
          </cell>
          <cell r="T1635">
            <v>73</v>
          </cell>
        </row>
        <row r="1636">
          <cell r="A1636" t="str">
            <v>MERCA PANAMA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73</v>
          </cell>
          <cell r="J1636" t="str">
            <v>MERCA PANAMA</v>
          </cell>
          <cell r="R1636">
            <v>181</v>
          </cell>
        </row>
        <row r="1637">
          <cell r="A1637" t="str">
            <v>MERCA PANAMA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181</v>
          </cell>
          <cell r="J1637" t="str">
            <v>MERCA PANAMA</v>
          </cell>
          <cell r="N1637">
            <v>0</v>
          </cell>
        </row>
        <row r="1638">
          <cell r="A1638" t="str">
            <v>MERCA PANAMA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J1638" t="str">
            <v>MERCA PANAMA</v>
          </cell>
          <cell r="M1638">
            <v>150</v>
          </cell>
        </row>
        <row r="1639">
          <cell r="A1639" t="str">
            <v>MERCA PANAMA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150</v>
          </cell>
          <cell r="J1639" t="str">
            <v>MERCA PANAMA</v>
          </cell>
          <cell r="N1639">
            <v>250</v>
          </cell>
        </row>
        <row r="1640">
          <cell r="A1640" t="str">
            <v>MERCA PANAMA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250</v>
          </cell>
          <cell r="J1640" t="str">
            <v>MERCA PANAMA</v>
          </cell>
          <cell r="O1640">
            <v>1200</v>
          </cell>
        </row>
        <row r="1641">
          <cell r="A1641" t="str">
            <v>MERCA PANAMA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1200</v>
          </cell>
          <cell r="J1641" t="str">
            <v>MERCA PANAMA</v>
          </cell>
          <cell r="N1641">
            <v>120</v>
          </cell>
        </row>
        <row r="1642">
          <cell r="A1642" t="str">
            <v>MERCA PANAMA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120</v>
          </cell>
          <cell r="J1642" t="str">
            <v>MERCA PANAMA</v>
          </cell>
          <cell r="N1642">
            <v>356</v>
          </cell>
        </row>
        <row r="1643">
          <cell r="A1643" t="str">
            <v>MERCA PANAMA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356</v>
          </cell>
          <cell r="J1643" t="str">
            <v>MERCA PANAMA</v>
          </cell>
          <cell r="N1643">
            <v>90</v>
          </cell>
        </row>
        <row r="1644">
          <cell r="A1644" t="str">
            <v>MERCA PANAMA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90</v>
          </cell>
          <cell r="J1644" t="str">
            <v>MERCA PANAMA</v>
          </cell>
          <cell r="N1644">
            <v>22</v>
          </cell>
        </row>
        <row r="1645">
          <cell r="A1645" t="str">
            <v>MERCA PANAMA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22</v>
          </cell>
          <cell r="J1645" t="str">
            <v>MERCA PANAMA</v>
          </cell>
          <cell r="N1645">
            <v>230</v>
          </cell>
        </row>
        <row r="1646">
          <cell r="A1646" t="str">
            <v>MERCA PANAMA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230</v>
          </cell>
          <cell r="J1646" t="str">
            <v>MERCA PANAMA</v>
          </cell>
          <cell r="N1646">
            <v>103</v>
          </cell>
        </row>
        <row r="1647">
          <cell r="A1647" t="str">
            <v>MERCA PANAMA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103</v>
          </cell>
          <cell r="J1647" t="str">
            <v>MERCA PANAMA</v>
          </cell>
          <cell r="N1647">
            <v>0</v>
          </cell>
        </row>
        <row r="1648">
          <cell r="A1648" t="str">
            <v>MERCA PANAMA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J1648" t="str">
            <v>MERCA PANAMA</v>
          </cell>
          <cell r="N1648">
            <v>165</v>
          </cell>
        </row>
        <row r="1649">
          <cell r="A1649" t="str">
            <v>MERCA PANAMA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165</v>
          </cell>
          <cell r="J1649" t="str">
            <v>MERCA PANAMA</v>
          </cell>
          <cell r="N1649">
            <v>456</v>
          </cell>
        </row>
        <row r="1650">
          <cell r="A1650" t="str">
            <v>MERCA PANAMA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456</v>
          </cell>
          <cell r="J1650" t="str">
            <v>MERCA PANAMA</v>
          </cell>
          <cell r="N1650">
            <v>75</v>
          </cell>
        </row>
        <row r="1651">
          <cell r="A1651" t="str">
            <v>MERCA PANAMA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75</v>
          </cell>
          <cell r="J1651" t="str">
            <v>MERCA PANAMA</v>
          </cell>
          <cell r="S1651">
            <v>152</v>
          </cell>
        </row>
        <row r="1652">
          <cell r="A1652" t="str">
            <v>MERCA PANAMA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152</v>
          </cell>
          <cell r="J1652" t="str">
            <v>MERCA PANAMA</v>
          </cell>
          <cell r="T1652">
            <v>37</v>
          </cell>
        </row>
        <row r="1653">
          <cell r="A1653" t="str">
            <v>MERCA PANAMA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37</v>
          </cell>
          <cell r="J1653" t="str">
            <v>MERCA PANAMA</v>
          </cell>
          <cell r="M1653">
            <v>0</v>
          </cell>
        </row>
        <row r="1654">
          <cell r="A1654" t="str">
            <v>MERCA PANAMA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J1654" t="str">
            <v>MERCA PANAMA</v>
          </cell>
        </row>
        <row r="1655">
          <cell r="A1655" t="str">
            <v>MERCA PANAMA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J1655" t="str">
            <v>MERCA PANAMA</v>
          </cell>
          <cell r="M1655">
            <v>910</v>
          </cell>
        </row>
        <row r="1656">
          <cell r="A1656" t="str">
            <v>MERCA PANAMA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910</v>
          </cell>
          <cell r="J1656" t="str">
            <v>MERCA PANAMA</v>
          </cell>
          <cell r="M1656">
            <v>175</v>
          </cell>
        </row>
        <row r="1657">
          <cell r="A1657" t="str">
            <v>MERCA PANAMA</v>
          </cell>
          <cell r="C1657">
            <v>0</v>
          </cell>
          <cell r="D1657">
            <v>10</v>
          </cell>
          <cell r="E1657">
            <v>20</v>
          </cell>
          <cell r="F1657">
            <v>25</v>
          </cell>
          <cell r="G1657">
            <v>175</v>
          </cell>
          <cell r="J1657" t="str">
            <v>MERCA PANAMA</v>
          </cell>
          <cell r="N1657">
            <v>0</v>
          </cell>
        </row>
        <row r="1658">
          <cell r="A1658" t="str">
            <v>MERCA PANAMA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J1658" t="str">
            <v>MERCA PANAMA</v>
          </cell>
          <cell r="M1658">
            <v>400</v>
          </cell>
        </row>
        <row r="1659">
          <cell r="A1659" t="str">
            <v>MERCA PANAMA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400</v>
          </cell>
          <cell r="J1659" t="str">
            <v>MERCA PANAMA</v>
          </cell>
          <cell r="N1659">
            <v>230</v>
          </cell>
        </row>
        <row r="1660">
          <cell r="A1660" t="str">
            <v>MERCA PANAMA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230</v>
          </cell>
          <cell r="J1660" t="str">
            <v>MERCA PANAMA</v>
          </cell>
          <cell r="M1660">
            <v>350</v>
          </cell>
        </row>
        <row r="1661">
          <cell r="A1661" t="str">
            <v>MERCA PANAMA</v>
          </cell>
          <cell r="C1661">
            <v>200</v>
          </cell>
          <cell r="D1661">
            <v>25</v>
          </cell>
          <cell r="E1661">
            <v>100</v>
          </cell>
          <cell r="F1661">
            <v>25</v>
          </cell>
          <cell r="G1661">
            <v>350</v>
          </cell>
          <cell r="J1661" t="str">
            <v>MERCA PANAMA</v>
          </cell>
          <cell r="N1661">
            <v>510</v>
          </cell>
        </row>
        <row r="1662">
          <cell r="A1662" t="str">
            <v>MERCA PANAMA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510</v>
          </cell>
          <cell r="J1662" t="str">
            <v>MERCA PANAMA</v>
          </cell>
          <cell r="N1662">
            <v>97</v>
          </cell>
        </row>
        <row r="1663">
          <cell r="A1663" t="str">
            <v>MERCA PANAMA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97</v>
          </cell>
          <cell r="J1663" t="str">
            <v>MERCA PANAMA</v>
          </cell>
          <cell r="N1663">
            <v>130</v>
          </cell>
        </row>
        <row r="1664">
          <cell r="A1664" t="str">
            <v>MERCA PANAMA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130</v>
          </cell>
          <cell r="J1664" t="str">
            <v>MERCA PANAMA</v>
          </cell>
          <cell r="U1664">
            <v>251</v>
          </cell>
        </row>
        <row r="1665">
          <cell r="A1665" t="str">
            <v>MERCA PANAMA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251</v>
          </cell>
          <cell r="J1665" t="str">
            <v>MERCA PANAMA</v>
          </cell>
          <cell r="N1665">
            <v>120</v>
          </cell>
        </row>
        <row r="1666">
          <cell r="A1666" t="str">
            <v>MERCA PANAMA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120</v>
          </cell>
          <cell r="J1666" t="str">
            <v>MERCA PANAMA</v>
          </cell>
          <cell r="M1666">
            <v>125</v>
          </cell>
        </row>
        <row r="1667">
          <cell r="A1667" t="str">
            <v>MERCA PANAMA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125</v>
          </cell>
          <cell r="J1667" t="str">
            <v>MERCA PANAMA</v>
          </cell>
          <cell r="M1667">
            <v>25</v>
          </cell>
        </row>
        <row r="1668">
          <cell r="A1668" t="str">
            <v>MERCA PANAMA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25</v>
          </cell>
          <cell r="J1668" t="str">
            <v>MERCA PANAMA</v>
          </cell>
          <cell r="M1668">
            <v>209</v>
          </cell>
        </row>
        <row r="1669">
          <cell r="A1669" t="str">
            <v>MERCA PANAMA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209</v>
          </cell>
          <cell r="J1669" t="str">
            <v>MERCA PANAMA</v>
          </cell>
          <cell r="M1669">
            <v>0</v>
          </cell>
        </row>
        <row r="1670">
          <cell r="A1670" t="str">
            <v>MERCA PANAMA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J1670" t="str">
            <v>MERCA PANAMA</v>
          </cell>
          <cell r="N1670">
            <v>6</v>
          </cell>
        </row>
        <row r="1671">
          <cell r="A1671" t="str">
            <v>MERCA PANAMA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6</v>
          </cell>
          <cell r="J1671" t="str">
            <v>MERCA PANAMA</v>
          </cell>
          <cell r="O1671">
            <v>240</v>
          </cell>
        </row>
        <row r="1672">
          <cell r="A1672" t="str">
            <v>MERCA PANAMA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240</v>
          </cell>
          <cell r="J1672" t="str">
            <v>MERCA PANAMA</v>
          </cell>
          <cell r="O1672">
            <v>421</v>
          </cell>
        </row>
        <row r="1673">
          <cell r="A1673" t="str">
            <v>MERCA PANAMA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421</v>
          </cell>
          <cell r="J1673" t="str">
            <v>MERCA PANAMA</v>
          </cell>
          <cell r="M1673">
            <v>220</v>
          </cell>
        </row>
        <row r="1674">
          <cell r="A1674" t="str">
            <v>MERCA PANAMA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220</v>
          </cell>
          <cell r="J1674" t="str">
            <v>MERCA PANAMA</v>
          </cell>
          <cell r="M1674">
            <v>265</v>
          </cell>
        </row>
        <row r="1675">
          <cell r="A1675" t="str">
            <v>MERCA PANAMA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265</v>
          </cell>
          <cell r="J1675" t="str">
            <v>MERCA PANAMA</v>
          </cell>
          <cell r="N1675">
            <v>130</v>
          </cell>
        </row>
        <row r="1676">
          <cell r="A1676" t="str">
            <v>MERCA PANAMA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130</v>
          </cell>
          <cell r="J1676" t="str">
            <v>MERCA PANAMA</v>
          </cell>
          <cell r="M1676">
            <v>52</v>
          </cell>
        </row>
        <row r="1677">
          <cell r="A1677" t="str">
            <v>MERCA PANAMA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52</v>
          </cell>
          <cell r="J1677" t="str">
            <v>MERCA PANAMA</v>
          </cell>
          <cell r="P1677">
            <v>150</v>
          </cell>
        </row>
        <row r="1678">
          <cell r="A1678" t="str">
            <v>MERCA PANAMA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150</v>
          </cell>
          <cell r="J1678" t="str">
            <v>MERCA PANAMA</v>
          </cell>
          <cell r="O1678">
            <v>105</v>
          </cell>
        </row>
        <row r="1679">
          <cell r="A1679" t="str">
            <v>MERCA PANAMA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105</v>
          </cell>
          <cell r="J1679" t="str">
            <v>MERCA PANAMA</v>
          </cell>
          <cell r="N1679">
            <v>490</v>
          </cell>
        </row>
        <row r="1680">
          <cell r="A1680" t="str">
            <v>MERCA PANAMA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490</v>
          </cell>
          <cell r="J1680" t="str">
            <v>MERCA PANAMA</v>
          </cell>
          <cell r="O1680">
            <v>480</v>
          </cell>
        </row>
        <row r="1681">
          <cell r="A1681" t="str">
            <v>MERCA PANAMA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480</v>
          </cell>
          <cell r="J1681" t="str">
            <v>MERCA PANAMA</v>
          </cell>
          <cell r="N1681">
            <v>0</v>
          </cell>
        </row>
        <row r="1682">
          <cell r="A1682" t="str">
            <v>MERCA PANAMA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J1682" t="str">
            <v>MERCA PANAMA</v>
          </cell>
          <cell r="O1682">
            <v>346</v>
          </cell>
        </row>
        <row r="1683">
          <cell r="A1683" t="str">
            <v>MERCA PANAMA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346</v>
          </cell>
          <cell r="J1683" t="str">
            <v>PROGRAMA KILOS DE ESPERANZA</v>
          </cell>
          <cell r="M1683">
            <v>325</v>
          </cell>
        </row>
        <row r="1684">
          <cell r="A1684" t="str">
            <v>PROGRAMA KILOS DE ESPERANZA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325</v>
          </cell>
          <cell r="J1684" t="str">
            <v>PROGRAMA KILOS DE ESPERANZA</v>
          </cell>
          <cell r="P1684">
            <v>102</v>
          </cell>
        </row>
        <row r="1685">
          <cell r="A1685" t="str">
            <v>PROGRAMA KILOS DE ESPERANZA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102</v>
          </cell>
          <cell r="J1685" t="str">
            <v>PROGRAMA KILOS DE ESPERANZA</v>
          </cell>
          <cell r="N1685">
            <v>100</v>
          </cell>
        </row>
        <row r="1686">
          <cell r="A1686" t="str">
            <v>PROGRAMA KILOS DE ESPERANZA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100</v>
          </cell>
          <cell r="J1686" t="str">
            <v>PROGRAMA KILOS DE ESPERANZA</v>
          </cell>
          <cell r="O1686">
            <v>180</v>
          </cell>
        </row>
        <row r="1687">
          <cell r="A1687" t="str">
            <v>PROGRAMA KILOS DE ESPERANZA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180</v>
          </cell>
          <cell r="J1687" t="str">
            <v>PROGRAMA KILOS DE ESPERANZA</v>
          </cell>
          <cell r="N1687">
            <v>70</v>
          </cell>
        </row>
        <row r="1688">
          <cell r="A1688" t="str">
            <v>PROGRAMA KILOS DE ESPERANZA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70</v>
          </cell>
          <cell r="J1688" t="str">
            <v>PROGRAMA KILOS DE ESPERANZA</v>
          </cell>
          <cell r="Q1688">
            <v>1060</v>
          </cell>
        </row>
        <row r="1689">
          <cell r="A1689" t="str">
            <v>PROGRAMA KILOS DE ESPERANZA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1060</v>
          </cell>
          <cell r="J1689" t="str">
            <v>PROGRAMA KILOS DE ESPERANZA</v>
          </cell>
          <cell r="N1689">
            <v>250</v>
          </cell>
        </row>
        <row r="1690">
          <cell r="A1690" t="str">
            <v>PROGRAMA KILOS DE ESPERANZA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250</v>
          </cell>
          <cell r="J1690" t="str">
            <v>PROGRAMA KILOS DE ESPERANZA</v>
          </cell>
          <cell r="R1690">
            <v>180</v>
          </cell>
        </row>
        <row r="1691">
          <cell r="A1691" t="str">
            <v>PROGRAMA KILOS DE ESPERANZA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180</v>
          </cell>
          <cell r="J1691" t="str">
            <v>PROGRAMA KILOS DE ESPERANZA</v>
          </cell>
          <cell r="S1691">
            <v>73</v>
          </cell>
        </row>
        <row r="1692">
          <cell r="A1692" t="str">
            <v>PROGRAMA KILOS DE ESPERANZA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73</v>
          </cell>
          <cell r="J1692" t="str">
            <v>PROGRAMA KILOS DE ESPERANZA</v>
          </cell>
          <cell r="O1692">
            <v>325</v>
          </cell>
        </row>
        <row r="1693">
          <cell r="A1693" t="str">
            <v>PROGRAMA KILOS DE ESPERANZA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325</v>
          </cell>
          <cell r="J1693" t="str">
            <v>PROGRAMA KILOS DE ESPERANZA</v>
          </cell>
          <cell r="N1693">
            <v>70</v>
          </cell>
        </row>
        <row r="1694">
          <cell r="A1694" t="str">
            <v>PROGRAMA KILOS DE ESPERANZA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70</v>
          </cell>
          <cell r="J1694" t="str">
            <v>PROGRAMA KILOS DE ESPERANZA</v>
          </cell>
          <cell r="O1694">
            <v>1090</v>
          </cell>
        </row>
        <row r="1695">
          <cell r="A1695" t="str">
            <v>PROGRAMA KILOS DE ESPERANZA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1090</v>
          </cell>
          <cell r="J1695" t="str">
            <v>PROGRAMA KILOS DE ESPERANZA</v>
          </cell>
          <cell r="M1695">
            <v>0</v>
          </cell>
        </row>
        <row r="1696">
          <cell r="A1696" t="str">
            <v>PROGRAMA KILOS DE ESPERANZA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J1696" t="str">
            <v>PROGRAMA KILOS DE ESPERANZA</v>
          </cell>
          <cell r="N1696">
            <v>282</v>
          </cell>
        </row>
        <row r="1697">
          <cell r="A1697" t="str">
            <v>PROGRAMA KILOS DE ESPERANZA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282</v>
          </cell>
          <cell r="J1697" t="str">
            <v>PROGRAMA KILOS DE ESPERANZA</v>
          </cell>
          <cell r="N1697">
            <v>467</v>
          </cell>
        </row>
        <row r="1698">
          <cell r="A1698" t="str">
            <v>PROGRAMA KILOS DE ESPERANZA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467</v>
          </cell>
          <cell r="J1698" t="str">
            <v>PROGRAMA KILOS DE ESPERANZA</v>
          </cell>
          <cell r="N1698">
            <v>38</v>
          </cell>
        </row>
        <row r="1699">
          <cell r="A1699" t="str">
            <v>PROGRAMA KILOS DE ESPERANZA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38</v>
          </cell>
          <cell r="J1699" t="str">
            <v>PROGRAMA KILOS DE ESPERANZA</v>
          </cell>
          <cell r="N1699">
            <v>70</v>
          </cell>
        </row>
        <row r="1700">
          <cell r="A1700" t="str">
            <v>PROGRAMA KILOS DE ESPERANZA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70</v>
          </cell>
          <cell r="J1700" t="str">
            <v>PROGRAMA KILOS DE ESPERANZA</v>
          </cell>
          <cell r="O1700">
            <v>116</v>
          </cell>
        </row>
        <row r="1701">
          <cell r="A1701" t="str">
            <v>PROGRAMA KILOS DE ESPERANZA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116</v>
          </cell>
          <cell r="J1701" t="str">
            <v>PROGRAMA KILOS DE ESPERANZA</v>
          </cell>
          <cell r="S1701">
            <v>211</v>
          </cell>
        </row>
        <row r="1702">
          <cell r="A1702" t="str">
            <v>PROGRAMA KILOS DE ESPERANZA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211</v>
          </cell>
          <cell r="J1702" t="str">
            <v>PROGRAMA KILOS DE ESPERANZA</v>
          </cell>
          <cell r="M1702">
            <v>100</v>
          </cell>
        </row>
        <row r="1703">
          <cell r="A1703" t="str">
            <v>PROGRAMA KILOS DE ESPERANZA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100</v>
          </cell>
          <cell r="J1703" t="str">
            <v>PROGRAMA KILOS DE ESPERANZA</v>
          </cell>
          <cell r="N1703">
            <v>264</v>
          </cell>
        </row>
        <row r="1704">
          <cell r="A1704" t="str">
            <v>PROGRAMA KILOS DE ESPERANZA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264</v>
          </cell>
          <cell r="J1704" t="str">
            <v>PROGRAMA KILOS DE ESPERANZA</v>
          </cell>
          <cell r="O1704">
            <v>60</v>
          </cell>
        </row>
        <row r="1705">
          <cell r="A1705" t="str">
            <v>PROGRAMA KILOS DE ESPERANZA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60</v>
          </cell>
          <cell r="J1705" t="str">
            <v>PROGRAMA KILOS DE ESPERANZA</v>
          </cell>
          <cell r="S1705">
            <v>179</v>
          </cell>
        </row>
        <row r="1706">
          <cell r="A1706" t="str">
            <v>PROGRAMA KILOS DE ESPERANZA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179</v>
          </cell>
          <cell r="J1706" t="str">
            <v>PROGRAMA KILOS DE ESPERANZA</v>
          </cell>
          <cell r="N1706">
            <v>50</v>
          </cell>
        </row>
        <row r="1707">
          <cell r="A1707" t="str">
            <v>PROGRAMA KILOS DE ESPERANZA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50</v>
          </cell>
          <cell r="J1707" t="str">
            <v>PROGRAMA KILOS DE ESPERANZA</v>
          </cell>
          <cell r="N1707">
            <v>86</v>
          </cell>
        </row>
        <row r="1708">
          <cell r="A1708" t="str">
            <v>PROGRAMA KILOS DE ESPERANZA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86</v>
          </cell>
          <cell r="J1708" t="str">
            <v>PROGRAMA KILOS DE ESPERANZA</v>
          </cell>
          <cell r="M1708">
            <v>201</v>
          </cell>
        </row>
        <row r="1709">
          <cell r="A1709" t="str">
            <v>PROGRAMA KILOS DE ESPERANZA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201</v>
          </cell>
          <cell r="J1709" t="str">
            <v>PROGRAMA KILOS DE ESPERANZA</v>
          </cell>
          <cell r="R1709">
            <v>181</v>
          </cell>
        </row>
        <row r="1710">
          <cell r="A1710" t="str">
            <v>PROGRAMA KILOS DE ESPERANZA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181</v>
          </cell>
          <cell r="J1710" t="str">
            <v>PROGRAMA KILOS DE ESPERANZA</v>
          </cell>
          <cell r="N1710">
            <v>201</v>
          </cell>
        </row>
        <row r="1711">
          <cell r="A1711" t="str">
            <v>PROGRAMA KILOS DE ESPERANZA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201</v>
          </cell>
          <cell r="J1711" t="str">
            <v>PROGRAMA KILOS DE ESPERANZA</v>
          </cell>
          <cell r="M1711">
            <v>150</v>
          </cell>
        </row>
        <row r="1712">
          <cell r="A1712" t="str">
            <v>PROGRAMA KILOS DE ESPERANZA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150</v>
          </cell>
          <cell r="J1712" t="str">
            <v>PROGRAMA KILOS DE ESPERANZA</v>
          </cell>
          <cell r="N1712">
            <v>250</v>
          </cell>
        </row>
        <row r="1713">
          <cell r="A1713" t="str">
            <v>PROGRAMA KILOS DE ESPERANZA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250</v>
          </cell>
          <cell r="J1713" t="str">
            <v>PROGRAMA KILOS DE ESPERANZA</v>
          </cell>
          <cell r="O1713">
            <v>1200</v>
          </cell>
        </row>
        <row r="1714">
          <cell r="A1714" t="str">
            <v>PROGRAMA KILOS DE ESPERANZA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1200</v>
          </cell>
          <cell r="J1714" t="str">
            <v>PROGRAMA KILOS DE ESPERANZA</v>
          </cell>
          <cell r="M1714">
            <v>390</v>
          </cell>
        </row>
        <row r="1715">
          <cell r="A1715" t="str">
            <v>PROGRAMA KILOS DE ESPERANZA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390</v>
          </cell>
          <cell r="J1715" t="str">
            <v>PROGRAMA KILOS DE ESPERANZA</v>
          </cell>
          <cell r="N1715">
            <v>356</v>
          </cell>
        </row>
        <row r="1716">
          <cell r="A1716" t="str">
            <v>PROGRAMA KILOS DE ESPERANZA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356</v>
          </cell>
          <cell r="J1716" t="str">
            <v>PROGRAMA KILOS DE ESPERANZA</v>
          </cell>
          <cell r="N1716">
            <v>84</v>
          </cell>
        </row>
        <row r="1717">
          <cell r="A1717" t="str">
            <v>PROGRAMA KILOS DE ESPERANZA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84</v>
          </cell>
          <cell r="J1717" t="str">
            <v>PROGRAMA KILOS DE ESPERANZA</v>
          </cell>
          <cell r="N1717">
            <v>0</v>
          </cell>
        </row>
        <row r="1718">
          <cell r="A1718" t="str">
            <v>PROGRAMA KILOS DE ESPERANZA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J1718" t="str">
            <v>PROGRAMA KILOS DE ESPERANZA</v>
          </cell>
          <cell r="N1718">
            <v>60</v>
          </cell>
        </row>
        <row r="1719">
          <cell r="A1719" t="str">
            <v>PROGRAMA KILOS DE ESPERANZA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60</v>
          </cell>
          <cell r="J1719" t="str">
            <v>PROGRAMA KILOS DE ESPERANZA</v>
          </cell>
          <cell r="O1719">
            <v>219</v>
          </cell>
        </row>
        <row r="1720">
          <cell r="A1720" t="str">
            <v>PROGRAMA KILOS DE ESPERANZA</v>
          </cell>
          <cell r="C1720">
            <v>0</v>
          </cell>
          <cell r="D1720">
            <v>16</v>
          </cell>
          <cell r="E1720">
            <v>19</v>
          </cell>
          <cell r="F1720">
            <v>19</v>
          </cell>
          <cell r="G1720">
            <v>219</v>
          </cell>
          <cell r="J1720" t="str">
            <v>PROGRAMA KILOS DE ESPERANZA</v>
          </cell>
          <cell r="Q1720">
            <v>60</v>
          </cell>
        </row>
        <row r="1721">
          <cell r="A1721" t="str">
            <v>PROGRAMA KILOS DE ESPERANZA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60</v>
          </cell>
          <cell r="J1721" t="str">
            <v>PROGRAMA KILOS DE ESPERANZA</v>
          </cell>
          <cell r="M1721">
            <v>400</v>
          </cell>
        </row>
        <row r="1722">
          <cell r="A1722" t="str">
            <v>PROGRAMA KILOS DE ESPERANZA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400</v>
          </cell>
          <cell r="J1722" t="str">
            <v>PROGRAMA KILOS DE ESPERANZA</v>
          </cell>
          <cell r="Q1722">
            <v>496</v>
          </cell>
        </row>
        <row r="1723">
          <cell r="A1723" t="str">
            <v>PROGRAMA KILOS DE ESPERANZA</v>
          </cell>
          <cell r="C1723">
            <v>73</v>
          </cell>
          <cell r="D1723">
            <v>0</v>
          </cell>
          <cell r="E1723">
            <v>0</v>
          </cell>
          <cell r="F1723">
            <v>0</v>
          </cell>
          <cell r="G1723">
            <v>496</v>
          </cell>
          <cell r="J1723" t="str">
            <v>PROGRAMA KILOS DE ESPERANZA</v>
          </cell>
          <cell r="Q1723">
            <v>4560</v>
          </cell>
        </row>
        <row r="1724">
          <cell r="A1724" t="str">
            <v>PROGRAMA KILOS DE ESPERANZA</v>
          </cell>
          <cell r="C1724">
            <v>0</v>
          </cell>
          <cell r="D1724">
            <v>680</v>
          </cell>
          <cell r="E1724">
            <v>450</v>
          </cell>
          <cell r="F1724">
            <v>450</v>
          </cell>
          <cell r="G1724">
            <v>4560</v>
          </cell>
          <cell r="J1724" t="str">
            <v>PROGRAMA KILOS DE ESPERANZA</v>
          </cell>
          <cell r="M1724">
            <v>400</v>
          </cell>
        </row>
        <row r="1725">
          <cell r="A1725" t="str">
            <v>PROGRAMA KILOS DE ESPERANZA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400</v>
          </cell>
          <cell r="J1725" t="str">
            <v>PROGRAMA KILOS DE ESPERANZA</v>
          </cell>
          <cell r="O1725">
            <v>34</v>
          </cell>
        </row>
        <row r="1726">
          <cell r="A1726" t="str">
            <v>PROGRAMA KILOS DE ESPERANZA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34</v>
          </cell>
          <cell r="J1726" t="str">
            <v>PROGRAMA KILOS DE ESPERANZA</v>
          </cell>
          <cell r="N1726">
            <v>230</v>
          </cell>
        </row>
        <row r="1727">
          <cell r="A1727" t="str">
            <v>PROGRAMA KILOS DE ESPERANZA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230</v>
          </cell>
          <cell r="J1727" t="str">
            <v>PROGRAMA KILOS DE ESPERANZA</v>
          </cell>
          <cell r="N1727">
            <v>510</v>
          </cell>
        </row>
        <row r="1728">
          <cell r="A1728" t="str">
            <v>PROGRAMA KILOS DE ESPERANZA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510</v>
          </cell>
          <cell r="J1728" t="str">
            <v>PROGRAMA KILOS DE ESPERANZA</v>
          </cell>
          <cell r="M1728">
            <v>1350</v>
          </cell>
        </row>
        <row r="1729">
          <cell r="A1729" t="str">
            <v>PROGRAMA KILOS DE ESPERANZA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1350</v>
          </cell>
          <cell r="J1729" t="str">
            <v>PROGRAMA KILOS DE ESPERANZA</v>
          </cell>
          <cell r="M1729">
            <v>77</v>
          </cell>
        </row>
        <row r="1730">
          <cell r="A1730" t="str">
            <v>PROGRAMA KILOS DE ESPERANZA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77</v>
          </cell>
          <cell r="J1730" t="str">
            <v>PROGRAMA KILOS DE ESPERANZA</v>
          </cell>
          <cell r="M1730">
            <v>125</v>
          </cell>
        </row>
        <row r="1731">
          <cell r="A1731" t="str">
            <v>PROGRAMA KILOS DE ESPERANZA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125</v>
          </cell>
          <cell r="J1731" t="str">
            <v>PROGRAMA KILOS DE ESPERANZA</v>
          </cell>
          <cell r="O1731">
            <v>0</v>
          </cell>
        </row>
        <row r="1732">
          <cell r="A1732" t="str">
            <v>PROGRAMA KILOS DE ESPERANZA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J1732" t="str">
            <v>PROGRAMA KILOS DE ESPERANZA</v>
          </cell>
          <cell r="M1732">
            <v>209</v>
          </cell>
        </row>
        <row r="1733">
          <cell r="A1733" t="str">
            <v>PROGRAMA KILOS DE ESPERANZA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209</v>
          </cell>
          <cell r="J1733" t="str">
            <v>PROGRAMA KILOS DE ESPERANZA</v>
          </cell>
          <cell r="M1733">
            <v>0</v>
          </cell>
        </row>
        <row r="1734">
          <cell r="A1734" t="str">
            <v>PROGRAMA KILOS DE ESPERANZA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J1734" t="str">
            <v>PROGRAMA KILOS DE ESPERANZA</v>
          </cell>
          <cell r="S1734">
            <v>150</v>
          </cell>
        </row>
        <row r="1735">
          <cell r="A1735" t="str">
            <v>PROGRAMA KILOS DE ESPERANZA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150</v>
          </cell>
          <cell r="J1735" t="str">
            <v>PROGRAMA KILOS DE ESPERANZA</v>
          </cell>
          <cell r="R1735">
            <v>0</v>
          </cell>
        </row>
        <row r="1736">
          <cell r="A1736" t="str">
            <v>PROGRAMA KILOS DE ESPERANZA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J1736" t="str">
            <v>PROGRAMA KILOS DE ESPERANZA</v>
          </cell>
          <cell r="O1736">
            <v>421</v>
          </cell>
        </row>
        <row r="1737">
          <cell r="A1737" t="str">
            <v>PROGRAMA KILOS DE ESPERANZA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421</v>
          </cell>
          <cell r="J1737" t="str">
            <v>PROGRAMA KILOS DE ESPERANZA</v>
          </cell>
          <cell r="S1737">
            <v>1190</v>
          </cell>
        </row>
        <row r="1738">
          <cell r="A1738" t="str">
            <v>PROGRAMA KILOS DE ESPERANZA</v>
          </cell>
          <cell r="C1738">
            <v>1190</v>
          </cell>
          <cell r="D1738">
            <v>0</v>
          </cell>
          <cell r="E1738">
            <v>0</v>
          </cell>
          <cell r="F1738">
            <v>0</v>
          </cell>
          <cell r="G1738">
            <v>1190</v>
          </cell>
          <cell r="J1738" t="str">
            <v>PROGRAMA KILOS DE ESPERANZA</v>
          </cell>
          <cell r="M1738">
            <v>265</v>
          </cell>
        </row>
        <row r="1739">
          <cell r="A1739" t="str">
            <v>PROGRAMA KILOS DE ESPERANZA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265</v>
          </cell>
          <cell r="J1739" t="str">
            <v>PROGRAMA KILOS DE ESPERANZA</v>
          </cell>
          <cell r="M1739">
            <v>1300</v>
          </cell>
        </row>
        <row r="1740">
          <cell r="A1740" t="str">
            <v>PROGRAMA KILOS DE ESPERANZA</v>
          </cell>
          <cell r="C1740">
            <v>100</v>
          </cell>
          <cell r="D1740">
            <v>0</v>
          </cell>
          <cell r="E1740">
            <v>0</v>
          </cell>
          <cell r="F1740">
            <v>0</v>
          </cell>
          <cell r="G1740">
            <v>1300</v>
          </cell>
          <cell r="J1740" t="str">
            <v>CONGREGACION DE HERMANDAD KOL SHEARITH ISRAEL</v>
          </cell>
          <cell r="P1740">
            <v>102</v>
          </cell>
        </row>
        <row r="1741">
          <cell r="A1741" t="str">
            <v>CONGREGACION DE HERMANDAD KOL SHEARITH ISRAEL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102</v>
          </cell>
          <cell r="J1741" t="str">
            <v>CONGREGACION DE HERMANDAD KOL SHEARITH ISRAEL</v>
          </cell>
          <cell r="O1741">
            <v>180</v>
          </cell>
        </row>
        <row r="1742">
          <cell r="A1742" t="str">
            <v>CONGREGACION DE HERMANDAD KOL SHEARITH ISRAEL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180</v>
          </cell>
          <cell r="J1742" t="str">
            <v>CONGREGACION DE HERMANDAD KOL SHEARITH ISRAEL</v>
          </cell>
          <cell r="N1742">
            <v>130</v>
          </cell>
        </row>
        <row r="1743">
          <cell r="A1743" t="str">
            <v>CONGREGACION DE HERMANDAD KOL SHEARITH ISRAEL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130</v>
          </cell>
          <cell r="J1743" t="str">
            <v>CONGREGACION DE HERMANDAD KOL SHEARITH ISRAEL</v>
          </cell>
          <cell r="S1743">
            <v>211</v>
          </cell>
        </row>
        <row r="1744">
          <cell r="A1744" t="str">
            <v>CONGREGACION DE HERMANDAD KOL SHEARITH ISRAEL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211</v>
          </cell>
          <cell r="J1744" t="str">
            <v>CONGREGACION DE HERMANDAD KOL SHEARITH ISRAEL</v>
          </cell>
          <cell r="O1744">
            <v>60</v>
          </cell>
        </row>
        <row r="1745">
          <cell r="A1745" t="str">
            <v>CONGREGACION DE HERMANDAD KOL SHEARITH ISRAEL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60</v>
          </cell>
          <cell r="J1745" t="str">
            <v>CONGREGACION DE HERMANDAD KOL SHEARITH ISRAEL</v>
          </cell>
          <cell r="S1745">
            <v>179</v>
          </cell>
        </row>
        <row r="1746">
          <cell r="A1746" t="str">
            <v>CONGREGACION DE HERMANDAD KOL SHEARITH ISRAEL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179</v>
          </cell>
          <cell r="J1746" t="str">
            <v>CONGREGACION DE HERMANDAD KOL SHEARITH ISRAEL</v>
          </cell>
          <cell r="M1746">
            <v>201</v>
          </cell>
        </row>
        <row r="1747">
          <cell r="A1747" t="str">
            <v>CONGREGACION DE HERMANDAD KOL SHEARITH ISRAEL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201</v>
          </cell>
          <cell r="J1747" t="str">
            <v>CONGREGACION DE HERMANDAD KOL SHEARITH ISRAEL</v>
          </cell>
          <cell r="R1747">
            <v>181</v>
          </cell>
        </row>
        <row r="1748">
          <cell r="A1748" t="str">
            <v>CONGREGACION DE HERMANDAD KOL SHEARITH ISRAEL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181</v>
          </cell>
          <cell r="J1748" t="str">
            <v>CONGREGACION DE HERMANDAD KOL SHEARITH ISRAEL</v>
          </cell>
          <cell r="O1748">
            <v>1200</v>
          </cell>
        </row>
        <row r="1749">
          <cell r="A1749" t="str">
            <v>CONGREGACION DE HERMANDAD KOL SHEARITH ISRAEL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1200</v>
          </cell>
          <cell r="J1749" t="str">
            <v>CONGREGACION DE HERMANDAD KOL SHEARITH ISRAEL</v>
          </cell>
          <cell r="M1749">
            <v>390</v>
          </cell>
        </row>
        <row r="1750">
          <cell r="A1750" t="str">
            <v>CONGREGACION DE HERMANDAD KOL SHEARITH ISRAEL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390</v>
          </cell>
          <cell r="J1750" t="str">
            <v>CONGREGACION DE HERMANDAD KOL SHEARITH ISRAEL</v>
          </cell>
          <cell r="N1750">
            <v>0</v>
          </cell>
        </row>
        <row r="1751">
          <cell r="A1751" t="str">
            <v>CONGREGACION DE HERMANDAD KOL SHEARITH ISRAEL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J1751" t="str">
            <v>CONGREGACION DE HERMANDAD KOL SHEARITH ISRAEL</v>
          </cell>
          <cell r="N1751">
            <v>60</v>
          </cell>
        </row>
        <row r="1752">
          <cell r="A1752" t="str">
            <v>CONGREGACION DE HERMANDAD KOL SHEARITH ISRAEL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60</v>
          </cell>
          <cell r="J1752" t="str">
            <v>CONGREGACION DE HERMANDAD KOL SHEARITH ISRAEL</v>
          </cell>
          <cell r="N1752">
            <v>75</v>
          </cell>
        </row>
        <row r="1753">
          <cell r="A1753" t="str">
            <v>CONGREGACION DE HERMANDAD KOL SHEARITH ISRAEL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75</v>
          </cell>
          <cell r="J1753" t="str">
            <v>CONGREGACION DE HERMANDAD KOL SHEARITH ISRAEL</v>
          </cell>
          <cell r="O1753">
            <v>1017</v>
          </cell>
        </row>
        <row r="1754">
          <cell r="A1754" t="str">
            <v>CONGREGACION DE HERMANDAD KOL SHEARITH ISRAEL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1017</v>
          </cell>
          <cell r="J1754" t="str">
            <v>CONGREGACION DE HERMANDAD KOL SHEARITH ISRAEL</v>
          </cell>
          <cell r="O1754">
            <v>219</v>
          </cell>
        </row>
        <row r="1755">
          <cell r="A1755" t="str">
            <v>CONGREGACION DE HERMANDAD KOL SHEARITH ISRAEL</v>
          </cell>
          <cell r="C1755">
            <v>0</v>
          </cell>
          <cell r="D1755">
            <v>16</v>
          </cell>
          <cell r="E1755">
            <v>19</v>
          </cell>
          <cell r="F1755">
            <v>19</v>
          </cell>
          <cell r="G1755">
            <v>219</v>
          </cell>
          <cell r="J1755" t="str">
            <v>CONGREGACION DE HERMANDAD KOL SHEARITH ISRAEL</v>
          </cell>
          <cell r="Q1755">
            <v>83</v>
          </cell>
        </row>
        <row r="1756">
          <cell r="A1756" t="str">
            <v>CONGREGACION DE HERMANDAD KOL SHEARITH ISRAEL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83</v>
          </cell>
          <cell r="J1756" t="str">
            <v>CONGREGACION DE HERMANDAD KOL SHEARITH ISRAEL</v>
          </cell>
          <cell r="M1756">
            <v>265</v>
          </cell>
        </row>
        <row r="1757">
          <cell r="A1757" t="str">
            <v>CONGREGACION DE HERMANDAD KOL SHEARITH ISRAEL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265</v>
          </cell>
          <cell r="J1757" t="str">
            <v>CONGREGACION DE HERMANDAD KOL SHEARITH ISRAEL</v>
          </cell>
          <cell r="Q1757">
            <v>496</v>
          </cell>
        </row>
        <row r="1758">
          <cell r="A1758" t="str">
            <v>CONGREGACION DE HERMANDAD KOL SHEARITH ISRAEL</v>
          </cell>
          <cell r="C1758">
            <v>73</v>
          </cell>
          <cell r="D1758">
            <v>0</v>
          </cell>
          <cell r="E1758">
            <v>0</v>
          </cell>
          <cell r="F1758">
            <v>0</v>
          </cell>
          <cell r="G1758">
            <v>496</v>
          </cell>
          <cell r="J1758" t="str">
            <v>CONGREGACION DE HERMANDAD KOL SHEARITH ISRAEL</v>
          </cell>
          <cell r="O1758">
            <v>34</v>
          </cell>
        </row>
        <row r="1759">
          <cell r="A1759" t="str">
            <v>CONGREGACION DE HERMANDAD KOL SHEARITH ISRAEL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34</v>
          </cell>
          <cell r="J1759" t="str">
            <v>CONGREGACION DE HERMANDAD KOL SHEARITH ISRAEL</v>
          </cell>
          <cell r="N1759">
            <v>230</v>
          </cell>
        </row>
        <row r="1760">
          <cell r="A1760" t="str">
            <v>CONGREGACION DE HERMANDAD KOL SHEARITH ISRAEL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230</v>
          </cell>
          <cell r="J1760" t="str">
            <v>CONGREGACION DE HERMANDAD KOL SHEARITH ISRAEL</v>
          </cell>
          <cell r="M1760">
            <v>77</v>
          </cell>
        </row>
        <row r="1761">
          <cell r="A1761" t="str">
            <v>CONGREGACION DE HERMANDAD KOL SHEARITH ISRAEL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77</v>
          </cell>
          <cell r="J1761" t="str">
            <v>CONGREGACION DE HERMANDAD KOL SHEARITH ISRAEL</v>
          </cell>
          <cell r="M1761">
            <v>209</v>
          </cell>
        </row>
        <row r="1762">
          <cell r="A1762" t="str">
            <v>CONGREGACION DE HERMANDAD KOL SHEARITH ISRAEL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209</v>
          </cell>
          <cell r="J1762" t="str">
            <v>CONGREGACION DE HERMANDAD KOL SHEARITH ISRAEL</v>
          </cell>
          <cell r="O1762">
            <v>642</v>
          </cell>
        </row>
        <row r="1763">
          <cell r="A1763" t="str">
            <v>CONGREGACION DE HERMANDAD KOL SHEARITH ISRAEL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642</v>
          </cell>
          <cell r="J1763" t="str">
            <v>CAMPAÑA NUTRIENDO VIDAS</v>
          </cell>
          <cell r="M1763">
            <v>0</v>
          </cell>
        </row>
        <row r="1764">
          <cell r="A1764" t="str">
            <v>CAMPAÑA NUTRIENDO VIDAS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J1764" t="str">
            <v>CAMPAÑA NUTRIENDO VIDAS</v>
          </cell>
          <cell r="M1764">
            <v>10</v>
          </cell>
        </row>
        <row r="1765">
          <cell r="A1765" t="str">
            <v>CAMPAÑA NUTRIENDO VIDAS</v>
          </cell>
          <cell r="C1765">
            <v>10</v>
          </cell>
          <cell r="D1765">
            <v>0</v>
          </cell>
          <cell r="E1765">
            <v>0</v>
          </cell>
          <cell r="F1765">
            <v>0</v>
          </cell>
          <cell r="G1765">
            <v>10</v>
          </cell>
          <cell r="J1765" t="str">
            <v>CAMPAÑA NUTRIENDO VIDAS</v>
          </cell>
          <cell r="M1765">
            <v>10</v>
          </cell>
        </row>
        <row r="1766">
          <cell r="A1766" t="str">
            <v>CAMPAÑA NUTRIENDO VIDAS</v>
          </cell>
          <cell r="C1766">
            <v>10</v>
          </cell>
          <cell r="D1766">
            <v>0</v>
          </cell>
          <cell r="E1766">
            <v>0</v>
          </cell>
          <cell r="F1766">
            <v>0</v>
          </cell>
          <cell r="G1766">
            <v>10</v>
          </cell>
          <cell r="J1766" t="str">
            <v>CAMPAÑA NUTRIENDO VIDAS</v>
          </cell>
          <cell r="O1766">
            <v>50</v>
          </cell>
        </row>
        <row r="1767">
          <cell r="A1767" t="str">
            <v>CAMPAÑA NUTRIENDO VIDAS</v>
          </cell>
          <cell r="C1767">
            <v>50</v>
          </cell>
          <cell r="D1767">
            <v>0</v>
          </cell>
          <cell r="E1767">
            <v>0</v>
          </cell>
          <cell r="F1767">
            <v>0</v>
          </cell>
          <cell r="G1767">
            <v>50</v>
          </cell>
          <cell r="J1767" t="str">
            <v>CAMPAÑA NUTRIENDO VIDAS</v>
          </cell>
          <cell r="M1767">
            <v>8</v>
          </cell>
        </row>
        <row r="1768">
          <cell r="A1768" t="str">
            <v>CAMPAÑA NUTRIENDO VIDAS</v>
          </cell>
          <cell r="C1768">
            <v>8</v>
          </cell>
          <cell r="D1768">
            <v>0</v>
          </cell>
          <cell r="E1768">
            <v>0</v>
          </cell>
          <cell r="F1768">
            <v>0</v>
          </cell>
          <cell r="G1768">
            <v>8</v>
          </cell>
          <cell r="J1768" t="str">
            <v>CAMPAÑA NUTRIENDO VIDAS</v>
          </cell>
          <cell r="O1768">
            <v>5</v>
          </cell>
        </row>
        <row r="1769">
          <cell r="A1769" t="str">
            <v>CAMPAÑA NUTRIENDO VIDAS</v>
          </cell>
          <cell r="C1769">
            <v>5</v>
          </cell>
          <cell r="D1769">
            <v>0</v>
          </cell>
          <cell r="E1769">
            <v>0</v>
          </cell>
          <cell r="F1769">
            <v>0</v>
          </cell>
          <cell r="G1769">
            <v>5</v>
          </cell>
          <cell r="J1769" t="str">
            <v>CAMPAÑA NUTRIENDO VIDAS</v>
          </cell>
          <cell r="O1769">
            <v>5</v>
          </cell>
        </row>
        <row r="1770">
          <cell r="A1770" t="str">
            <v>CAMPAÑA NUTRIENDO VIDAS</v>
          </cell>
          <cell r="C1770">
            <v>5</v>
          </cell>
          <cell r="D1770">
            <v>0</v>
          </cell>
          <cell r="E1770">
            <v>0</v>
          </cell>
          <cell r="F1770">
            <v>0</v>
          </cell>
          <cell r="G1770">
            <v>5</v>
          </cell>
          <cell r="J1770" t="str">
            <v>CAMPAÑA NUTRIENDO VIDAS</v>
          </cell>
          <cell r="O1770">
            <v>169</v>
          </cell>
        </row>
        <row r="1771">
          <cell r="A1771" t="str">
            <v>CAMPAÑA NUTRIENDO VIDAS</v>
          </cell>
          <cell r="C1771">
            <v>169</v>
          </cell>
          <cell r="D1771">
            <v>0</v>
          </cell>
          <cell r="E1771">
            <v>0</v>
          </cell>
          <cell r="F1771">
            <v>0</v>
          </cell>
          <cell r="G1771">
            <v>169</v>
          </cell>
          <cell r="J1771" t="str">
            <v>CAMPAÑA NUTRIENDO VIDAS</v>
          </cell>
          <cell r="O1771">
            <v>45</v>
          </cell>
        </row>
        <row r="1772">
          <cell r="A1772" t="str">
            <v>CAMPAÑA NUTRIENDO VIDAS</v>
          </cell>
          <cell r="C1772">
            <v>45</v>
          </cell>
          <cell r="D1772">
            <v>0</v>
          </cell>
          <cell r="E1772">
            <v>0</v>
          </cell>
          <cell r="F1772">
            <v>0</v>
          </cell>
          <cell r="G1772">
            <v>45</v>
          </cell>
          <cell r="J1772" t="str">
            <v>CAMPAÑA NUTRIENDO VIDAS</v>
          </cell>
          <cell r="S1772">
            <v>80</v>
          </cell>
        </row>
        <row r="1773">
          <cell r="A1773" t="str">
            <v>CAMPAÑA NUTRIENDO VIDAS</v>
          </cell>
          <cell r="C1773">
            <v>80</v>
          </cell>
          <cell r="D1773">
            <v>0</v>
          </cell>
          <cell r="E1773">
            <v>0</v>
          </cell>
          <cell r="F1773">
            <v>0</v>
          </cell>
          <cell r="G1773">
            <v>80</v>
          </cell>
          <cell r="J1773" t="str">
            <v>CAMPAÑA NUTRIENDO VIDAS</v>
          </cell>
          <cell r="O1773">
            <v>45</v>
          </cell>
        </row>
        <row r="1774">
          <cell r="A1774" t="str">
            <v>CAMPAÑA NUTRIENDO VIDAS</v>
          </cell>
          <cell r="C1774">
            <v>45</v>
          </cell>
          <cell r="D1774">
            <v>0</v>
          </cell>
          <cell r="E1774">
            <v>0</v>
          </cell>
          <cell r="F1774">
            <v>0</v>
          </cell>
          <cell r="G1774">
            <v>45</v>
          </cell>
          <cell r="J1774" t="str">
            <v>CAMPAÑA NUTRIENDO VIDAS</v>
          </cell>
          <cell r="S1774">
            <v>10</v>
          </cell>
        </row>
        <row r="1775">
          <cell r="A1775" t="str">
            <v>CAMPAÑA NUTRIENDO VIDAS</v>
          </cell>
          <cell r="C1775">
            <v>10</v>
          </cell>
          <cell r="D1775">
            <v>0</v>
          </cell>
          <cell r="E1775">
            <v>0</v>
          </cell>
          <cell r="F1775">
            <v>0</v>
          </cell>
          <cell r="G1775">
            <v>10</v>
          </cell>
          <cell r="J1775" t="str">
            <v>CAMPAÑA NUTRIENDO VIDAS</v>
          </cell>
          <cell r="M1775">
            <v>20</v>
          </cell>
        </row>
        <row r="1776">
          <cell r="A1776" t="str">
            <v>CAMPAÑA NUTRIENDO VIDAS</v>
          </cell>
          <cell r="C1776">
            <v>20</v>
          </cell>
          <cell r="D1776">
            <v>0</v>
          </cell>
          <cell r="E1776">
            <v>0</v>
          </cell>
          <cell r="F1776">
            <v>0</v>
          </cell>
          <cell r="G1776">
            <v>20</v>
          </cell>
          <cell r="J1776" t="str">
            <v>CAMPAÑA NUTRIENDO VIDAS</v>
          </cell>
          <cell r="M1776">
            <v>50</v>
          </cell>
        </row>
        <row r="1777">
          <cell r="A1777" t="str">
            <v>CAMPAÑA NUTRIENDO VIDAS</v>
          </cell>
          <cell r="C1777">
            <v>50</v>
          </cell>
          <cell r="D1777">
            <v>0</v>
          </cell>
          <cell r="E1777">
            <v>0</v>
          </cell>
          <cell r="F1777">
            <v>0</v>
          </cell>
          <cell r="G1777">
            <v>50</v>
          </cell>
          <cell r="J1777" t="str">
            <v>CAMPAÑA NUTRIENDO VIDAS</v>
          </cell>
          <cell r="S1777">
            <v>100</v>
          </cell>
        </row>
        <row r="1778">
          <cell r="A1778" t="str">
            <v>CAMPAÑA NUTRIENDO VIDAS</v>
          </cell>
          <cell r="C1778">
            <v>100</v>
          </cell>
          <cell r="D1778">
            <v>0</v>
          </cell>
          <cell r="E1778">
            <v>0</v>
          </cell>
          <cell r="F1778">
            <v>0</v>
          </cell>
          <cell r="G1778">
            <v>100</v>
          </cell>
          <cell r="J1778" t="str">
            <v>CAMPAÑA NUTRIENDO VIDAS</v>
          </cell>
        </row>
        <row r="1779">
          <cell r="A1779" t="str">
            <v>CAMPAÑA NUTRIENDO VIDAS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J1779" t="str">
            <v>CAMPAÑA NUTRIENDO VIDAS</v>
          </cell>
        </row>
        <row r="1780">
          <cell r="A1780" t="str">
            <v>CAMPAÑA NUTRIENDO VIDAS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J1780" t="str">
            <v>CAMPAÑA NUTRIENDO VIDAS</v>
          </cell>
          <cell r="W1780">
            <v>225</v>
          </cell>
        </row>
        <row r="1781">
          <cell r="A1781" t="str">
            <v>CAMPAÑA NUTRIENDO VIDAS</v>
          </cell>
          <cell r="C1781">
            <v>225</v>
          </cell>
          <cell r="D1781">
            <v>0</v>
          </cell>
          <cell r="E1781">
            <v>0</v>
          </cell>
          <cell r="F1781">
            <v>0</v>
          </cell>
          <cell r="G1781">
            <v>225</v>
          </cell>
          <cell r="J1781" t="str">
            <v>CAMPAÑA NUTRIENDO VIDAS</v>
          </cell>
          <cell r="M1781">
            <v>10</v>
          </cell>
        </row>
        <row r="1782">
          <cell r="A1782" t="str">
            <v>CAMPAÑA NUTRIENDO VIDAS</v>
          </cell>
          <cell r="C1782">
            <v>10</v>
          </cell>
          <cell r="D1782">
            <v>0</v>
          </cell>
          <cell r="E1782">
            <v>0</v>
          </cell>
          <cell r="F1782">
            <v>0</v>
          </cell>
          <cell r="G1782">
            <v>10</v>
          </cell>
          <cell r="J1782" t="str">
            <v>CAMPAÑA NUTRIENDO VIDAS</v>
          </cell>
          <cell r="N1782">
            <v>10</v>
          </cell>
        </row>
        <row r="1783">
          <cell r="A1783" t="str">
            <v>CAMPAÑA NUTRIENDO VIDAS</v>
          </cell>
          <cell r="C1783">
            <v>10</v>
          </cell>
          <cell r="D1783">
            <v>0</v>
          </cell>
          <cell r="E1783">
            <v>0</v>
          </cell>
          <cell r="F1783">
            <v>0</v>
          </cell>
          <cell r="G1783">
            <v>10</v>
          </cell>
          <cell r="J1783" t="str">
            <v>CAMPAÑA NUTRIENDO VIDAS</v>
          </cell>
          <cell r="N1783">
            <v>150</v>
          </cell>
        </row>
        <row r="1784">
          <cell r="A1784" t="str">
            <v>CAMPAÑA NUTRIENDO VIDAS</v>
          </cell>
          <cell r="C1784">
            <v>150</v>
          </cell>
          <cell r="D1784">
            <v>0</v>
          </cell>
          <cell r="E1784">
            <v>0</v>
          </cell>
          <cell r="F1784">
            <v>0</v>
          </cell>
          <cell r="G1784">
            <v>150</v>
          </cell>
          <cell r="J1784" t="str">
            <v>CAMPAÑA NUTRIENDO VIDAS</v>
          </cell>
          <cell r="N1784">
            <v>5</v>
          </cell>
        </row>
        <row r="1785">
          <cell r="A1785" t="str">
            <v>CAMPAÑA NUTRIENDO VIDAS</v>
          </cell>
          <cell r="C1785">
            <v>5</v>
          </cell>
          <cell r="D1785">
            <v>0</v>
          </cell>
          <cell r="E1785">
            <v>0</v>
          </cell>
          <cell r="F1785">
            <v>0</v>
          </cell>
          <cell r="G1785">
            <v>5</v>
          </cell>
          <cell r="J1785" t="str">
            <v>CAMPAÑA NUTRIENDO VIDAS</v>
          </cell>
          <cell r="P1785">
            <v>20</v>
          </cell>
        </row>
        <row r="1786">
          <cell r="A1786" t="str">
            <v>CAMPAÑA NUTRIENDO VIDAS</v>
          </cell>
          <cell r="C1786">
            <v>20</v>
          </cell>
          <cell r="D1786">
            <v>0</v>
          </cell>
          <cell r="E1786">
            <v>0</v>
          </cell>
          <cell r="F1786">
            <v>0</v>
          </cell>
          <cell r="G1786">
            <v>20</v>
          </cell>
          <cell r="J1786" t="str">
            <v>CAMPAÑA NUTRIENDO VIDAS</v>
          </cell>
          <cell r="N1786">
            <v>25</v>
          </cell>
        </row>
        <row r="1787">
          <cell r="A1787" t="str">
            <v>CAMPAÑA NUTRIENDO VIDAS</v>
          </cell>
          <cell r="C1787">
            <v>25</v>
          </cell>
          <cell r="D1787">
            <v>0</v>
          </cell>
          <cell r="E1787">
            <v>0</v>
          </cell>
          <cell r="F1787">
            <v>0</v>
          </cell>
          <cell r="G1787">
            <v>25</v>
          </cell>
          <cell r="J1787" t="str">
            <v>CAMPAÑA NUTRIENDO VIDAS</v>
          </cell>
          <cell r="O1787">
            <v>50</v>
          </cell>
        </row>
        <row r="1788">
          <cell r="A1788" t="str">
            <v>CAMPAÑA NUTRIENDO VIDAS</v>
          </cell>
          <cell r="C1788">
            <v>50</v>
          </cell>
          <cell r="D1788">
            <v>0</v>
          </cell>
          <cell r="E1788">
            <v>0</v>
          </cell>
          <cell r="F1788">
            <v>0</v>
          </cell>
          <cell r="G1788">
            <v>50</v>
          </cell>
          <cell r="J1788" t="str">
            <v>CAMPAÑA NUTRIENDO VIDAS</v>
          </cell>
          <cell r="N1788">
            <v>65</v>
          </cell>
        </row>
        <row r="1789">
          <cell r="A1789" t="str">
            <v>CAMPAÑA NUTRIENDO VIDAS</v>
          </cell>
          <cell r="C1789">
            <v>65</v>
          </cell>
          <cell r="D1789">
            <v>0</v>
          </cell>
          <cell r="E1789">
            <v>0</v>
          </cell>
          <cell r="F1789">
            <v>0</v>
          </cell>
          <cell r="G1789">
            <v>65</v>
          </cell>
          <cell r="J1789" t="str">
            <v>CAMPAÑA NUTRIENDO VIDAS</v>
          </cell>
          <cell r="U1789">
            <v>20</v>
          </cell>
        </row>
        <row r="1790">
          <cell r="A1790" t="str">
            <v>CAMPAÑA NUTRIENDO VIDAS</v>
          </cell>
          <cell r="C1790">
            <v>20</v>
          </cell>
          <cell r="D1790">
            <v>0</v>
          </cell>
          <cell r="E1790">
            <v>0</v>
          </cell>
          <cell r="F1790">
            <v>0</v>
          </cell>
          <cell r="G1790">
            <v>20</v>
          </cell>
          <cell r="J1790" t="str">
            <v>CAMPAÑA NUTRIENDO VIDAS</v>
          </cell>
          <cell r="T1790">
            <v>50</v>
          </cell>
        </row>
        <row r="1791">
          <cell r="A1791" t="str">
            <v>CAMPAÑA NUTRIENDO VIDAS</v>
          </cell>
          <cell r="C1791">
            <v>50</v>
          </cell>
          <cell r="D1791">
            <v>0</v>
          </cell>
          <cell r="E1791">
            <v>0</v>
          </cell>
          <cell r="F1791">
            <v>0</v>
          </cell>
          <cell r="G1791">
            <v>50</v>
          </cell>
          <cell r="J1791" t="str">
            <v>CAMPAÑA NUTRIENDO VIDAS</v>
          </cell>
          <cell r="Q1791">
            <v>10</v>
          </cell>
        </row>
        <row r="1792">
          <cell r="A1792" t="str">
            <v>CAMPAÑA NUTRIENDO VIDAS</v>
          </cell>
          <cell r="C1792">
            <v>10</v>
          </cell>
          <cell r="D1792">
            <v>0</v>
          </cell>
          <cell r="E1792">
            <v>0</v>
          </cell>
          <cell r="F1792">
            <v>0</v>
          </cell>
          <cell r="G1792">
            <v>10</v>
          </cell>
          <cell r="J1792" t="str">
            <v>CAMPAÑA NUTRIENDO VIDAS</v>
          </cell>
          <cell r="T1792">
            <v>5</v>
          </cell>
        </row>
        <row r="1793">
          <cell r="A1793" t="str">
            <v>CAMPAÑA NUTRIENDO VIDAS</v>
          </cell>
          <cell r="C1793">
            <v>5</v>
          </cell>
          <cell r="D1793">
            <v>0</v>
          </cell>
          <cell r="E1793">
            <v>0</v>
          </cell>
          <cell r="F1793">
            <v>0</v>
          </cell>
          <cell r="G1793">
            <v>5</v>
          </cell>
          <cell r="J1793" t="str">
            <v>CAMPAÑA NUTRIENDO VIDAS</v>
          </cell>
          <cell r="M1793">
            <v>30</v>
          </cell>
        </row>
        <row r="1794">
          <cell r="A1794" t="str">
            <v>CAMPAÑA NUTRIENDO VIDAS</v>
          </cell>
          <cell r="C1794">
            <v>30</v>
          </cell>
          <cell r="D1794">
            <v>0</v>
          </cell>
          <cell r="E1794">
            <v>0</v>
          </cell>
          <cell r="F1794">
            <v>0</v>
          </cell>
          <cell r="G1794">
            <v>30</v>
          </cell>
          <cell r="J1794" t="str">
            <v>CAMPAÑA NUTRIENDO VIDAS</v>
          </cell>
          <cell r="S1794">
            <v>50</v>
          </cell>
        </row>
        <row r="1795">
          <cell r="A1795" t="str">
            <v>CAMPAÑA NUTRIENDO VIDAS</v>
          </cell>
          <cell r="C1795">
            <v>50</v>
          </cell>
          <cell r="D1795">
            <v>0</v>
          </cell>
          <cell r="E1795">
            <v>0</v>
          </cell>
          <cell r="F1795">
            <v>0</v>
          </cell>
          <cell r="G1795">
            <v>50</v>
          </cell>
          <cell r="J1795" t="str">
            <v>CAMPAÑA NUTRIENDO VIDAS</v>
          </cell>
          <cell r="R1795">
            <v>0</v>
          </cell>
        </row>
        <row r="1796">
          <cell r="A1796" t="str">
            <v>CAMPAÑA NUTRIENDO VIDAS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J1796" t="str">
            <v>CAMPAÑA NUTRIENDO VIDAS</v>
          </cell>
          <cell r="R1796">
            <v>15</v>
          </cell>
        </row>
        <row r="1797">
          <cell r="A1797" t="str">
            <v>CAMPAÑA NUTRIENDO VIDAS</v>
          </cell>
          <cell r="C1797">
            <v>15</v>
          </cell>
          <cell r="D1797">
            <v>0</v>
          </cell>
          <cell r="E1797">
            <v>0</v>
          </cell>
          <cell r="F1797">
            <v>0</v>
          </cell>
          <cell r="G1797">
            <v>15</v>
          </cell>
          <cell r="J1797" t="str">
            <v>CAMPAÑA NUTRIENDO VIDAS</v>
          </cell>
          <cell r="R1797">
            <v>70</v>
          </cell>
        </row>
        <row r="1798">
          <cell r="A1798" t="str">
            <v>CAMPAÑA NUTRIENDO VIDAS</v>
          </cell>
          <cell r="C1798">
            <v>70</v>
          </cell>
          <cell r="D1798">
            <v>0</v>
          </cell>
          <cell r="E1798">
            <v>0</v>
          </cell>
          <cell r="F1798">
            <v>0</v>
          </cell>
          <cell r="G1798">
            <v>70</v>
          </cell>
          <cell r="J1798" t="str">
            <v>CAMPAÑA NUTRIENDO VIDAS</v>
          </cell>
          <cell r="R1798">
            <v>70</v>
          </cell>
        </row>
        <row r="1799">
          <cell r="A1799" t="str">
            <v>CAMPAÑA NUTRIENDO VIDAS</v>
          </cell>
          <cell r="C1799">
            <v>70</v>
          </cell>
          <cell r="D1799">
            <v>0</v>
          </cell>
          <cell r="E1799">
            <v>0</v>
          </cell>
          <cell r="F1799">
            <v>0</v>
          </cell>
          <cell r="G1799">
            <v>70</v>
          </cell>
          <cell r="J1799" t="str">
            <v>CAMPAÑA NUTRIENDO VIDAS</v>
          </cell>
        </row>
        <row r="1800">
          <cell r="A1800" t="str">
            <v>CAMPAÑA NUTRIENDO VIDAS</v>
          </cell>
          <cell r="C1800">
            <v>4</v>
          </cell>
          <cell r="D1800">
            <v>0</v>
          </cell>
          <cell r="E1800">
            <v>0</v>
          </cell>
          <cell r="F1800">
            <v>0</v>
          </cell>
          <cell r="G1800">
            <v>4</v>
          </cell>
          <cell r="J1800" t="str">
            <v>CAMPAÑA NUTRIENDO VIDAS</v>
          </cell>
          <cell r="M1800">
            <v>40</v>
          </cell>
        </row>
        <row r="1801">
          <cell r="A1801" t="str">
            <v>CAMPAÑA NUTRIENDO VIDAS</v>
          </cell>
          <cell r="C1801">
            <v>40</v>
          </cell>
          <cell r="D1801">
            <v>0</v>
          </cell>
          <cell r="E1801">
            <v>0</v>
          </cell>
          <cell r="F1801">
            <v>0</v>
          </cell>
          <cell r="G1801">
            <v>40</v>
          </cell>
          <cell r="J1801" t="str">
            <v>CAMPAÑA NUTRIENDO VIDAS</v>
          </cell>
          <cell r="X1801">
            <v>0</v>
          </cell>
        </row>
        <row r="1802">
          <cell r="A1802" t="str">
            <v>CAMPAÑA NUTRIENDO VIDAS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J1802" t="str">
            <v>CAMPAÑA NUTRIENDO VIDAS</v>
          </cell>
          <cell r="N1802">
            <v>0</v>
          </cell>
        </row>
        <row r="1803">
          <cell r="A1803" t="str">
            <v>CAMPAÑA NUTRIENDO VIDAS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J1803" t="str">
            <v>CAMPAÑA NUTRIENDO VIDAS</v>
          </cell>
        </row>
        <row r="1804">
          <cell r="A1804" t="str">
            <v>CAMPAÑA NUTRIENDO VIDAS</v>
          </cell>
          <cell r="C1804">
            <v>5</v>
          </cell>
          <cell r="D1804">
            <v>0</v>
          </cell>
          <cell r="E1804">
            <v>0</v>
          </cell>
          <cell r="F1804">
            <v>0</v>
          </cell>
          <cell r="G1804">
            <v>5</v>
          </cell>
          <cell r="J1804" t="str">
            <v>CAMPAÑA NUTRIENDO VIDAS</v>
          </cell>
          <cell r="M1804">
            <v>8</v>
          </cell>
        </row>
        <row r="1805">
          <cell r="A1805" t="str">
            <v>CAMPAÑA NUTRIENDO VIDAS</v>
          </cell>
          <cell r="C1805">
            <v>8</v>
          </cell>
          <cell r="D1805">
            <v>0</v>
          </cell>
          <cell r="E1805">
            <v>0</v>
          </cell>
          <cell r="F1805">
            <v>0</v>
          </cell>
          <cell r="G1805">
            <v>8</v>
          </cell>
          <cell r="J1805" t="str">
            <v>CAMPAÑA NUTRIENDO VIDAS</v>
          </cell>
        </row>
        <row r="1806">
          <cell r="A1806" t="str">
            <v>CAMPAÑA NUTRIENDO VIDAS</v>
          </cell>
          <cell r="C1806">
            <v>200</v>
          </cell>
          <cell r="D1806">
            <v>0</v>
          </cell>
          <cell r="E1806">
            <v>0</v>
          </cell>
          <cell r="F1806">
            <v>0</v>
          </cell>
          <cell r="G1806">
            <v>200</v>
          </cell>
          <cell r="J1806" t="str">
            <v>CAMPAÑA NUTRIENDO VIDAS</v>
          </cell>
        </row>
        <row r="1807">
          <cell r="A1807" t="str">
            <v>CAMPAÑA NUTRIENDO VIDAS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J1807" t="str">
            <v>CAMPAÑA NUTRIENDO VIDAS</v>
          </cell>
        </row>
        <row r="1808">
          <cell r="A1808" t="str">
            <v>CAMPAÑA NUTRIENDO VIDAS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J1808" t="str">
            <v>CAMPAÑA NUTRIENDO VIDAS</v>
          </cell>
        </row>
        <row r="1809">
          <cell r="A1809" t="str">
            <v>CAMPAÑA NUTRIENDO VIDAS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J1809" t="str">
            <v>CAMPAÑA NUTRIENDO VIDAS</v>
          </cell>
          <cell r="W1809">
            <v>0</v>
          </cell>
        </row>
        <row r="1810">
          <cell r="A1810" t="str">
            <v>CAMPAÑA NUTRIENDO VIDAS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J1810" t="str">
            <v>CAMPAÑA NUTRIENDO VIDAS</v>
          </cell>
          <cell r="O1810">
            <v>100</v>
          </cell>
        </row>
        <row r="1811">
          <cell r="A1811" t="str">
            <v>CAMPAÑA NUTRIENDO VIDAS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100</v>
          </cell>
          <cell r="J1811" t="str">
            <v>CAMPAÑA NUTRIENDO VIDAS</v>
          </cell>
          <cell r="Q1811">
            <v>0</v>
          </cell>
        </row>
        <row r="1812">
          <cell r="A1812" t="str">
            <v>CAMPAÑA NUTRIENDO VIDAS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J1812" t="str">
            <v>CAMPAÑA NUTRIENDO VIDAS</v>
          </cell>
          <cell r="W1812">
            <v>195</v>
          </cell>
        </row>
        <row r="1813">
          <cell r="A1813" t="str">
            <v>CAMPAÑA NUTRIENDO VIDAS</v>
          </cell>
          <cell r="C1813">
            <v>195</v>
          </cell>
          <cell r="D1813">
            <v>0</v>
          </cell>
          <cell r="E1813">
            <v>0</v>
          </cell>
          <cell r="F1813">
            <v>0</v>
          </cell>
          <cell r="G1813">
            <v>195</v>
          </cell>
          <cell r="J1813" t="str">
            <v>CAMPAÑA NUTRIENDO VIDAS</v>
          </cell>
          <cell r="O1813">
            <v>0</v>
          </cell>
        </row>
        <row r="1814">
          <cell r="A1814" t="str">
            <v>CAMPAÑA NUTRIENDO VIDAS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J1814" t="str">
            <v>GENTILE - G &amp; H. S.A.</v>
          </cell>
          <cell r="N1814">
            <v>282</v>
          </cell>
        </row>
        <row r="1815">
          <cell r="A1815" t="str">
            <v>GENTILE - G &amp; H. S.A.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282</v>
          </cell>
          <cell r="J1815" t="str">
            <v>GENTILE - G &amp; H. S.A.</v>
          </cell>
          <cell r="N1815">
            <v>467</v>
          </cell>
        </row>
        <row r="1816">
          <cell r="A1816" t="str">
            <v>GENTILE - G &amp; H. S.A.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467</v>
          </cell>
          <cell r="J1816" t="str">
            <v>GENTILE - G &amp; H. S.A.</v>
          </cell>
          <cell r="N1816">
            <v>456</v>
          </cell>
        </row>
        <row r="1817">
          <cell r="A1817" t="str">
            <v>GENTILE - G &amp; H. S.A.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456</v>
          </cell>
          <cell r="J1817" t="str">
            <v>FRANQUICIAS PANAMEÑAS</v>
          </cell>
          <cell r="O1817">
            <v>30</v>
          </cell>
        </row>
        <row r="1818">
          <cell r="A1818" t="str">
            <v>FRANQUICIAS PANAMEÑAS</v>
          </cell>
          <cell r="C1818">
            <v>0</v>
          </cell>
          <cell r="D1818">
            <v>0</v>
          </cell>
          <cell r="E1818">
            <v>0</v>
          </cell>
          <cell r="F1818">
            <v>0</v>
          </cell>
          <cell r="G1818">
            <v>30</v>
          </cell>
          <cell r="J1818" t="str">
            <v>FRANQUICIAS PANAMEÑAS</v>
          </cell>
          <cell r="P1818">
            <v>102</v>
          </cell>
        </row>
        <row r="1819">
          <cell r="A1819" t="str">
            <v>FRANQUICIAS PANAMEÑAS</v>
          </cell>
          <cell r="C1819">
            <v>0</v>
          </cell>
          <cell r="D1819">
            <v>0</v>
          </cell>
          <cell r="E1819">
            <v>0</v>
          </cell>
          <cell r="F1819">
            <v>0</v>
          </cell>
          <cell r="G1819">
            <v>102</v>
          </cell>
          <cell r="J1819" t="str">
            <v>FRANQUICIAS PANAMEÑAS</v>
          </cell>
          <cell r="N1819">
            <v>100</v>
          </cell>
        </row>
        <row r="1820">
          <cell r="A1820" t="str">
            <v>FRANQUICIAS PANAMEÑAS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100</v>
          </cell>
          <cell r="J1820" t="str">
            <v>FRANQUICIAS PANAMEÑAS</v>
          </cell>
          <cell r="N1820">
            <v>70</v>
          </cell>
        </row>
        <row r="1821">
          <cell r="A1821" t="str">
            <v>FRANQUICIAS PANAMEÑAS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70</v>
          </cell>
          <cell r="J1821" t="str">
            <v>FRANQUICIAS PANAMEÑAS</v>
          </cell>
          <cell r="Q1821">
            <v>1060</v>
          </cell>
        </row>
        <row r="1822">
          <cell r="A1822" t="str">
            <v>FRANQUICIAS PANAMEÑAS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1060</v>
          </cell>
          <cell r="J1822" t="str">
            <v>FRANQUICIAS PANAMEÑAS</v>
          </cell>
          <cell r="N1822">
            <v>250</v>
          </cell>
        </row>
        <row r="1823">
          <cell r="A1823" t="str">
            <v>FRANQUICIAS PANAMEÑAS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250</v>
          </cell>
          <cell r="J1823" t="str">
            <v>FRANQUICIAS PANAMEÑAS</v>
          </cell>
          <cell r="R1823">
            <v>180</v>
          </cell>
        </row>
        <row r="1824">
          <cell r="A1824" t="str">
            <v>FRANQUICIAS PANAMEÑAS</v>
          </cell>
          <cell r="C1824">
            <v>0</v>
          </cell>
          <cell r="D1824">
            <v>0</v>
          </cell>
          <cell r="E1824">
            <v>0</v>
          </cell>
          <cell r="F1824">
            <v>0</v>
          </cell>
          <cell r="G1824">
            <v>180</v>
          </cell>
          <cell r="J1824" t="str">
            <v>FRANQUICIAS PANAMEÑAS</v>
          </cell>
          <cell r="S1824">
            <v>73</v>
          </cell>
        </row>
        <row r="1825">
          <cell r="A1825" t="str">
            <v>FRANQUICIAS PANAMEÑAS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73</v>
          </cell>
          <cell r="J1825" t="str">
            <v>FRANQUICIAS PANAMEÑAS</v>
          </cell>
          <cell r="O1825">
            <v>65</v>
          </cell>
        </row>
        <row r="1826">
          <cell r="A1826" t="str">
            <v>FRANQUICIAS PANAMEÑAS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65</v>
          </cell>
          <cell r="J1826" t="str">
            <v>FRANQUICIAS PANAMEÑAS</v>
          </cell>
          <cell r="O1826">
            <v>1090</v>
          </cell>
        </row>
        <row r="1827">
          <cell r="A1827" t="str">
            <v>FRANQUICIAS PANAMEÑAS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1090</v>
          </cell>
          <cell r="J1827" t="str">
            <v>FRANQUICIAS PANAMEÑAS</v>
          </cell>
          <cell r="M1827">
            <v>0</v>
          </cell>
        </row>
        <row r="1828">
          <cell r="A1828" t="str">
            <v>FRANQUICIAS PANAMEÑAS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J1828" t="str">
            <v>FRANQUICIAS PANAMEÑAS</v>
          </cell>
          <cell r="N1828">
            <v>282</v>
          </cell>
        </row>
        <row r="1829">
          <cell r="A1829" t="str">
            <v>FRANQUICIAS PANAMEÑAS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282</v>
          </cell>
          <cell r="J1829" t="str">
            <v>FRANQUICIAS PANAMEÑAS</v>
          </cell>
          <cell r="N1829">
            <v>467</v>
          </cell>
        </row>
        <row r="1830">
          <cell r="A1830" t="str">
            <v>FRANQUICIAS PANAMEÑAS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467</v>
          </cell>
          <cell r="J1830" t="str">
            <v>FRANQUICIAS PANAMEÑAS</v>
          </cell>
          <cell r="N1830">
            <v>38</v>
          </cell>
        </row>
        <row r="1831">
          <cell r="A1831" t="str">
            <v>FRANQUICIAS PANAMEÑAS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38</v>
          </cell>
          <cell r="J1831" t="str">
            <v>FRANQUICIAS PANAMEÑAS</v>
          </cell>
          <cell r="N1831">
            <v>243</v>
          </cell>
        </row>
        <row r="1832">
          <cell r="A1832" t="str">
            <v>FRANQUICIAS PANAMEÑAS</v>
          </cell>
          <cell r="C1832">
            <v>0</v>
          </cell>
          <cell r="D1832">
            <v>13</v>
          </cell>
          <cell r="E1832">
            <v>37</v>
          </cell>
          <cell r="F1832">
            <v>28</v>
          </cell>
          <cell r="G1832">
            <v>243</v>
          </cell>
          <cell r="J1832" t="str">
            <v>FRANQUICIAS PANAMEÑAS</v>
          </cell>
          <cell r="N1832">
            <v>130</v>
          </cell>
        </row>
        <row r="1833">
          <cell r="A1833" t="str">
            <v>FRANQUICIAS PANAMEÑAS</v>
          </cell>
          <cell r="C1833">
            <v>0</v>
          </cell>
          <cell r="D1833">
            <v>0</v>
          </cell>
          <cell r="E1833">
            <v>0</v>
          </cell>
          <cell r="F1833">
            <v>0</v>
          </cell>
          <cell r="G1833">
            <v>130</v>
          </cell>
          <cell r="J1833" t="str">
            <v>FRANQUICIAS PANAMEÑAS</v>
          </cell>
          <cell r="N1833">
            <v>62</v>
          </cell>
        </row>
        <row r="1834">
          <cell r="A1834" t="str">
            <v>FRANQUICIAS PANAMEÑAS</v>
          </cell>
          <cell r="C1834">
            <v>0</v>
          </cell>
          <cell r="D1834">
            <v>0</v>
          </cell>
          <cell r="E1834">
            <v>0</v>
          </cell>
          <cell r="F1834">
            <v>0</v>
          </cell>
          <cell r="G1834">
            <v>62</v>
          </cell>
          <cell r="J1834" t="str">
            <v>FRANQUICIAS PANAMEÑAS</v>
          </cell>
          <cell r="O1834">
            <v>116</v>
          </cell>
        </row>
        <row r="1835">
          <cell r="A1835" t="str">
            <v>FRANQUICIAS PANAMEÑAS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116</v>
          </cell>
          <cell r="J1835" t="str">
            <v>FRANQUICIAS PANAMEÑAS</v>
          </cell>
          <cell r="S1835">
            <v>211</v>
          </cell>
        </row>
        <row r="1836">
          <cell r="A1836" t="str">
            <v>FRANQUICIAS PANAMEÑAS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211</v>
          </cell>
          <cell r="J1836" t="str">
            <v>FRANQUICIAS PANAMEÑAS</v>
          </cell>
          <cell r="M1836">
            <v>100</v>
          </cell>
        </row>
        <row r="1837">
          <cell r="A1837" t="str">
            <v>FRANQUICIAS PANAMEÑAS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100</v>
          </cell>
          <cell r="J1837" t="str">
            <v>FRANQUICIAS PANAMEÑAS</v>
          </cell>
          <cell r="N1837">
            <v>264</v>
          </cell>
        </row>
        <row r="1838">
          <cell r="A1838" t="str">
            <v>FRANQUICIAS PANAMEÑAS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264</v>
          </cell>
          <cell r="J1838" t="str">
            <v>FRANQUICIAS PANAMEÑAS</v>
          </cell>
          <cell r="S1838">
            <v>55</v>
          </cell>
        </row>
        <row r="1839">
          <cell r="A1839" t="str">
            <v>FRANQUICIAS PANAMEÑAS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55</v>
          </cell>
          <cell r="J1839" t="str">
            <v>FRANQUICIAS PANAMEÑAS</v>
          </cell>
          <cell r="Q1839">
            <v>57</v>
          </cell>
        </row>
        <row r="1840">
          <cell r="A1840" t="str">
            <v>FRANQUICIAS PANAMEÑAS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57</v>
          </cell>
          <cell r="J1840" t="str">
            <v>FRANQUICIAS PANAMEÑAS</v>
          </cell>
          <cell r="S1840">
            <v>179</v>
          </cell>
        </row>
        <row r="1841">
          <cell r="A1841" t="str">
            <v>FRANQUICIAS PANAMEÑAS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179</v>
          </cell>
          <cell r="J1841" t="str">
            <v>FRANQUICIAS PANAMEÑAS</v>
          </cell>
          <cell r="N1841">
            <v>50</v>
          </cell>
        </row>
        <row r="1842">
          <cell r="A1842" t="str">
            <v>FRANQUICIAS PANAMEÑAS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50</v>
          </cell>
          <cell r="J1842" t="str">
            <v>FRANQUICIAS PANAMEÑAS</v>
          </cell>
          <cell r="N1842">
            <v>162</v>
          </cell>
        </row>
        <row r="1843">
          <cell r="A1843" t="str">
            <v>FRANQUICIAS PANAMEÑAS</v>
          </cell>
          <cell r="C1843">
            <v>162</v>
          </cell>
          <cell r="D1843">
            <v>0</v>
          </cell>
          <cell r="E1843">
            <v>0</v>
          </cell>
          <cell r="F1843">
            <v>0</v>
          </cell>
          <cell r="G1843">
            <v>162</v>
          </cell>
          <cell r="J1843" t="str">
            <v>FRANQUICIAS PANAMEÑAS</v>
          </cell>
          <cell r="N1843">
            <v>86</v>
          </cell>
        </row>
        <row r="1844">
          <cell r="A1844" t="str">
            <v>FRANQUICIAS PANAMEÑAS</v>
          </cell>
          <cell r="C1844">
            <v>0</v>
          </cell>
          <cell r="D1844">
            <v>0</v>
          </cell>
          <cell r="E1844">
            <v>0</v>
          </cell>
          <cell r="F1844">
            <v>0</v>
          </cell>
          <cell r="G1844">
            <v>86</v>
          </cell>
          <cell r="J1844" t="str">
            <v>FRANQUICIAS PANAMEÑAS</v>
          </cell>
          <cell r="M1844">
            <v>201</v>
          </cell>
        </row>
        <row r="1845">
          <cell r="A1845" t="str">
            <v>FRANQUICIAS PANAMEÑAS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201</v>
          </cell>
          <cell r="J1845" t="str">
            <v>FRANQUICIAS PANAMEÑAS</v>
          </cell>
          <cell r="R1845">
            <v>181</v>
          </cell>
        </row>
        <row r="1846">
          <cell r="A1846" t="str">
            <v>FRANQUICIAS PANAMEÑAS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181</v>
          </cell>
          <cell r="J1846" t="str">
            <v>FRANQUICIAS PANAMEÑAS</v>
          </cell>
          <cell r="M1846">
            <v>150</v>
          </cell>
        </row>
        <row r="1847">
          <cell r="A1847" t="str">
            <v>FRANQUICIAS PANAMEÑAS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150</v>
          </cell>
          <cell r="J1847" t="str">
            <v>FRANQUICIAS PANAMEÑAS</v>
          </cell>
          <cell r="O1847">
            <v>1200</v>
          </cell>
        </row>
        <row r="1848">
          <cell r="A1848" t="str">
            <v>FRANQUICIAS PANAMEÑAS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1200</v>
          </cell>
          <cell r="J1848" t="str">
            <v>FRANQUICIAS PANAMEÑAS</v>
          </cell>
          <cell r="N1848">
            <v>20</v>
          </cell>
        </row>
        <row r="1849">
          <cell r="A1849" t="str">
            <v>FRANQUICIAS PANAMEÑAS</v>
          </cell>
          <cell r="C1849">
            <v>0</v>
          </cell>
          <cell r="D1849">
            <v>0</v>
          </cell>
          <cell r="E1849">
            <v>0</v>
          </cell>
          <cell r="F1849">
            <v>0</v>
          </cell>
          <cell r="G1849">
            <v>20</v>
          </cell>
          <cell r="J1849" t="str">
            <v>FRANQUICIAS PANAMEÑAS</v>
          </cell>
          <cell r="M1849">
            <v>390</v>
          </cell>
        </row>
        <row r="1850">
          <cell r="A1850" t="str">
            <v>FRANQUICIAS PANAMEÑAS</v>
          </cell>
          <cell r="C1850">
            <v>0</v>
          </cell>
          <cell r="D1850">
            <v>0</v>
          </cell>
          <cell r="E1850">
            <v>0</v>
          </cell>
          <cell r="F1850">
            <v>0</v>
          </cell>
          <cell r="G1850">
            <v>390</v>
          </cell>
          <cell r="J1850" t="str">
            <v>FRANQUICIAS PANAMEÑAS</v>
          </cell>
          <cell r="O1850">
            <v>410</v>
          </cell>
        </row>
        <row r="1851">
          <cell r="A1851" t="str">
            <v>FRANQUICIAS PANAMEÑAS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410</v>
          </cell>
          <cell r="J1851" t="str">
            <v>FRANQUICIAS PANAMEÑAS</v>
          </cell>
          <cell r="N1851">
            <v>250</v>
          </cell>
        </row>
        <row r="1852">
          <cell r="A1852" t="str">
            <v>FRANQUICIAS PANAMEÑAS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250</v>
          </cell>
          <cell r="J1852" t="str">
            <v>FRANQUICIAS PANAMEÑAS</v>
          </cell>
          <cell r="N1852">
            <v>356</v>
          </cell>
        </row>
        <row r="1853">
          <cell r="A1853" t="str">
            <v>FRANQUICIAS PANAMEÑAS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356</v>
          </cell>
          <cell r="J1853" t="str">
            <v>FRANQUICIAS PANAMEÑAS</v>
          </cell>
          <cell r="N1853">
            <v>84</v>
          </cell>
        </row>
        <row r="1854">
          <cell r="A1854" t="str">
            <v>FRANQUICIAS PANAMEÑAS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84</v>
          </cell>
          <cell r="J1854" t="str">
            <v>FRANQUICIAS PANAMEÑAS</v>
          </cell>
          <cell r="N1854">
            <v>230</v>
          </cell>
        </row>
        <row r="1855">
          <cell r="A1855" t="str">
            <v>FRANQUICIAS PANAMEÑAS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230</v>
          </cell>
          <cell r="J1855" t="str">
            <v>FRANQUICIAS PANAMEÑAS</v>
          </cell>
          <cell r="N1855">
            <v>456</v>
          </cell>
        </row>
        <row r="1856">
          <cell r="A1856" t="str">
            <v>FRANQUICIAS PANAMEÑAS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456</v>
          </cell>
          <cell r="J1856" t="str">
            <v>FRANQUICIAS PANAMEÑAS</v>
          </cell>
          <cell r="N1856">
            <v>251</v>
          </cell>
        </row>
        <row r="1857">
          <cell r="A1857" t="str">
            <v>FRANQUICIAS PANAMEÑAS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251</v>
          </cell>
          <cell r="J1857" t="str">
            <v>FRANQUICIAS PANAMEÑAS</v>
          </cell>
          <cell r="N1857">
            <v>60</v>
          </cell>
        </row>
        <row r="1858">
          <cell r="A1858" t="str">
            <v>FRANQUICIAS PANAMEÑAS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60</v>
          </cell>
          <cell r="J1858" t="str">
            <v>FRANQUICIAS PANAMEÑAS</v>
          </cell>
          <cell r="N1858">
            <v>75</v>
          </cell>
        </row>
        <row r="1859">
          <cell r="A1859" t="str">
            <v>FRANQUICIAS PANAMEÑAS</v>
          </cell>
          <cell r="C1859">
            <v>0</v>
          </cell>
          <cell r="D1859">
            <v>0</v>
          </cell>
          <cell r="E1859">
            <v>0</v>
          </cell>
          <cell r="F1859">
            <v>0</v>
          </cell>
          <cell r="G1859">
            <v>75</v>
          </cell>
          <cell r="J1859" t="str">
            <v>FRANQUICIAS PANAMEÑAS</v>
          </cell>
          <cell r="O1859">
            <v>1017</v>
          </cell>
        </row>
        <row r="1860">
          <cell r="A1860" t="str">
            <v>FRANQUICIAS PANAMEÑAS</v>
          </cell>
          <cell r="C1860">
            <v>0</v>
          </cell>
          <cell r="D1860">
            <v>0</v>
          </cell>
          <cell r="E1860">
            <v>0</v>
          </cell>
          <cell r="F1860">
            <v>0</v>
          </cell>
          <cell r="G1860">
            <v>1017</v>
          </cell>
          <cell r="J1860" t="str">
            <v>FRANQUICIAS PANAMEÑAS</v>
          </cell>
          <cell r="N1860">
            <v>107</v>
          </cell>
        </row>
        <row r="1861">
          <cell r="A1861" t="str">
            <v>FRANQUICIAS PANAMEÑAS</v>
          </cell>
          <cell r="C1861">
            <v>0</v>
          </cell>
          <cell r="D1861">
            <v>0</v>
          </cell>
          <cell r="E1861">
            <v>0</v>
          </cell>
          <cell r="F1861">
            <v>0</v>
          </cell>
          <cell r="G1861">
            <v>107</v>
          </cell>
          <cell r="J1861" t="str">
            <v>FRANQUICIAS PANAMEÑAS</v>
          </cell>
          <cell r="N1861">
            <v>50</v>
          </cell>
        </row>
        <row r="1862">
          <cell r="A1862" t="str">
            <v>FRANQUICIAS PANAMEÑAS</v>
          </cell>
          <cell r="C1862">
            <v>0</v>
          </cell>
          <cell r="D1862">
            <v>0</v>
          </cell>
          <cell r="E1862">
            <v>0</v>
          </cell>
          <cell r="F1862">
            <v>0</v>
          </cell>
          <cell r="G1862">
            <v>50</v>
          </cell>
          <cell r="J1862" t="str">
            <v>FRANQUICIAS PANAMEÑAS</v>
          </cell>
          <cell r="S1862">
            <v>152</v>
          </cell>
        </row>
        <row r="1863">
          <cell r="A1863" t="str">
            <v>FRANQUICIAS PANAMEÑAS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152</v>
          </cell>
          <cell r="J1863" t="str">
            <v>FRANQUICIAS PANAMEÑAS</v>
          </cell>
          <cell r="Q1863">
            <v>60</v>
          </cell>
        </row>
        <row r="1864">
          <cell r="A1864" t="str">
            <v>FRANQUICIAS PANAMEÑAS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60</v>
          </cell>
          <cell r="J1864" t="str">
            <v>FRANQUICIAS PANAMEÑAS</v>
          </cell>
          <cell r="M1864">
            <v>400</v>
          </cell>
        </row>
        <row r="1865">
          <cell r="A1865" t="str">
            <v>FRANQUICIAS PANAMEÑAS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400</v>
          </cell>
          <cell r="J1865" t="str">
            <v>FRANQUICIAS PANAMEÑAS</v>
          </cell>
          <cell r="R1865">
            <v>31</v>
          </cell>
        </row>
        <row r="1866">
          <cell r="A1866" t="str">
            <v>FRANQUICIAS PANAMEÑAS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31</v>
          </cell>
          <cell r="J1866" t="str">
            <v>FRANQUICIAS PANAMEÑAS</v>
          </cell>
          <cell r="Q1866">
            <v>496</v>
          </cell>
        </row>
        <row r="1867">
          <cell r="A1867" t="str">
            <v>FRANQUICIAS PANAMEÑAS</v>
          </cell>
          <cell r="C1867">
            <v>73</v>
          </cell>
          <cell r="D1867">
            <v>0</v>
          </cell>
          <cell r="E1867">
            <v>0</v>
          </cell>
          <cell r="F1867">
            <v>0</v>
          </cell>
          <cell r="G1867">
            <v>496</v>
          </cell>
          <cell r="J1867" t="str">
            <v>FRANQUICIAS PANAMEÑAS</v>
          </cell>
          <cell r="Q1867">
            <v>4560</v>
          </cell>
        </row>
        <row r="1868">
          <cell r="A1868" t="str">
            <v>FRANQUICIAS PANAMEÑAS</v>
          </cell>
          <cell r="C1868">
            <v>0</v>
          </cell>
          <cell r="D1868">
            <v>680</v>
          </cell>
          <cell r="E1868">
            <v>450</v>
          </cell>
          <cell r="F1868">
            <v>450</v>
          </cell>
          <cell r="G1868">
            <v>4560</v>
          </cell>
          <cell r="J1868" t="str">
            <v>FRANQUICIAS PANAMEÑAS</v>
          </cell>
          <cell r="M1868">
            <v>400</v>
          </cell>
        </row>
        <row r="1869">
          <cell r="A1869" t="str">
            <v>FRANQUICIAS PANAMEÑAS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400</v>
          </cell>
          <cell r="J1869" t="str">
            <v>FRANQUICIAS PANAMEÑAS</v>
          </cell>
          <cell r="O1869">
            <v>34</v>
          </cell>
        </row>
        <row r="1870">
          <cell r="A1870" t="str">
            <v>FRANQUICIAS PANAMEÑAS</v>
          </cell>
          <cell r="C1870">
            <v>0</v>
          </cell>
          <cell r="D1870">
            <v>0</v>
          </cell>
          <cell r="E1870">
            <v>0</v>
          </cell>
          <cell r="F1870">
            <v>0</v>
          </cell>
          <cell r="G1870">
            <v>34</v>
          </cell>
          <cell r="J1870" t="str">
            <v>FRANQUICIAS PANAMEÑAS</v>
          </cell>
          <cell r="M1870">
            <v>100</v>
          </cell>
        </row>
        <row r="1871">
          <cell r="A1871" t="str">
            <v>FRANQUICIAS PANAMEÑAS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100</v>
          </cell>
          <cell r="J1871" t="str">
            <v>FRANQUICIAS PANAMEÑAS</v>
          </cell>
          <cell r="S1871">
            <v>96</v>
          </cell>
        </row>
        <row r="1872">
          <cell r="A1872" t="str">
            <v>FRANQUICIAS PANAMEÑAS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96</v>
          </cell>
          <cell r="J1872" t="str">
            <v>FRANQUICIAS PANAMEÑAS</v>
          </cell>
          <cell r="N1872">
            <v>230</v>
          </cell>
        </row>
        <row r="1873">
          <cell r="A1873" t="str">
            <v>FRANQUICIAS PANAMEÑAS</v>
          </cell>
          <cell r="C1873">
            <v>0</v>
          </cell>
          <cell r="D1873">
            <v>0</v>
          </cell>
          <cell r="E1873">
            <v>0</v>
          </cell>
          <cell r="F1873">
            <v>0</v>
          </cell>
          <cell r="G1873">
            <v>230</v>
          </cell>
          <cell r="J1873" t="str">
            <v>FRANQUICIAS PANAMEÑAS</v>
          </cell>
          <cell r="N1873">
            <v>97</v>
          </cell>
        </row>
        <row r="1874">
          <cell r="A1874" t="str">
            <v>FRANQUICIAS PANAMEÑAS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97</v>
          </cell>
          <cell r="J1874" t="str">
            <v>FRANQUICIAS PANAMEÑAS</v>
          </cell>
          <cell r="M1874">
            <v>77</v>
          </cell>
        </row>
        <row r="1875">
          <cell r="A1875" t="str">
            <v>FRANQUICIAS PANAMEÑAS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77</v>
          </cell>
          <cell r="J1875" t="str">
            <v>FRANQUICIAS PANAMEÑAS</v>
          </cell>
          <cell r="N1875">
            <v>130</v>
          </cell>
        </row>
        <row r="1876">
          <cell r="A1876" t="str">
            <v>FRANQUICIAS PANAMEÑAS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130</v>
          </cell>
          <cell r="J1876" t="str">
            <v>FRANQUICIAS PANAMEÑAS</v>
          </cell>
          <cell r="S1876">
            <v>40</v>
          </cell>
        </row>
        <row r="1877">
          <cell r="A1877" t="str">
            <v>FRANQUICIAS PANAMEÑAS</v>
          </cell>
          <cell r="C1877">
            <v>0</v>
          </cell>
          <cell r="D1877">
            <v>0</v>
          </cell>
          <cell r="E1877">
            <v>0</v>
          </cell>
          <cell r="F1877">
            <v>0</v>
          </cell>
          <cell r="G1877">
            <v>40</v>
          </cell>
          <cell r="J1877" t="str">
            <v>FRANQUICIAS PANAMEÑAS</v>
          </cell>
          <cell r="M1877">
            <v>125</v>
          </cell>
        </row>
        <row r="1878">
          <cell r="A1878" t="str">
            <v>FRANQUICIAS PANAMEÑAS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125</v>
          </cell>
          <cell r="J1878" t="str">
            <v>FRANQUICIAS PANAMEÑAS</v>
          </cell>
          <cell r="O1878">
            <v>0</v>
          </cell>
        </row>
        <row r="1879">
          <cell r="A1879" t="str">
            <v>FRANQUICIAS PANAMEÑAS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J1879" t="str">
            <v>FRANQUICIAS PANAMEÑAS</v>
          </cell>
          <cell r="M1879">
            <v>0</v>
          </cell>
        </row>
        <row r="1880">
          <cell r="A1880" t="str">
            <v>FRANQUICIAS PANAMEÑAS</v>
          </cell>
          <cell r="C1880">
            <v>0</v>
          </cell>
          <cell r="D1880">
            <v>0</v>
          </cell>
          <cell r="E1880">
            <v>0</v>
          </cell>
          <cell r="F1880">
            <v>0</v>
          </cell>
          <cell r="G1880">
            <v>0</v>
          </cell>
          <cell r="J1880" t="str">
            <v>FRANQUICIAS PANAMEÑAS</v>
          </cell>
          <cell r="S1880">
            <v>150</v>
          </cell>
        </row>
        <row r="1881">
          <cell r="A1881" t="str">
            <v>FRANQUICIAS PANAMEÑAS</v>
          </cell>
          <cell r="C1881">
            <v>0</v>
          </cell>
          <cell r="D1881">
            <v>0</v>
          </cell>
          <cell r="E1881">
            <v>0</v>
          </cell>
          <cell r="F1881">
            <v>0</v>
          </cell>
          <cell r="G1881">
            <v>150</v>
          </cell>
          <cell r="J1881" t="str">
            <v>FRANQUICIAS PANAMEÑAS</v>
          </cell>
          <cell r="S1881">
            <v>1190</v>
          </cell>
        </row>
        <row r="1882">
          <cell r="A1882" t="str">
            <v>FRANQUICIAS PANAMEÑAS</v>
          </cell>
          <cell r="C1882">
            <v>1190</v>
          </cell>
          <cell r="D1882">
            <v>0</v>
          </cell>
          <cell r="E1882">
            <v>0</v>
          </cell>
          <cell r="F1882">
            <v>0</v>
          </cell>
          <cell r="G1882">
            <v>1190</v>
          </cell>
          <cell r="J1882" t="str">
            <v>FRANQUICIAS PANAMEÑAS</v>
          </cell>
          <cell r="M1882">
            <v>265</v>
          </cell>
        </row>
        <row r="1883">
          <cell r="A1883" t="str">
            <v>FRANQUICIAS PANAMEÑAS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265</v>
          </cell>
          <cell r="J1883" t="str">
            <v>FRANQUICIAS PANAMEÑAS</v>
          </cell>
          <cell r="N1883">
            <v>110</v>
          </cell>
        </row>
        <row r="1884">
          <cell r="A1884" t="str">
            <v>FRANQUICIAS PANAMEÑAS</v>
          </cell>
          <cell r="C1884">
            <v>0</v>
          </cell>
          <cell r="D1884">
            <v>35</v>
          </cell>
          <cell r="E1884">
            <v>0</v>
          </cell>
          <cell r="F1884">
            <v>0</v>
          </cell>
          <cell r="G1884">
            <v>110</v>
          </cell>
          <cell r="J1884" t="str">
            <v>FRANQUICIAS PANAMEÑAS</v>
          </cell>
          <cell r="M1884">
            <v>1300</v>
          </cell>
        </row>
        <row r="1885">
          <cell r="A1885" t="str">
            <v>FRANQUICIAS PANAMEÑAS</v>
          </cell>
          <cell r="C1885">
            <v>100</v>
          </cell>
          <cell r="D1885">
            <v>0</v>
          </cell>
          <cell r="E1885">
            <v>0</v>
          </cell>
          <cell r="F1885">
            <v>0</v>
          </cell>
          <cell r="G1885">
            <v>1300</v>
          </cell>
          <cell r="J1885" t="str">
            <v>FRANQUICIAS PANAMEÑAS</v>
          </cell>
          <cell r="M1885">
            <v>52</v>
          </cell>
        </row>
        <row r="1886">
          <cell r="A1886" t="str">
            <v>FRANQUICIAS PANAMEÑAS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52</v>
          </cell>
          <cell r="J1886" t="str">
            <v>FRANQUICIAS PANAMEÑAS</v>
          </cell>
          <cell r="M1886">
            <v>50</v>
          </cell>
        </row>
        <row r="1887">
          <cell r="A1887" t="str">
            <v>FRANQUICIAS PANAMEÑAS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50</v>
          </cell>
          <cell r="J1887" t="str">
            <v>FRANQUICIAS PANAMEÑAS</v>
          </cell>
          <cell r="N1887">
            <v>0</v>
          </cell>
        </row>
        <row r="1888">
          <cell r="A1888" t="str">
            <v>FRANQUICIAS PANAMEÑAS</v>
          </cell>
          <cell r="C1888">
            <v>0</v>
          </cell>
          <cell r="D1888">
            <v>0</v>
          </cell>
          <cell r="E1888">
            <v>0</v>
          </cell>
          <cell r="F1888">
            <v>0</v>
          </cell>
          <cell r="G1888">
            <v>0</v>
          </cell>
          <cell r="J1888" t="str">
            <v>PEDERSEN FINE FOODS, S.A</v>
          </cell>
          <cell r="O1888">
            <v>30</v>
          </cell>
        </row>
        <row r="1889">
          <cell r="A1889" t="str">
            <v>PEDERSEN FINE FOODS, S.A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30</v>
          </cell>
          <cell r="J1889" t="str">
            <v>PEDERSEN FINE FOODS, S.A</v>
          </cell>
          <cell r="N1889">
            <v>100</v>
          </cell>
        </row>
        <row r="1890">
          <cell r="A1890" t="str">
            <v>PEDERSEN FINE FOODS, S.A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100</v>
          </cell>
          <cell r="J1890" t="str">
            <v>PEDERSEN FINE FOODS, S.A</v>
          </cell>
          <cell r="S1890">
            <v>211</v>
          </cell>
        </row>
        <row r="1891">
          <cell r="A1891" t="str">
            <v>PEDERSEN FINE FOODS, S.A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211</v>
          </cell>
          <cell r="J1891" t="str">
            <v>PEDERSEN FINE FOODS, S.A</v>
          </cell>
          <cell r="N1891">
            <v>50</v>
          </cell>
        </row>
        <row r="1892">
          <cell r="A1892" t="str">
            <v>PEDERSEN FINE FOODS, S.A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50</v>
          </cell>
          <cell r="J1892" t="str">
            <v>PEDERSEN FINE FOODS, S.A</v>
          </cell>
          <cell r="N1892">
            <v>20</v>
          </cell>
        </row>
        <row r="1893">
          <cell r="A1893" t="str">
            <v>PEDERSEN FINE FOODS, S.A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20</v>
          </cell>
          <cell r="J1893" t="str">
            <v>PEDERSEN FINE FOODS, S.A</v>
          </cell>
          <cell r="M1893">
            <v>390</v>
          </cell>
        </row>
        <row r="1894">
          <cell r="A1894" t="str">
            <v>PEDERSEN FINE FOODS, S.A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390</v>
          </cell>
          <cell r="J1894" t="str">
            <v>PEDERSEN FINE FOODS, S.A</v>
          </cell>
          <cell r="O1894">
            <v>140</v>
          </cell>
        </row>
        <row r="1895">
          <cell r="A1895" t="str">
            <v>PEDERSEN FINE FOODS, S.A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140</v>
          </cell>
          <cell r="J1895" t="str">
            <v>PEDERSEN FINE FOODS, S.A</v>
          </cell>
          <cell r="N1895">
            <v>60</v>
          </cell>
        </row>
        <row r="1896">
          <cell r="A1896" t="str">
            <v>PEDERSEN FINE FOODS, S.A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60</v>
          </cell>
          <cell r="J1896" t="str">
            <v>PEDERSEN FINE FOODS, S.A</v>
          </cell>
          <cell r="Q1896">
            <v>83</v>
          </cell>
        </row>
        <row r="1897">
          <cell r="A1897" t="str">
            <v>PEDERSEN FINE FOODS, S.A</v>
          </cell>
          <cell r="C1897">
            <v>0</v>
          </cell>
          <cell r="D1897">
            <v>0</v>
          </cell>
          <cell r="E1897">
            <v>0</v>
          </cell>
          <cell r="F1897">
            <v>0</v>
          </cell>
          <cell r="G1897">
            <v>83</v>
          </cell>
          <cell r="J1897" t="str">
            <v>PEDERSEN FINE FOODS, S.A</v>
          </cell>
          <cell r="Q1897">
            <v>496</v>
          </cell>
        </row>
        <row r="1898">
          <cell r="A1898" t="str">
            <v>PEDERSEN FINE FOODS, S.A</v>
          </cell>
          <cell r="C1898">
            <v>73</v>
          </cell>
          <cell r="D1898">
            <v>0</v>
          </cell>
          <cell r="E1898">
            <v>0</v>
          </cell>
          <cell r="F1898">
            <v>0</v>
          </cell>
          <cell r="G1898">
            <v>496</v>
          </cell>
          <cell r="J1898" t="str">
            <v>PEDERSEN FINE FOODS, S.A</v>
          </cell>
          <cell r="M1898">
            <v>100</v>
          </cell>
        </row>
        <row r="1899">
          <cell r="A1899" t="str">
            <v>PEDERSEN FINE FOODS, S.A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100</v>
          </cell>
          <cell r="J1899" t="str">
            <v>PEDERSEN FINE FOODS, S.A</v>
          </cell>
          <cell r="S1899">
            <v>96</v>
          </cell>
        </row>
        <row r="1900">
          <cell r="A1900" t="str">
            <v>PEDERSEN FINE FOODS, S.A</v>
          </cell>
          <cell r="C1900">
            <v>0</v>
          </cell>
          <cell r="D1900">
            <v>0</v>
          </cell>
          <cell r="E1900">
            <v>0</v>
          </cell>
          <cell r="F1900">
            <v>0</v>
          </cell>
          <cell r="G1900">
            <v>96</v>
          </cell>
          <cell r="J1900" t="str">
            <v>PEDERSEN FINE FOODS, S.A</v>
          </cell>
          <cell r="M1900">
            <v>350</v>
          </cell>
        </row>
        <row r="1901">
          <cell r="A1901" t="str">
            <v>PEDERSEN FINE FOODS, S.A</v>
          </cell>
          <cell r="C1901">
            <v>200</v>
          </cell>
          <cell r="D1901">
            <v>25</v>
          </cell>
          <cell r="E1901">
            <v>100</v>
          </cell>
          <cell r="F1901">
            <v>25</v>
          </cell>
          <cell r="G1901">
            <v>350</v>
          </cell>
          <cell r="J1901" t="str">
            <v>PEDERSEN FINE FOODS, S.A</v>
          </cell>
          <cell r="S1901">
            <v>56</v>
          </cell>
        </row>
        <row r="1902">
          <cell r="A1902" t="str">
            <v>PEDERSEN FINE FOODS, S.A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56</v>
          </cell>
          <cell r="J1902" t="str">
            <v>PEDERSEN FINE FOODS, S.A</v>
          </cell>
          <cell r="S1902">
            <v>40</v>
          </cell>
        </row>
        <row r="1903">
          <cell r="A1903" t="str">
            <v>PEDERSEN FINE FOODS, S.A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40</v>
          </cell>
          <cell r="J1903" t="str">
            <v>PEDERSEN FINE FOODS, S.A</v>
          </cell>
          <cell r="O1903">
            <v>0</v>
          </cell>
        </row>
        <row r="1904">
          <cell r="A1904" t="str">
            <v>PEDERSEN FINE FOODS, S.A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J1904" t="str">
            <v>PEDERSEN FINE FOODS, S.A</v>
          </cell>
          <cell r="M1904">
            <v>0</v>
          </cell>
        </row>
        <row r="1905">
          <cell r="A1905" t="str">
            <v>PEDERSEN FINE FOODS, S.A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J1905" t="str">
            <v>PEDERSEN FINE FOODS, S.A</v>
          </cell>
          <cell r="S1905">
            <v>150</v>
          </cell>
        </row>
        <row r="1906">
          <cell r="A1906" t="str">
            <v>PEDERSEN FINE FOODS, S.A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150</v>
          </cell>
          <cell r="J1906" t="str">
            <v>PEDERSEN FINE FOODS, S.A</v>
          </cell>
          <cell r="O1906">
            <v>421</v>
          </cell>
        </row>
        <row r="1907">
          <cell r="A1907" t="str">
            <v>PEDERSEN FINE FOODS, S.A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421</v>
          </cell>
          <cell r="J1907" t="str">
            <v>PANASAL</v>
          </cell>
          <cell r="R1907">
            <v>180</v>
          </cell>
        </row>
        <row r="1908">
          <cell r="A1908" t="str">
            <v>PANASAL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180</v>
          </cell>
          <cell r="J1908" t="str">
            <v>PANASAL</v>
          </cell>
          <cell r="R1908">
            <v>40</v>
          </cell>
        </row>
        <row r="1909">
          <cell r="A1909" t="str">
            <v>PANASAL</v>
          </cell>
          <cell r="C1909">
            <v>40</v>
          </cell>
          <cell r="D1909">
            <v>0</v>
          </cell>
          <cell r="E1909">
            <v>0</v>
          </cell>
          <cell r="F1909">
            <v>0</v>
          </cell>
          <cell r="G1909">
            <v>40</v>
          </cell>
          <cell r="J1909" t="str">
            <v>PANASAL</v>
          </cell>
          <cell r="N1909">
            <v>38</v>
          </cell>
        </row>
        <row r="1910">
          <cell r="A1910" t="str">
            <v>PANASAL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38</v>
          </cell>
          <cell r="J1910" t="str">
            <v>PANASAL</v>
          </cell>
          <cell r="O1910">
            <v>116</v>
          </cell>
        </row>
        <row r="1911">
          <cell r="A1911" t="str">
            <v>PANASAL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116</v>
          </cell>
          <cell r="J1911" t="str">
            <v>PANASAL</v>
          </cell>
          <cell r="S1911">
            <v>52</v>
          </cell>
        </row>
        <row r="1912">
          <cell r="A1912" t="str">
            <v>PANASAL</v>
          </cell>
          <cell r="C1912">
            <v>0</v>
          </cell>
          <cell r="D1912">
            <v>0</v>
          </cell>
          <cell r="E1912">
            <v>0</v>
          </cell>
          <cell r="F1912">
            <v>0</v>
          </cell>
          <cell r="G1912">
            <v>52</v>
          </cell>
          <cell r="J1912" t="str">
            <v>PANASAL</v>
          </cell>
          <cell r="M1912">
            <v>500</v>
          </cell>
        </row>
        <row r="1913">
          <cell r="A1913" t="str">
            <v>PANASAL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500</v>
          </cell>
          <cell r="J1913" t="str">
            <v>PANASAL</v>
          </cell>
          <cell r="N1913">
            <v>50</v>
          </cell>
        </row>
        <row r="1914">
          <cell r="A1914" t="str">
            <v>PANASAL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50</v>
          </cell>
          <cell r="J1914" t="str">
            <v>PANASAL</v>
          </cell>
          <cell r="N1914">
            <v>86</v>
          </cell>
        </row>
        <row r="1915">
          <cell r="A1915" t="str">
            <v>PANASAL</v>
          </cell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G1915">
            <v>86</v>
          </cell>
          <cell r="J1915" t="str">
            <v>PANASAL</v>
          </cell>
          <cell r="M1915">
            <v>201</v>
          </cell>
        </row>
        <row r="1916">
          <cell r="A1916" t="str">
            <v>PANASAL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201</v>
          </cell>
          <cell r="J1916" t="str">
            <v>PANASAL</v>
          </cell>
          <cell r="N1916">
            <v>0</v>
          </cell>
        </row>
        <row r="1917">
          <cell r="A1917" t="str">
            <v>PANASAL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J1917" t="str">
            <v>PANASAL</v>
          </cell>
          <cell r="N1917">
            <v>284</v>
          </cell>
        </row>
        <row r="1918">
          <cell r="A1918" t="str">
            <v>PANASAL</v>
          </cell>
          <cell r="C1918">
            <v>0</v>
          </cell>
          <cell r="D1918">
            <v>0</v>
          </cell>
          <cell r="E1918">
            <v>0</v>
          </cell>
          <cell r="F1918">
            <v>0</v>
          </cell>
          <cell r="G1918">
            <v>284</v>
          </cell>
          <cell r="J1918" t="str">
            <v>PANASAL</v>
          </cell>
          <cell r="N1918">
            <v>20</v>
          </cell>
        </row>
        <row r="1919">
          <cell r="A1919" t="str">
            <v>PANASAL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20</v>
          </cell>
          <cell r="J1919" t="str">
            <v>PANASAL</v>
          </cell>
          <cell r="Q1919">
            <v>4560</v>
          </cell>
        </row>
        <row r="1920">
          <cell r="A1920" t="str">
            <v>PANASAL</v>
          </cell>
          <cell r="C1920">
            <v>0</v>
          </cell>
          <cell r="D1920">
            <v>680</v>
          </cell>
          <cell r="E1920">
            <v>450</v>
          </cell>
          <cell r="F1920">
            <v>450</v>
          </cell>
          <cell r="G1920">
            <v>4560</v>
          </cell>
          <cell r="J1920" t="str">
            <v>PANASAL</v>
          </cell>
          <cell r="M1920">
            <v>400</v>
          </cell>
        </row>
        <row r="1921">
          <cell r="A1921" t="str">
            <v>PANASAL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400</v>
          </cell>
          <cell r="J1921" t="str">
            <v>PANASAL</v>
          </cell>
          <cell r="O1921">
            <v>34</v>
          </cell>
        </row>
        <row r="1922">
          <cell r="A1922" t="str">
            <v>PANASAL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34</v>
          </cell>
          <cell r="J1922" t="str">
            <v>PANASAL</v>
          </cell>
          <cell r="S1922">
            <v>96</v>
          </cell>
        </row>
        <row r="1923">
          <cell r="A1923" t="str">
            <v>PANASAL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96</v>
          </cell>
          <cell r="J1923" t="str">
            <v>PANASAL</v>
          </cell>
          <cell r="N1923">
            <v>130</v>
          </cell>
        </row>
        <row r="1924">
          <cell r="A1924" t="str">
            <v>PANASAL</v>
          </cell>
          <cell r="C1924">
            <v>0</v>
          </cell>
          <cell r="D1924">
            <v>0</v>
          </cell>
          <cell r="E1924">
            <v>0</v>
          </cell>
          <cell r="F1924">
            <v>0</v>
          </cell>
          <cell r="G1924">
            <v>130</v>
          </cell>
          <cell r="J1924" t="str">
            <v>PANASAL</v>
          </cell>
          <cell r="M1924">
            <v>209</v>
          </cell>
        </row>
        <row r="1925">
          <cell r="A1925" t="str">
            <v>PANASAL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209</v>
          </cell>
          <cell r="J1925" t="str">
            <v>PANASAL</v>
          </cell>
          <cell r="S1925">
            <v>150</v>
          </cell>
        </row>
        <row r="1926">
          <cell r="A1926" t="str">
            <v>PANASAL</v>
          </cell>
          <cell r="C1926">
            <v>0</v>
          </cell>
          <cell r="D1926">
            <v>0</v>
          </cell>
          <cell r="E1926">
            <v>0</v>
          </cell>
          <cell r="F1926">
            <v>0</v>
          </cell>
          <cell r="G1926">
            <v>150</v>
          </cell>
          <cell r="J1926" t="str">
            <v>PANASAL</v>
          </cell>
          <cell r="S1926">
            <v>200</v>
          </cell>
        </row>
        <row r="1927">
          <cell r="A1927" t="str">
            <v>PANASAL</v>
          </cell>
          <cell r="C1927">
            <v>0</v>
          </cell>
          <cell r="D1927">
            <v>0</v>
          </cell>
          <cell r="E1927">
            <v>0</v>
          </cell>
          <cell r="F1927">
            <v>0</v>
          </cell>
          <cell r="G1927">
            <v>200</v>
          </cell>
          <cell r="J1927" t="str">
            <v>PANASAL</v>
          </cell>
          <cell r="N1927">
            <v>110</v>
          </cell>
        </row>
        <row r="1928">
          <cell r="A1928" t="str">
            <v>PANASAL</v>
          </cell>
          <cell r="C1928">
            <v>0</v>
          </cell>
          <cell r="D1928">
            <v>35</v>
          </cell>
          <cell r="E1928">
            <v>0</v>
          </cell>
          <cell r="F1928">
            <v>0</v>
          </cell>
          <cell r="G1928">
            <v>110</v>
          </cell>
          <cell r="J1928" t="str">
            <v>PANASAL</v>
          </cell>
          <cell r="M1928">
            <v>52</v>
          </cell>
        </row>
        <row r="1929">
          <cell r="A1929" t="str">
            <v>PANASAL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52</v>
          </cell>
          <cell r="J1929" t="str">
            <v>PANASAL</v>
          </cell>
          <cell r="M1929">
            <v>600</v>
          </cell>
        </row>
        <row r="1930">
          <cell r="A1930" t="str">
            <v>PANASAL</v>
          </cell>
          <cell r="C1930">
            <v>0</v>
          </cell>
          <cell r="D1930">
            <v>0</v>
          </cell>
          <cell r="E1930">
            <v>0</v>
          </cell>
          <cell r="F1930">
            <v>0</v>
          </cell>
          <cell r="G1930">
            <v>600</v>
          </cell>
          <cell r="J1930" t="str">
            <v>Bienes y Raices Metalicas S.A.</v>
          </cell>
          <cell r="U1930">
            <v>251</v>
          </cell>
        </row>
        <row r="1931">
          <cell r="A1931" t="str">
            <v>Bienes y Raices Metalicas S.A.</v>
          </cell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G1931">
            <v>251</v>
          </cell>
          <cell r="J1931" t="str">
            <v>Bienes y Raices Metalicas S.A.</v>
          </cell>
          <cell r="Y1931">
            <v>50</v>
          </cell>
        </row>
        <row r="1932">
          <cell r="A1932" t="str">
            <v>Bienes y Raices Metalicas S.A.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50</v>
          </cell>
          <cell r="J1932" t="str">
            <v>Bienes y Raices Metalicas S.A.</v>
          </cell>
          <cell r="V1932">
            <v>39</v>
          </cell>
        </row>
        <row r="1933">
          <cell r="A1933" t="str">
            <v>Bienes y Raices Metalicas S.A.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39</v>
          </cell>
          <cell r="J1933" t="str">
            <v>H. TZANETATO INC</v>
          </cell>
          <cell r="M1933">
            <v>325</v>
          </cell>
        </row>
        <row r="1934">
          <cell r="A1934" t="str">
            <v>H. TZANETATO INC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325</v>
          </cell>
          <cell r="J1934" t="str">
            <v>H. TZANETATO INC</v>
          </cell>
          <cell r="P1934">
            <v>102</v>
          </cell>
        </row>
        <row r="1935">
          <cell r="A1935" t="str">
            <v>H. TZANETATO INC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102</v>
          </cell>
          <cell r="J1935" t="str">
            <v>H. TZANETATO INC</v>
          </cell>
          <cell r="Q1935">
            <v>1060</v>
          </cell>
        </row>
        <row r="1936">
          <cell r="A1936" t="str">
            <v>H. TZANETATO INC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1060</v>
          </cell>
          <cell r="J1936" t="str">
            <v>H. TZANETATO INC</v>
          </cell>
          <cell r="N1936">
            <v>100</v>
          </cell>
        </row>
        <row r="1937">
          <cell r="A1937" t="str">
            <v>H. TZANETATO INC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100</v>
          </cell>
          <cell r="J1937" t="str">
            <v>H. TZANETATO INC</v>
          </cell>
          <cell r="N1937">
            <v>250</v>
          </cell>
        </row>
        <row r="1938">
          <cell r="A1938" t="str">
            <v>H. TZANETATO INC</v>
          </cell>
          <cell r="C1938">
            <v>0</v>
          </cell>
          <cell r="D1938">
            <v>0</v>
          </cell>
          <cell r="E1938">
            <v>0</v>
          </cell>
          <cell r="F1938">
            <v>0</v>
          </cell>
          <cell r="G1938">
            <v>250</v>
          </cell>
          <cell r="J1938" t="str">
            <v>H. TZANETATO INC</v>
          </cell>
          <cell r="R1938">
            <v>180</v>
          </cell>
        </row>
        <row r="1939">
          <cell r="A1939" t="str">
            <v>H. TZANETATO INC</v>
          </cell>
          <cell r="C1939">
            <v>0</v>
          </cell>
          <cell r="D1939">
            <v>0</v>
          </cell>
          <cell r="E1939">
            <v>0</v>
          </cell>
          <cell r="F1939">
            <v>0</v>
          </cell>
          <cell r="G1939">
            <v>180</v>
          </cell>
          <cell r="J1939" t="str">
            <v>H. TZANETATO INC</v>
          </cell>
          <cell r="R1939">
            <v>40</v>
          </cell>
        </row>
        <row r="1940">
          <cell r="A1940" t="str">
            <v>H. TZANETATO INC</v>
          </cell>
          <cell r="C1940">
            <v>40</v>
          </cell>
          <cell r="D1940">
            <v>0</v>
          </cell>
          <cell r="E1940">
            <v>0</v>
          </cell>
          <cell r="F1940">
            <v>0</v>
          </cell>
          <cell r="G1940">
            <v>40</v>
          </cell>
          <cell r="J1940" t="str">
            <v>H. TZANETATO INC</v>
          </cell>
          <cell r="O1940">
            <v>325</v>
          </cell>
        </row>
        <row r="1941">
          <cell r="A1941" t="str">
            <v>H. TZANETATO INC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325</v>
          </cell>
          <cell r="J1941" t="str">
            <v>H. TZANETATO INC</v>
          </cell>
          <cell r="N1941">
            <v>70</v>
          </cell>
        </row>
        <row r="1942">
          <cell r="A1942" t="str">
            <v>H. TZANETATO INC</v>
          </cell>
          <cell r="C1942">
            <v>0</v>
          </cell>
          <cell r="D1942">
            <v>0</v>
          </cell>
          <cell r="E1942">
            <v>0</v>
          </cell>
          <cell r="F1942">
            <v>0</v>
          </cell>
          <cell r="G1942">
            <v>70</v>
          </cell>
          <cell r="J1942" t="str">
            <v>H. TZANETATO INC</v>
          </cell>
          <cell r="O1942">
            <v>1090</v>
          </cell>
        </row>
        <row r="1943">
          <cell r="A1943" t="str">
            <v>H. TZANETATO INC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1090</v>
          </cell>
          <cell r="J1943" t="str">
            <v>H. TZANETATO INC</v>
          </cell>
          <cell r="N1943">
            <v>282</v>
          </cell>
        </row>
        <row r="1944">
          <cell r="A1944" t="str">
            <v>H. TZANETATO INC</v>
          </cell>
          <cell r="C1944">
            <v>0</v>
          </cell>
          <cell r="D1944">
            <v>0</v>
          </cell>
          <cell r="E1944">
            <v>0</v>
          </cell>
          <cell r="F1944">
            <v>0</v>
          </cell>
          <cell r="G1944">
            <v>282</v>
          </cell>
          <cell r="J1944" t="str">
            <v>H. TZANETATO INC</v>
          </cell>
          <cell r="N1944">
            <v>467</v>
          </cell>
        </row>
        <row r="1945">
          <cell r="A1945" t="str">
            <v>H. TZANETATO INC</v>
          </cell>
          <cell r="C1945">
            <v>0</v>
          </cell>
          <cell r="D1945">
            <v>0</v>
          </cell>
          <cell r="E1945">
            <v>0</v>
          </cell>
          <cell r="F1945">
            <v>0</v>
          </cell>
          <cell r="G1945">
            <v>467</v>
          </cell>
          <cell r="J1945" t="str">
            <v>H. TZANETATO INC</v>
          </cell>
          <cell r="T1945">
            <v>82</v>
          </cell>
        </row>
        <row r="1946">
          <cell r="A1946" t="str">
            <v>H. TZANETATO INC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82</v>
          </cell>
          <cell r="J1946" t="str">
            <v>H. TZANETATO INC</v>
          </cell>
          <cell r="N1946">
            <v>38</v>
          </cell>
        </row>
        <row r="1947">
          <cell r="A1947" t="str">
            <v>H. TZANETATO INC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38</v>
          </cell>
          <cell r="J1947" t="str">
            <v>H. TZANETATO INC</v>
          </cell>
          <cell r="N1947">
            <v>70</v>
          </cell>
        </row>
        <row r="1948">
          <cell r="A1948" t="str">
            <v>H. TZANETATO INC</v>
          </cell>
          <cell r="C1948">
            <v>0</v>
          </cell>
          <cell r="D1948">
            <v>0</v>
          </cell>
          <cell r="E1948">
            <v>0</v>
          </cell>
          <cell r="F1948">
            <v>0</v>
          </cell>
          <cell r="G1948">
            <v>70</v>
          </cell>
          <cell r="J1948" t="str">
            <v>H. TZANETATO INC</v>
          </cell>
          <cell r="N1948">
            <v>62</v>
          </cell>
        </row>
        <row r="1949">
          <cell r="A1949" t="str">
            <v>H. TZANETATO INC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62</v>
          </cell>
          <cell r="J1949" t="str">
            <v>H. TZANETATO INC</v>
          </cell>
          <cell r="N1949">
            <v>542</v>
          </cell>
        </row>
        <row r="1950">
          <cell r="A1950" t="str">
            <v>H. TZANETATO INC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542</v>
          </cell>
          <cell r="J1950" t="str">
            <v>H. TZANETATO INC</v>
          </cell>
          <cell r="N1950">
            <v>147</v>
          </cell>
        </row>
        <row r="1951">
          <cell r="A1951" t="str">
            <v>H. TZANETATO INC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147</v>
          </cell>
          <cell r="J1951" t="str">
            <v>H. TZANETATO INC</v>
          </cell>
          <cell r="S1951">
            <v>52</v>
          </cell>
        </row>
        <row r="1952">
          <cell r="A1952" t="str">
            <v>H. TZANETATO INC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52</v>
          </cell>
          <cell r="J1952" t="str">
            <v>H. TZANETATO INC</v>
          </cell>
          <cell r="M1952">
            <v>215</v>
          </cell>
        </row>
        <row r="1953">
          <cell r="A1953" t="str">
            <v>H. TZANETATO INC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215</v>
          </cell>
          <cell r="J1953" t="str">
            <v>H. TZANETATO INC</v>
          </cell>
          <cell r="M1953">
            <v>155</v>
          </cell>
        </row>
        <row r="1954">
          <cell r="A1954" t="str">
            <v>H. TZANETATO INC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155</v>
          </cell>
          <cell r="J1954" t="str">
            <v>H. TZANETATO INC</v>
          </cell>
          <cell r="M1954">
            <v>100</v>
          </cell>
        </row>
        <row r="1955">
          <cell r="A1955" t="str">
            <v>H. TZANETATO INC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100</v>
          </cell>
          <cell r="J1955" t="str">
            <v>H. TZANETATO INC</v>
          </cell>
          <cell r="N1955">
            <v>264</v>
          </cell>
        </row>
        <row r="1956">
          <cell r="A1956" t="str">
            <v>H. TZANETATO INC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264</v>
          </cell>
          <cell r="J1956" t="str">
            <v>H. TZANETATO INC</v>
          </cell>
          <cell r="T1956">
            <v>115</v>
          </cell>
        </row>
        <row r="1957">
          <cell r="A1957" t="str">
            <v>H. TZANETATO INC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115</v>
          </cell>
          <cell r="J1957" t="str">
            <v>H. TZANETATO INC</v>
          </cell>
          <cell r="N1957">
            <v>50</v>
          </cell>
        </row>
        <row r="1958">
          <cell r="A1958" t="str">
            <v>H. TZANETATO INC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50</v>
          </cell>
          <cell r="J1958" t="str">
            <v>H. TZANETATO INC</v>
          </cell>
          <cell r="N1958">
            <v>162</v>
          </cell>
        </row>
        <row r="1959">
          <cell r="A1959" t="str">
            <v>H. TZANETATO INC</v>
          </cell>
          <cell r="C1959">
            <v>162</v>
          </cell>
          <cell r="D1959">
            <v>0</v>
          </cell>
          <cell r="E1959">
            <v>0</v>
          </cell>
          <cell r="F1959">
            <v>0</v>
          </cell>
          <cell r="G1959">
            <v>162</v>
          </cell>
          <cell r="J1959" t="str">
            <v>H. TZANETATO INC</v>
          </cell>
          <cell r="N1959">
            <v>86</v>
          </cell>
        </row>
        <row r="1960">
          <cell r="A1960" t="str">
            <v>H. TZANETATO INC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86</v>
          </cell>
          <cell r="J1960" t="str">
            <v>H. TZANETATO INC</v>
          </cell>
          <cell r="M1960">
            <v>201</v>
          </cell>
        </row>
        <row r="1961">
          <cell r="A1961" t="str">
            <v>H. TZANETATO INC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201</v>
          </cell>
          <cell r="J1961" t="str">
            <v>H. TZANETATO INC</v>
          </cell>
          <cell r="T1961">
            <v>73</v>
          </cell>
        </row>
        <row r="1962">
          <cell r="A1962" t="str">
            <v>H. TZANETATO INC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73</v>
          </cell>
          <cell r="J1962" t="str">
            <v>H. TZANETATO INC</v>
          </cell>
          <cell r="T1962">
            <v>635</v>
          </cell>
        </row>
        <row r="1963">
          <cell r="A1963" t="str">
            <v>H. TZANETATO INC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635</v>
          </cell>
          <cell r="J1963" t="str">
            <v>H. TZANETATO INC</v>
          </cell>
          <cell r="N1963">
            <v>201</v>
          </cell>
        </row>
        <row r="1964">
          <cell r="A1964" t="str">
            <v>H. TZANETATO INC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  <cell r="G1964">
            <v>201</v>
          </cell>
          <cell r="J1964" t="str">
            <v>H. TZANETATO INC</v>
          </cell>
          <cell r="N1964">
            <v>0</v>
          </cell>
        </row>
        <row r="1965">
          <cell r="A1965" t="str">
            <v>H. TZANETATO INC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J1965" t="str">
            <v>H. TZANETATO INC</v>
          </cell>
          <cell r="N1965">
            <v>284</v>
          </cell>
        </row>
        <row r="1966">
          <cell r="A1966" t="str">
            <v>H. TZANETATO INC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284</v>
          </cell>
          <cell r="J1966" t="str">
            <v>H. TZANETATO INC</v>
          </cell>
          <cell r="M1966">
            <v>150</v>
          </cell>
        </row>
        <row r="1967">
          <cell r="A1967" t="str">
            <v>H. TZANETATO INC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150</v>
          </cell>
          <cell r="J1967" t="str">
            <v>H. TZANETATO INC</v>
          </cell>
          <cell r="O1967">
            <v>1200</v>
          </cell>
        </row>
        <row r="1968">
          <cell r="A1968" t="str">
            <v>H. TZANETATO INC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1200</v>
          </cell>
          <cell r="J1968" t="str">
            <v>H. TZANETATO INC</v>
          </cell>
          <cell r="N1968">
            <v>20</v>
          </cell>
        </row>
        <row r="1969">
          <cell r="A1969" t="str">
            <v>H. TZANETATO INC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20</v>
          </cell>
          <cell r="J1969" t="str">
            <v>H. TZANETATO INC</v>
          </cell>
          <cell r="M1969">
            <v>390</v>
          </cell>
        </row>
        <row r="1970">
          <cell r="A1970" t="str">
            <v>H. TZANETATO INC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390</v>
          </cell>
          <cell r="J1970" t="str">
            <v>H. TZANETATO INC</v>
          </cell>
          <cell r="N1970">
            <v>120</v>
          </cell>
        </row>
        <row r="1971">
          <cell r="A1971" t="str">
            <v>H. TZANETATO INC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120</v>
          </cell>
          <cell r="J1971" t="str">
            <v>H. TZANETATO INC</v>
          </cell>
          <cell r="N1971">
            <v>84</v>
          </cell>
        </row>
        <row r="1972">
          <cell r="A1972" t="str">
            <v>H. TZANETATO INC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84</v>
          </cell>
          <cell r="J1972" t="str">
            <v>H. TZANETATO INC</v>
          </cell>
          <cell r="N1972">
            <v>0</v>
          </cell>
        </row>
        <row r="1973">
          <cell r="A1973" t="str">
            <v>H. TZANETATO INC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J1973" t="str">
            <v>H. TZANETATO INC</v>
          </cell>
          <cell r="N1973">
            <v>165</v>
          </cell>
        </row>
        <row r="1974">
          <cell r="A1974" t="str">
            <v>H. TZANETATO INC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165</v>
          </cell>
          <cell r="J1974" t="str">
            <v>H. TZANETATO INC</v>
          </cell>
          <cell r="N1974">
            <v>251</v>
          </cell>
        </row>
        <row r="1975">
          <cell r="A1975" t="str">
            <v>H. TZANETATO INC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251</v>
          </cell>
          <cell r="J1975" t="str">
            <v>H. TZANETATO INC</v>
          </cell>
          <cell r="N1975">
            <v>60</v>
          </cell>
        </row>
        <row r="1976">
          <cell r="A1976" t="str">
            <v>H. TZANETATO INC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60</v>
          </cell>
          <cell r="J1976" t="str">
            <v>H. TZANETATO INC</v>
          </cell>
          <cell r="N1976">
            <v>75</v>
          </cell>
        </row>
        <row r="1977">
          <cell r="A1977" t="str">
            <v>H. TZANETATO INC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75</v>
          </cell>
          <cell r="J1977" t="str">
            <v>H. TZANETATO INC</v>
          </cell>
          <cell r="O1977">
            <v>1017</v>
          </cell>
        </row>
        <row r="1978">
          <cell r="A1978" t="str">
            <v>H. TZANETATO INC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1017</v>
          </cell>
          <cell r="J1978" t="str">
            <v>H. TZANETATO INC</v>
          </cell>
          <cell r="N1978">
            <v>50</v>
          </cell>
        </row>
        <row r="1979">
          <cell r="A1979" t="str">
            <v>H. TZANETATO INC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50</v>
          </cell>
          <cell r="J1979" t="str">
            <v>H. TZANETATO INC</v>
          </cell>
          <cell r="O1979">
            <v>219</v>
          </cell>
        </row>
        <row r="1980">
          <cell r="A1980" t="str">
            <v>H. TZANETATO INC</v>
          </cell>
          <cell r="C1980">
            <v>0</v>
          </cell>
          <cell r="D1980">
            <v>16</v>
          </cell>
          <cell r="E1980">
            <v>19</v>
          </cell>
          <cell r="F1980">
            <v>19</v>
          </cell>
          <cell r="G1980">
            <v>219</v>
          </cell>
          <cell r="J1980" t="str">
            <v>H. TZANETATO INC</v>
          </cell>
          <cell r="S1980">
            <v>305</v>
          </cell>
        </row>
        <row r="1981">
          <cell r="A1981" t="str">
            <v>H. TZANETATO INC</v>
          </cell>
          <cell r="C1981">
            <v>100</v>
          </cell>
          <cell r="D1981">
            <v>0</v>
          </cell>
          <cell r="E1981">
            <v>0</v>
          </cell>
          <cell r="F1981">
            <v>0</v>
          </cell>
          <cell r="G1981">
            <v>305</v>
          </cell>
          <cell r="J1981" t="str">
            <v>H. TZANETATO INC</v>
          </cell>
          <cell r="Q1981">
            <v>60</v>
          </cell>
        </row>
        <row r="1982">
          <cell r="A1982" t="str">
            <v>H. TZANETATO INC</v>
          </cell>
          <cell r="C1982">
            <v>0</v>
          </cell>
          <cell r="D1982">
            <v>0</v>
          </cell>
          <cell r="E1982">
            <v>0</v>
          </cell>
          <cell r="F1982">
            <v>0</v>
          </cell>
          <cell r="G1982">
            <v>60</v>
          </cell>
          <cell r="J1982" t="str">
            <v>H. TZANETATO INC</v>
          </cell>
          <cell r="M1982">
            <v>400</v>
          </cell>
        </row>
        <row r="1983">
          <cell r="A1983" t="str">
            <v>H. TZANETATO INC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400</v>
          </cell>
          <cell r="J1983" t="str">
            <v>H. TZANETATO INC</v>
          </cell>
          <cell r="O1983">
            <v>68</v>
          </cell>
        </row>
        <row r="1984">
          <cell r="A1984" t="str">
            <v>H. TZANETATO INC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68</v>
          </cell>
          <cell r="J1984" t="str">
            <v>H. TZANETATO INC</v>
          </cell>
          <cell r="Q1984">
            <v>4560</v>
          </cell>
        </row>
        <row r="1985">
          <cell r="A1985" t="str">
            <v>H. TZANETATO INC</v>
          </cell>
          <cell r="C1985">
            <v>0</v>
          </cell>
          <cell r="D1985">
            <v>680</v>
          </cell>
          <cell r="E1985">
            <v>450</v>
          </cell>
          <cell r="F1985">
            <v>450</v>
          </cell>
          <cell r="G1985">
            <v>4560</v>
          </cell>
          <cell r="J1985" t="str">
            <v>H. TZANETATO INC</v>
          </cell>
          <cell r="M1985">
            <v>400</v>
          </cell>
        </row>
        <row r="1986">
          <cell r="A1986" t="str">
            <v>H. TZANETATO INC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400</v>
          </cell>
          <cell r="J1986" t="str">
            <v>H. TZANETATO INC</v>
          </cell>
          <cell r="O1986">
            <v>34</v>
          </cell>
        </row>
        <row r="1987">
          <cell r="A1987" t="str">
            <v>H. TZANETATO INC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34</v>
          </cell>
          <cell r="J1987" t="str">
            <v>H. TZANETATO INC</v>
          </cell>
          <cell r="M1987">
            <v>100</v>
          </cell>
        </row>
        <row r="1988">
          <cell r="A1988" t="str">
            <v>H. TZANETATO INC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100</v>
          </cell>
          <cell r="J1988" t="str">
            <v>H. TZANETATO INC</v>
          </cell>
          <cell r="S1988">
            <v>96</v>
          </cell>
        </row>
        <row r="1989">
          <cell r="A1989" t="str">
            <v>H. TZANETATO INC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96</v>
          </cell>
          <cell r="J1989" t="str">
            <v>H. TZANETATO INC</v>
          </cell>
          <cell r="N1989">
            <v>230</v>
          </cell>
        </row>
        <row r="1990">
          <cell r="A1990" t="str">
            <v>H. TZANETATO INC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230</v>
          </cell>
          <cell r="J1990" t="str">
            <v>H. TZANETATO INC</v>
          </cell>
          <cell r="N1990">
            <v>97</v>
          </cell>
        </row>
        <row r="1991">
          <cell r="A1991" t="str">
            <v>H. TZANETATO INC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97</v>
          </cell>
          <cell r="J1991" t="str">
            <v>H. TZANETATO INC</v>
          </cell>
          <cell r="N1991">
            <v>130</v>
          </cell>
        </row>
        <row r="1992">
          <cell r="A1992" t="str">
            <v>H. TZANETATO INC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130</v>
          </cell>
          <cell r="J1992" t="str">
            <v>H. TZANETATO INC</v>
          </cell>
          <cell r="W1992">
            <v>0</v>
          </cell>
        </row>
        <row r="1993">
          <cell r="A1993" t="str">
            <v>H. TZANETATO INC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J1993" t="str">
            <v>H. TZANETATO INC</v>
          </cell>
          <cell r="U1993">
            <v>251</v>
          </cell>
        </row>
        <row r="1994">
          <cell r="A1994" t="str">
            <v>H. TZANETATO INC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251</v>
          </cell>
          <cell r="J1994" t="str">
            <v>H. TZANETATO INC</v>
          </cell>
          <cell r="M1994">
            <v>125</v>
          </cell>
        </row>
        <row r="1995">
          <cell r="A1995" t="str">
            <v>H. TZANETATO INC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125</v>
          </cell>
          <cell r="J1995" t="str">
            <v>H. TZANETATO INC</v>
          </cell>
          <cell r="V1995">
            <v>0</v>
          </cell>
        </row>
        <row r="1996">
          <cell r="A1996" t="str">
            <v>H. TZANETATO INC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J1996" t="str">
            <v>H. TZANETATO INC</v>
          </cell>
          <cell r="Y1996">
            <v>0</v>
          </cell>
        </row>
        <row r="1997">
          <cell r="A1997" t="str">
            <v>H. TZANETATO INC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J1997" t="str">
            <v>H. TZANETATO INC</v>
          </cell>
          <cell r="O1997">
            <v>0</v>
          </cell>
        </row>
        <row r="1998">
          <cell r="A1998" t="str">
            <v>H. TZANETATO INC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J1998" t="str">
            <v>H. TZANETATO INC</v>
          </cell>
          <cell r="M1998">
            <v>209</v>
          </cell>
        </row>
        <row r="1999">
          <cell r="A1999" t="str">
            <v>H. TZANETATO INC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209</v>
          </cell>
          <cell r="J1999" t="str">
            <v>H. TZANETATO INC</v>
          </cell>
          <cell r="M1999">
            <v>0</v>
          </cell>
        </row>
        <row r="2000">
          <cell r="A2000" t="str">
            <v>H. TZANETATO INC</v>
          </cell>
          <cell r="C2000">
            <v>0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J2000" t="str">
            <v>H. TZANETATO INC</v>
          </cell>
          <cell r="S2000">
            <v>200</v>
          </cell>
        </row>
        <row r="2001">
          <cell r="A2001" t="str">
            <v>H. TZANETATO INC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200</v>
          </cell>
          <cell r="J2001" t="str">
            <v>H. TZANETATO INC</v>
          </cell>
          <cell r="N2001">
            <v>110</v>
          </cell>
        </row>
        <row r="2002">
          <cell r="A2002" t="str">
            <v>H. TZANETATO INC</v>
          </cell>
          <cell r="C2002">
            <v>0</v>
          </cell>
          <cell r="D2002">
            <v>35</v>
          </cell>
          <cell r="E2002">
            <v>0</v>
          </cell>
          <cell r="F2002">
            <v>0</v>
          </cell>
          <cell r="G2002">
            <v>110</v>
          </cell>
          <cell r="J2002" t="str">
            <v>H. TZANETATO INC</v>
          </cell>
          <cell r="T2002">
            <v>0</v>
          </cell>
        </row>
        <row r="2003">
          <cell r="A2003" t="str">
            <v>H. TZANETATO INC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J2003" t="str">
            <v>H. TZANETATO INC</v>
          </cell>
          <cell r="O2003">
            <v>346</v>
          </cell>
        </row>
        <row r="2004">
          <cell r="A2004" t="str">
            <v>H. TZANETATO INC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346</v>
          </cell>
          <cell r="J2004" t="str">
            <v>Colgate Palmolive (CENTRAL AMERICA) INC</v>
          </cell>
          <cell r="O2004">
            <v>30</v>
          </cell>
        </row>
        <row r="2005">
          <cell r="A2005" t="str">
            <v>Colgate Palmolive (CENTRAL AMERICA) INC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30</v>
          </cell>
          <cell r="J2005" t="str">
            <v>Colgate Palmolive (CENTRAL AMERICA) INC</v>
          </cell>
          <cell r="P2005">
            <v>102</v>
          </cell>
        </row>
        <row r="2006">
          <cell r="A2006" t="str">
            <v>Colgate Palmolive (CENTRAL AMERICA) INC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102</v>
          </cell>
          <cell r="J2006" t="str">
            <v>Colgate Palmolive (CENTRAL AMERICA) INC</v>
          </cell>
          <cell r="O2006">
            <v>180</v>
          </cell>
        </row>
        <row r="2007">
          <cell r="A2007" t="str">
            <v>Colgate Palmolive (CENTRAL AMERICA) INC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180</v>
          </cell>
          <cell r="J2007" t="str">
            <v>Colgate Palmolive (CENTRAL AMERICA) INC</v>
          </cell>
          <cell r="N2007">
            <v>70</v>
          </cell>
        </row>
        <row r="2008">
          <cell r="A2008" t="str">
            <v>Colgate Palmolive (CENTRAL AMERICA) INC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70</v>
          </cell>
          <cell r="J2008" t="str">
            <v>Colgate Palmolive (CENTRAL AMERICA) INC</v>
          </cell>
          <cell r="Q2008">
            <v>1060</v>
          </cell>
        </row>
        <row r="2009">
          <cell r="A2009" t="str">
            <v>Colgate Palmolive (CENTRAL AMERICA) INC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1060</v>
          </cell>
          <cell r="J2009" t="str">
            <v>Colgate Palmolive (CENTRAL AMERICA) INC</v>
          </cell>
          <cell r="N2009">
            <v>100</v>
          </cell>
        </row>
        <row r="2010">
          <cell r="A2010" t="str">
            <v>Colgate Palmolive (CENTRAL AMERICA) INC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100</v>
          </cell>
          <cell r="J2010" t="str">
            <v>Colgate Palmolive (CENTRAL AMERICA) INC</v>
          </cell>
          <cell r="N2010">
            <v>250</v>
          </cell>
        </row>
        <row r="2011">
          <cell r="A2011" t="str">
            <v>Colgate Palmolive (CENTRAL AMERICA) INC</v>
          </cell>
          <cell r="C2011">
            <v>0</v>
          </cell>
          <cell r="D2011">
            <v>0</v>
          </cell>
          <cell r="E2011">
            <v>0</v>
          </cell>
          <cell r="F2011">
            <v>0</v>
          </cell>
          <cell r="G2011">
            <v>250</v>
          </cell>
          <cell r="J2011" t="str">
            <v>Colgate Palmolive (CENTRAL AMERICA) INC</v>
          </cell>
          <cell r="R2011">
            <v>180</v>
          </cell>
        </row>
        <row r="2012">
          <cell r="A2012" t="str">
            <v>Colgate Palmolive (CENTRAL AMERICA) INC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180</v>
          </cell>
          <cell r="J2012" t="str">
            <v>Colgate Palmolive (CENTRAL AMERICA) INC</v>
          </cell>
          <cell r="S2012">
            <v>73</v>
          </cell>
        </row>
        <row r="2013">
          <cell r="A2013" t="str">
            <v>Colgate Palmolive (CENTRAL AMERICA) INC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73</v>
          </cell>
          <cell r="J2013" t="str">
            <v>Colgate Palmolive (CENTRAL AMERICA) INC</v>
          </cell>
          <cell r="N2013">
            <v>282</v>
          </cell>
        </row>
        <row r="2014">
          <cell r="A2014" t="str">
            <v>Colgate Palmolive (CENTRAL AMERICA) INC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282</v>
          </cell>
          <cell r="J2014" t="str">
            <v>Colgate Palmolive (CENTRAL AMERICA) INC</v>
          </cell>
          <cell r="T2014">
            <v>82</v>
          </cell>
        </row>
        <row r="2015">
          <cell r="A2015" t="str">
            <v>Colgate Palmolive (CENTRAL AMERICA) INC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82</v>
          </cell>
          <cell r="J2015" t="str">
            <v>Colgate Palmolive (CENTRAL AMERICA) INC</v>
          </cell>
          <cell r="N2015">
            <v>881</v>
          </cell>
        </row>
        <row r="2016">
          <cell r="A2016" t="str">
            <v>Colgate Palmolive (CENTRAL AMERICA) INC</v>
          </cell>
          <cell r="C2016">
            <v>0</v>
          </cell>
          <cell r="D2016">
            <v>0</v>
          </cell>
          <cell r="E2016">
            <v>0</v>
          </cell>
          <cell r="F2016">
            <v>0</v>
          </cell>
          <cell r="G2016">
            <v>881</v>
          </cell>
          <cell r="J2016" t="str">
            <v>Colgate Palmolive (CENTRAL AMERICA) INC</v>
          </cell>
          <cell r="N2016">
            <v>38</v>
          </cell>
        </row>
        <row r="2017">
          <cell r="A2017" t="str">
            <v>Colgate Palmolive (CENTRAL AMERICA) INC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38</v>
          </cell>
          <cell r="J2017" t="str">
            <v>Colgate Palmolive (CENTRAL AMERICA) INC</v>
          </cell>
          <cell r="N2017">
            <v>70</v>
          </cell>
        </row>
        <row r="2018">
          <cell r="A2018" t="str">
            <v>Colgate Palmolive (CENTRAL AMERICA) INC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  <cell r="G2018">
            <v>70</v>
          </cell>
          <cell r="J2018" t="str">
            <v>Colgate Palmolive (CENTRAL AMERICA) INC</v>
          </cell>
          <cell r="N2018">
            <v>60</v>
          </cell>
        </row>
        <row r="2019">
          <cell r="A2019" t="str">
            <v>Colgate Palmolive (CENTRAL AMERICA) INC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60</v>
          </cell>
          <cell r="J2019" t="str">
            <v>Colgate Palmolive (CENTRAL AMERICA) INC</v>
          </cell>
          <cell r="N2019">
            <v>243</v>
          </cell>
        </row>
        <row r="2020">
          <cell r="A2020" t="str">
            <v>Colgate Palmolive (CENTRAL AMERICA) INC</v>
          </cell>
          <cell r="C2020">
            <v>0</v>
          </cell>
          <cell r="D2020">
            <v>13</v>
          </cell>
          <cell r="E2020">
            <v>37</v>
          </cell>
          <cell r="F2020">
            <v>28</v>
          </cell>
          <cell r="G2020">
            <v>243</v>
          </cell>
          <cell r="J2020" t="str">
            <v>Colgate Palmolive (CENTRAL AMERICA) INC</v>
          </cell>
          <cell r="N2020">
            <v>62</v>
          </cell>
        </row>
        <row r="2021">
          <cell r="A2021" t="str">
            <v>Colgate Palmolive (CENTRAL AMERICA) INC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62</v>
          </cell>
          <cell r="J2021" t="str">
            <v>Colgate Palmolive (CENTRAL AMERICA) INC</v>
          </cell>
          <cell r="N2021">
            <v>542</v>
          </cell>
        </row>
        <row r="2022">
          <cell r="A2022" t="str">
            <v>Colgate Palmolive (CENTRAL AMERICA) INC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542</v>
          </cell>
          <cell r="J2022" t="str">
            <v>Colgate Palmolive (CENTRAL AMERICA) INC</v>
          </cell>
          <cell r="S2022">
            <v>211</v>
          </cell>
        </row>
        <row r="2023">
          <cell r="A2023" t="str">
            <v>Colgate Palmolive (CENTRAL AMERICA) INC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211</v>
          </cell>
          <cell r="J2023" t="str">
            <v>Colgate Palmolive (CENTRAL AMERICA) INC</v>
          </cell>
          <cell r="M2023">
            <v>500</v>
          </cell>
        </row>
        <row r="2024">
          <cell r="A2024" t="str">
            <v>Colgate Palmolive (CENTRAL AMERICA) INC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500</v>
          </cell>
          <cell r="J2024" t="str">
            <v>Colgate Palmolive (CENTRAL AMERICA) INC</v>
          </cell>
          <cell r="T2024">
            <v>84</v>
          </cell>
        </row>
        <row r="2025">
          <cell r="A2025" t="str">
            <v>Colgate Palmolive (CENTRAL AMERICA) INC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84</v>
          </cell>
          <cell r="J2025" t="str">
            <v>Colgate Palmolive (CENTRAL AMERICA) INC</v>
          </cell>
          <cell r="M2025">
            <v>100</v>
          </cell>
        </row>
        <row r="2026">
          <cell r="A2026" t="str">
            <v>Colgate Palmolive (CENTRAL AMERICA) INC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100</v>
          </cell>
          <cell r="J2026" t="str">
            <v>Colgate Palmolive (CENTRAL AMERICA) INC</v>
          </cell>
          <cell r="Q2026">
            <v>57</v>
          </cell>
        </row>
        <row r="2027">
          <cell r="A2027" t="str">
            <v>Colgate Palmolive (CENTRAL AMERICA) INC</v>
          </cell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G2027">
            <v>57</v>
          </cell>
          <cell r="J2027" t="str">
            <v>Colgate Palmolive (CENTRAL AMERICA) INC</v>
          </cell>
          <cell r="O2027">
            <v>60</v>
          </cell>
        </row>
        <row r="2028">
          <cell r="A2028" t="str">
            <v>Colgate Palmolive (CENTRAL AMERICA) INC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60</v>
          </cell>
          <cell r="J2028" t="str">
            <v>Colgate Palmolive (CENTRAL AMERICA) INC</v>
          </cell>
          <cell r="S2028">
            <v>179</v>
          </cell>
        </row>
        <row r="2029">
          <cell r="A2029" t="str">
            <v>Colgate Palmolive (CENTRAL AMERICA) INC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179</v>
          </cell>
          <cell r="J2029" t="str">
            <v>Colgate Palmolive (CENTRAL AMERICA) INC</v>
          </cell>
          <cell r="N2029">
            <v>50</v>
          </cell>
        </row>
        <row r="2030">
          <cell r="A2030" t="str">
            <v>Colgate Palmolive (CENTRAL AMERICA) INC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50</v>
          </cell>
          <cell r="J2030" t="str">
            <v>Colgate Palmolive (CENTRAL AMERICA) INC</v>
          </cell>
          <cell r="N2030">
            <v>86</v>
          </cell>
        </row>
        <row r="2031">
          <cell r="A2031" t="str">
            <v>Colgate Palmolive (CENTRAL AMERICA) INC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86</v>
          </cell>
          <cell r="J2031" t="str">
            <v>Colgate Palmolive (CENTRAL AMERICA) INC</v>
          </cell>
          <cell r="M2031">
            <v>201</v>
          </cell>
        </row>
        <row r="2032">
          <cell r="A2032" t="str">
            <v>Colgate Palmolive (CENTRAL AMERICA) INC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201</v>
          </cell>
          <cell r="J2032" t="str">
            <v>Colgate Palmolive (CENTRAL AMERICA) INC</v>
          </cell>
          <cell r="T2032">
            <v>73</v>
          </cell>
        </row>
        <row r="2033">
          <cell r="A2033" t="str">
            <v>Colgate Palmolive (CENTRAL AMERICA) INC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73</v>
          </cell>
          <cell r="J2033" t="str">
            <v>Colgate Palmolive (CENTRAL AMERICA) INC</v>
          </cell>
          <cell r="T2033">
            <v>635</v>
          </cell>
        </row>
        <row r="2034">
          <cell r="A2034" t="str">
            <v>Colgate Palmolive (CENTRAL AMERICA) INC</v>
          </cell>
          <cell r="C2034">
            <v>0</v>
          </cell>
          <cell r="D2034">
            <v>0</v>
          </cell>
          <cell r="E2034">
            <v>0</v>
          </cell>
          <cell r="F2034">
            <v>0</v>
          </cell>
          <cell r="G2034">
            <v>635</v>
          </cell>
          <cell r="J2034" t="str">
            <v>Colgate Palmolive (CENTRAL AMERICA) INC</v>
          </cell>
          <cell r="N2034">
            <v>201</v>
          </cell>
        </row>
        <row r="2035">
          <cell r="A2035" t="str">
            <v>Colgate Palmolive (CENTRAL AMERICA) INC</v>
          </cell>
          <cell r="C2035">
            <v>0</v>
          </cell>
          <cell r="D2035">
            <v>0</v>
          </cell>
          <cell r="E2035">
            <v>0</v>
          </cell>
          <cell r="F2035">
            <v>0</v>
          </cell>
          <cell r="G2035">
            <v>201</v>
          </cell>
          <cell r="J2035" t="str">
            <v>Colgate Palmolive (CENTRAL AMERICA) INC</v>
          </cell>
          <cell r="N2035">
            <v>0</v>
          </cell>
        </row>
        <row r="2036">
          <cell r="A2036" t="str">
            <v>Colgate Palmolive (CENTRAL AMERICA) INC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J2036" t="str">
            <v>Colgate Palmolive (CENTRAL AMERICA) INC</v>
          </cell>
          <cell r="N2036">
            <v>284</v>
          </cell>
        </row>
        <row r="2037">
          <cell r="A2037" t="str">
            <v>Colgate Palmolive (CENTRAL AMERICA) INC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284</v>
          </cell>
          <cell r="J2037" t="str">
            <v>Colgate Palmolive (CENTRAL AMERICA) INC</v>
          </cell>
          <cell r="M2037">
            <v>150</v>
          </cell>
        </row>
        <row r="2038">
          <cell r="A2038" t="str">
            <v>Colgate Palmolive (CENTRAL AMERICA) INC</v>
          </cell>
          <cell r="C2038">
            <v>0</v>
          </cell>
          <cell r="D2038">
            <v>0</v>
          </cell>
          <cell r="E2038">
            <v>0</v>
          </cell>
          <cell r="F2038">
            <v>0</v>
          </cell>
          <cell r="G2038">
            <v>150</v>
          </cell>
          <cell r="J2038" t="str">
            <v>Colgate Palmolive (CENTRAL AMERICA) INC</v>
          </cell>
          <cell r="O2038">
            <v>1200</v>
          </cell>
        </row>
        <row r="2039">
          <cell r="A2039" t="str">
            <v>Colgate Palmolive (CENTRAL AMERICA) INC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1200</v>
          </cell>
          <cell r="J2039" t="str">
            <v>Colgate Palmolive (CENTRAL AMERICA) INC</v>
          </cell>
          <cell r="N2039">
            <v>20</v>
          </cell>
        </row>
        <row r="2040">
          <cell r="A2040" t="str">
            <v>Colgate Palmolive (CENTRAL AMERICA) INC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20</v>
          </cell>
          <cell r="J2040" t="str">
            <v>Colgate Palmolive (CENTRAL AMERICA) INC</v>
          </cell>
          <cell r="O2040">
            <v>410</v>
          </cell>
        </row>
        <row r="2041">
          <cell r="A2041" t="str">
            <v>Colgate Palmolive (CENTRAL AMERICA) INC</v>
          </cell>
          <cell r="C2041">
            <v>0</v>
          </cell>
          <cell r="D2041">
            <v>0</v>
          </cell>
          <cell r="E2041">
            <v>0</v>
          </cell>
          <cell r="F2041">
            <v>0</v>
          </cell>
          <cell r="G2041">
            <v>410</v>
          </cell>
          <cell r="J2041" t="str">
            <v>Colgate Palmolive (CENTRAL AMERICA) INC</v>
          </cell>
          <cell r="O2041">
            <v>140</v>
          </cell>
        </row>
        <row r="2042">
          <cell r="A2042" t="str">
            <v>Colgate Palmolive (CENTRAL AMERICA) INC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140</v>
          </cell>
          <cell r="J2042" t="str">
            <v>Colgate Palmolive (CENTRAL AMERICA) INC</v>
          </cell>
          <cell r="N2042">
            <v>84</v>
          </cell>
        </row>
        <row r="2043">
          <cell r="A2043" t="str">
            <v>Colgate Palmolive (CENTRAL AMERICA) INC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84</v>
          </cell>
          <cell r="J2043" t="str">
            <v>Colgate Palmolive (CENTRAL AMERICA) INC</v>
          </cell>
          <cell r="N2043">
            <v>230</v>
          </cell>
        </row>
        <row r="2044">
          <cell r="A2044" t="str">
            <v>Colgate Palmolive (CENTRAL AMERICA) INC</v>
          </cell>
          <cell r="C2044">
            <v>0</v>
          </cell>
          <cell r="D2044">
            <v>0</v>
          </cell>
          <cell r="E2044">
            <v>0</v>
          </cell>
          <cell r="F2044">
            <v>0</v>
          </cell>
          <cell r="G2044">
            <v>230</v>
          </cell>
          <cell r="J2044" t="str">
            <v>Colgate Palmolive (CENTRAL AMERICA) INC</v>
          </cell>
          <cell r="N2044">
            <v>205</v>
          </cell>
        </row>
        <row r="2045">
          <cell r="A2045" t="str">
            <v>Colgate Palmolive (CENTRAL AMERICA) INC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205</v>
          </cell>
          <cell r="J2045" t="str">
            <v>Colgate Palmolive (CENTRAL AMERICA) INC</v>
          </cell>
          <cell r="N2045">
            <v>0</v>
          </cell>
        </row>
        <row r="2046">
          <cell r="A2046" t="str">
            <v>Colgate Palmolive (CENTRAL AMERICA) INC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J2046" t="str">
            <v>Colgate Palmolive (CENTRAL AMERICA) INC</v>
          </cell>
          <cell r="N2046">
            <v>60</v>
          </cell>
        </row>
        <row r="2047">
          <cell r="A2047" t="str">
            <v>Colgate Palmolive (CENTRAL AMERICA) INC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60</v>
          </cell>
          <cell r="J2047" t="str">
            <v>Colgate Palmolive (CENTRAL AMERICA) INC</v>
          </cell>
          <cell r="O2047">
            <v>219</v>
          </cell>
        </row>
        <row r="2048">
          <cell r="A2048" t="str">
            <v>Colgate Palmolive (CENTRAL AMERICA) INC</v>
          </cell>
          <cell r="C2048">
            <v>0</v>
          </cell>
          <cell r="D2048">
            <v>16</v>
          </cell>
          <cell r="E2048">
            <v>19</v>
          </cell>
          <cell r="F2048">
            <v>19</v>
          </cell>
          <cell r="G2048">
            <v>219</v>
          </cell>
          <cell r="J2048" t="str">
            <v>Colgate Palmolive (CENTRAL AMERICA) INC</v>
          </cell>
          <cell r="S2048">
            <v>305</v>
          </cell>
        </row>
        <row r="2049">
          <cell r="A2049" t="str">
            <v>Colgate Palmolive (CENTRAL AMERICA) INC</v>
          </cell>
          <cell r="C2049">
            <v>100</v>
          </cell>
          <cell r="D2049">
            <v>0</v>
          </cell>
          <cell r="E2049">
            <v>0</v>
          </cell>
          <cell r="F2049">
            <v>0</v>
          </cell>
          <cell r="G2049">
            <v>305</v>
          </cell>
          <cell r="J2049" t="str">
            <v>Colgate Palmolive (CENTRAL AMERICA) INC</v>
          </cell>
          <cell r="S2049">
            <v>152</v>
          </cell>
        </row>
        <row r="2050">
          <cell r="A2050" t="str">
            <v>Colgate Palmolive (CENTRAL AMERICA) INC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152</v>
          </cell>
          <cell r="J2050" t="str">
            <v>Colgate Palmolive (CENTRAL AMERICA) INC</v>
          </cell>
          <cell r="Q2050">
            <v>60</v>
          </cell>
        </row>
        <row r="2051">
          <cell r="A2051" t="str">
            <v>Colgate Palmolive (CENTRAL AMERICA) INC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60</v>
          </cell>
          <cell r="J2051" t="str">
            <v>Colgate Palmolive (CENTRAL AMERICA) INC</v>
          </cell>
          <cell r="O2051">
            <v>256</v>
          </cell>
        </row>
        <row r="2052">
          <cell r="A2052" t="str">
            <v>Colgate Palmolive (CENTRAL AMERICA) INC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256</v>
          </cell>
          <cell r="J2052" t="str">
            <v>Colgate Palmolive (CENTRAL AMERICA) INC</v>
          </cell>
          <cell r="Q2052">
            <v>496</v>
          </cell>
        </row>
        <row r="2053">
          <cell r="A2053" t="str">
            <v>Colgate Palmolive (CENTRAL AMERICA) INC</v>
          </cell>
          <cell r="C2053">
            <v>73</v>
          </cell>
          <cell r="D2053">
            <v>0</v>
          </cell>
          <cell r="E2053">
            <v>0</v>
          </cell>
          <cell r="F2053">
            <v>0</v>
          </cell>
          <cell r="G2053">
            <v>496</v>
          </cell>
          <cell r="J2053" t="str">
            <v>Colgate Palmolive (CENTRAL AMERICA) INC</v>
          </cell>
          <cell r="M2053">
            <v>400</v>
          </cell>
        </row>
        <row r="2054">
          <cell r="A2054" t="str">
            <v>Colgate Palmolive (CENTRAL AMERICA) INC</v>
          </cell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G2054">
            <v>400</v>
          </cell>
          <cell r="J2054" t="str">
            <v>Colgate Palmolive (CENTRAL AMERICA) INC</v>
          </cell>
          <cell r="O2054">
            <v>34</v>
          </cell>
        </row>
        <row r="2055">
          <cell r="A2055" t="str">
            <v>Colgate Palmolive (CENTRAL AMERICA) INC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34</v>
          </cell>
          <cell r="J2055" t="str">
            <v>Colgate Palmolive (CENTRAL AMERICA) INC</v>
          </cell>
          <cell r="S2055">
            <v>96</v>
          </cell>
        </row>
        <row r="2056">
          <cell r="A2056" t="str">
            <v>Colgate Palmolive (CENTRAL AMERICA) INC</v>
          </cell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G2056">
            <v>96</v>
          </cell>
          <cell r="J2056" t="str">
            <v>Colgate Palmolive (CENTRAL AMERICA) INC</v>
          </cell>
          <cell r="N2056">
            <v>230</v>
          </cell>
        </row>
        <row r="2057">
          <cell r="A2057" t="str">
            <v>Colgate Palmolive (CENTRAL AMERICA) INC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230</v>
          </cell>
          <cell r="J2057" t="str">
            <v>Colgate Palmolive (CENTRAL AMERICA) INC</v>
          </cell>
          <cell r="M2057">
            <v>352</v>
          </cell>
        </row>
        <row r="2058">
          <cell r="A2058" t="str">
            <v>Colgate Palmolive (CENTRAL AMERICA) INC</v>
          </cell>
          <cell r="C2058">
            <v>225</v>
          </cell>
          <cell r="D2058">
            <v>0</v>
          </cell>
          <cell r="E2058">
            <v>0</v>
          </cell>
          <cell r="F2058">
            <v>0</v>
          </cell>
          <cell r="G2058">
            <v>352</v>
          </cell>
          <cell r="J2058" t="str">
            <v>Colgate Palmolive (CENTRAL AMERICA) INC</v>
          </cell>
          <cell r="T2058">
            <v>50</v>
          </cell>
        </row>
        <row r="2059">
          <cell r="A2059" t="str">
            <v>Colgate Palmolive (CENTRAL AMERICA) INC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50</v>
          </cell>
          <cell r="J2059" t="str">
            <v>Colgate Palmolive (CENTRAL AMERICA) INC</v>
          </cell>
          <cell r="N2059">
            <v>510</v>
          </cell>
        </row>
        <row r="2060">
          <cell r="A2060" t="str">
            <v>Colgate Palmolive (CENTRAL AMERICA) INC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510</v>
          </cell>
          <cell r="J2060" t="str">
            <v>Colgate Palmolive (CENTRAL AMERICA) INC</v>
          </cell>
          <cell r="N2060">
            <v>97</v>
          </cell>
        </row>
        <row r="2061">
          <cell r="A2061" t="str">
            <v>Colgate Palmolive (CENTRAL AMERICA) INC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97</v>
          </cell>
          <cell r="J2061" t="str">
            <v>Colgate Palmolive (CENTRAL AMERICA) INC</v>
          </cell>
          <cell r="M2061">
            <v>1350</v>
          </cell>
        </row>
        <row r="2062">
          <cell r="A2062" t="str">
            <v>Colgate Palmolive (CENTRAL AMERICA) INC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1350</v>
          </cell>
          <cell r="J2062" t="str">
            <v>Colgate Palmolive (CENTRAL AMERICA) INC</v>
          </cell>
          <cell r="M2062">
            <v>77</v>
          </cell>
        </row>
        <row r="2063">
          <cell r="A2063" t="str">
            <v>Colgate Palmolive (CENTRAL AMERICA) INC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77</v>
          </cell>
          <cell r="J2063" t="str">
            <v>Colgate Palmolive (CENTRAL AMERICA) INC</v>
          </cell>
          <cell r="W2063">
            <v>0</v>
          </cell>
        </row>
        <row r="2064">
          <cell r="A2064" t="str">
            <v>Colgate Palmolive (CENTRAL AMERICA) INC</v>
          </cell>
          <cell r="C2064">
            <v>0</v>
          </cell>
          <cell r="D2064">
            <v>0</v>
          </cell>
          <cell r="E2064">
            <v>0</v>
          </cell>
          <cell r="F2064">
            <v>0</v>
          </cell>
          <cell r="G2064">
            <v>0</v>
          </cell>
          <cell r="J2064" t="str">
            <v>Colgate Palmolive (CENTRAL AMERICA) INC</v>
          </cell>
          <cell r="U2064">
            <v>251</v>
          </cell>
        </row>
        <row r="2065">
          <cell r="A2065" t="str">
            <v>Colgate Palmolive (CENTRAL AMERICA) INC</v>
          </cell>
          <cell r="C2065">
            <v>0</v>
          </cell>
          <cell r="D2065">
            <v>0</v>
          </cell>
          <cell r="E2065">
            <v>0</v>
          </cell>
          <cell r="F2065">
            <v>0</v>
          </cell>
          <cell r="G2065">
            <v>251</v>
          </cell>
          <cell r="J2065" t="str">
            <v>Colgate Palmolive (CENTRAL AMERICA) INC</v>
          </cell>
          <cell r="V2065">
            <v>0</v>
          </cell>
        </row>
        <row r="2066">
          <cell r="A2066" t="str">
            <v>Colgate Palmolive (CENTRAL AMERICA) INC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J2066" t="str">
            <v>Colgate Palmolive (CENTRAL AMERICA) INC</v>
          </cell>
          <cell r="Y2066">
            <v>0</v>
          </cell>
        </row>
        <row r="2067">
          <cell r="A2067" t="str">
            <v>Colgate Palmolive (CENTRAL AMERICA) INC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J2067" t="str">
            <v>Colgate Palmolive (CENTRAL AMERICA) INC</v>
          </cell>
          <cell r="O2067">
            <v>0</v>
          </cell>
        </row>
        <row r="2068">
          <cell r="A2068" t="str">
            <v>Colgate Palmolive (CENTRAL AMERICA) INC</v>
          </cell>
          <cell r="C2068">
            <v>0</v>
          </cell>
          <cell r="D2068">
            <v>0</v>
          </cell>
          <cell r="E2068">
            <v>0</v>
          </cell>
          <cell r="F2068">
            <v>0</v>
          </cell>
          <cell r="G2068">
            <v>0</v>
          </cell>
          <cell r="J2068" t="str">
            <v>Colgate Palmolive (CENTRAL AMERICA) INC</v>
          </cell>
          <cell r="M2068">
            <v>209</v>
          </cell>
        </row>
        <row r="2069">
          <cell r="A2069" t="str">
            <v>Colgate Palmolive (CENTRAL AMERICA) INC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209</v>
          </cell>
          <cell r="J2069" t="str">
            <v>Colgate Palmolive (CENTRAL AMERICA) INC</v>
          </cell>
          <cell r="N2069">
            <v>0</v>
          </cell>
        </row>
        <row r="2070">
          <cell r="A2070" t="str">
            <v>Colgate Palmolive (CENTRAL AMERICA) INC</v>
          </cell>
          <cell r="C2070">
            <v>0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J2070" t="str">
            <v>Colgate Palmolive (CENTRAL AMERICA) INC</v>
          </cell>
          <cell r="S2070">
            <v>200</v>
          </cell>
        </row>
        <row r="2071">
          <cell r="A2071" t="str">
            <v>Colgate Palmolive (CENTRAL AMERICA) INC</v>
          </cell>
          <cell r="C2071">
            <v>0</v>
          </cell>
          <cell r="D2071">
            <v>0</v>
          </cell>
          <cell r="E2071">
            <v>0</v>
          </cell>
          <cell r="F2071">
            <v>0</v>
          </cell>
          <cell r="G2071">
            <v>200</v>
          </cell>
          <cell r="J2071" t="str">
            <v>Colgate Palmolive (CENTRAL AMERICA) INC</v>
          </cell>
          <cell r="V2071">
            <v>200</v>
          </cell>
        </row>
        <row r="2072">
          <cell r="A2072" t="str">
            <v>Colgate Palmolive (CENTRAL AMERICA) INC</v>
          </cell>
          <cell r="C2072">
            <v>200</v>
          </cell>
          <cell r="D2072">
            <v>0</v>
          </cell>
          <cell r="E2072">
            <v>0</v>
          </cell>
          <cell r="F2072">
            <v>0</v>
          </cell>
          <cell r="G2072">
            <v>200</v>
          </cell>
          <cell r="J2072" t="str">
            <v>Colgate Palmolive (CENTRAL AMERICA) INC</v>
          </cell>
          <cell r="M2072">
            <v>52</v>
          </cell>
        </row>
        <row r="2073">
          <cell r="A2073" t="str">
            <v>Colgate Palmolive (CENTRAL AMERICA) INC</v>
          </cell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G2073">
            <v>52</v>
          </cell>
          <cell r="J2073" t="str">
            <v>Colgate Palmolive (CENTRAL AMERICA) INC</v>
          </cell>
          <cell r="M2073">
            <v>360</v>
          </cell>
        </row>
        <row r="2074">
          <cell r="A2074" t="str">
            <v>Colgate Palmolive (CENTRAL AMERICA) INC</v>
          </cell>
          <cell r="C2074">
            <v>0</v>
          </cell>
          <cell r="D2074">
            <v>0</v>
          </cell>
          <cell r="E2074">
            <v>0</v>
          </cell>
          <cell r="F2074">
            <v>0</v>
          </cell>
          <cell r="G2074">
            <v>360</v>
          </cell>
          <cell r="J2074" t="str">
            <v>Colgate Palmolive (CENTRAL AMERICA) INC</v>
          </cell>
          <cell r="P2074">
            <v>150</v>
          </cell>
        </row>
        <row r="2075">
          <cell r="A2075" t="str">
            <v>Colgate Palmolive (CENTRAL AMERICA) INC</v>
          </cell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G2075">
            <v>150</v>
          </cell>
          <cell r="J2075" t="str">
            <v>Colgate Palmolive (CENTRAL AMERICA) INC</v>
          </cell>
          <cell r="M2075">
            <v>600</v>
          </cell>
        </row>
        <row r="2076">
          <cell r="A2076" t="str">
            <v>Colgate Palmolive (CENTRAL AMERICA) INC</v>
          </cell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G2076">
            <v>600</v>
          </cell>
          <cell r="J2076" t="str">
            <v>Colgate Palmolive (CENTRAL AMERICA) INC</v>
          </cell>
          <cell r="Y2076">
            <v>50</v>
          </cell>
        </row>
        <row r="2077">
          <cell r="A2077" t="str">
            <v>Colgate Palmolive (CENTRAL AMERICA) INC</v>
          </cell>
          <cell r="C2077">
            <v>0</v>
          </cell>
          <cell r="D2077">
            <v>0</v>
          </cell>
          <cell r="E2077">
            <v>0</v>
          </cell>
          <cell r="F2077">
            <v>0</v>
          </cell>
          <cell r="G2077">
            <v>50</v>
          </cell>
          <cell r="J2077" t="str">
            <v>PRODUCTOS LUX, S.A ( Proluxa)</v>
          </cell>
          <cell r="M2077">
            <v>325</v>
          </cell>
        </row>
        <row r="2078">
          <cell r="A2078" t="str">
            <v>PRODUCTOS LUX, S.A ( Proluxa)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325</v>
          </cell>
          <cell r="J2078" t="str">
            <v>PRODUCTOS LUX, S.A ( Proluxa)</v>
          </cell>
          <cell r="P2078">
            <v>102</v>
          </cell>
        </row>
        <row r="2079">
          <cell r="A2079" t="str">
            <v>PRODUCTOS LUX, S.A ( Proluxa)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102</v>
          </cell>
          <cell r="J2079" t="str">
            <v>PRODUCTOS LUX, S.A ( Proluxa)</v>
          </cell>
          <cell r="N2079">
            <v>100</v>
          </cell>
        </row>
        <row r="2080">
          <cell r="A2080" t="str">
            <v>PRODUCTOS LUX, S.A ( Proluxa)</v>
          </cell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G2080">
            <v>100</v>
          </cell>
          <cell r="J2080" t="str">
            <v>PRODUCTOS LUX, S.A ( Proluxa)</v>
          </cell>
          <cell r="O2080">
            <v>180</v>
          </cell>
        </row>
        <row r="2081">
          <cell r="A2081" t="str">
            <v>PRODUCTOS LUX, S.A ( Proluxa)</v>
          </cell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G2081">
            <v>180</v>
          </cell>
          <cell r="J2081" t="str">
            <v>PRODUCTOS LUX, S.A ( Proluxa)</v>
          </cell>
          <cell r="N2081">
            <v>100</v>
          </cell>
        </row>
        <row r="2082">
          <cell r="A2082" t="str">
            <v>PRODUCTOS LUX, S.A ( Proluxa)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100</v>
          </cell>
          <cell r="J2082" t="str">
            <v>PRODUCTOS LUX, S.A ( Proluxa)</v>
          </cell>
          <cell r="N2082">
            <v>250</v>
          </cell>
        </row>
        <row r="2083">
          <cell r="A2083" t="str">
            <v>PRODUCTOS LUX, S.A ( Proluxa)</v>
          </cell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G2083">
            <v>250</v>
          </cell>
          <cell r="J2083" t="str">
            <v>PRODUCTOS LUX, S.A ( Proluxa)</v>
          </cell>
          <cell r="R2083">
            <v>180</v>
          </cell>
        </row>
        <row r="2084">
          <cell r="A2084" t="str">
            <v>PRODUCTOS LUX, S.A ( Proluxa)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180</v>
          </cell>
          <cell r="J2084" t="str">
            <v>PRODUCTOS LUX, S.A ( Proluxa)</v>
          </cell>
          <cell r="N2084">
            <v>70</v>
          </cell>
        </row>
        <row r="2085">
          <cell r="A2085" t="str">
            <v>PRODUCTOS LUX, S.A ( Proluxa)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70</v>
          </cell>
          <cell r="J2085" t="str">
            <v>PRODUCTOS LUX, S.A ( Proluxa)</v>
          </cell>
          <cell r="O2085">
            <v>1090</v>
          </cell>
        </row>
        <row r="2086">
          <cell r="A2086" t="str">
            <v>PRODUCTOS LUX, S.A ( Proluxa)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1090</v>
          </cell>
          <cell r="J2086" t="str">
            <v>PRODUCTOS LUX, S.A ( Proluxa)</v>
          </cell>
          <cell r="M2086">
            <v>0</v>
          </cell>
        </row>
        <row r="2087">
          <cell r="A2087" t="str">
            <v>PRODUCTOS LUX, S.A ( Proluxa)</v>
          </cell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J2087" t="str">
            <v>PRODUCTOS LUX, S.A ( Proluxa)</v>
          </cell>
          <cell r="N2087">
            <v>282</v>
          </cell>
        </row>
        <row r="2088">
          <cell r="A2088" t="str">
            <v>PRODUCTOS LUX, S.A ( Proluxa)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282</v>
          </cell>
          <cell r="J2088" t="str">
            <v>PRODUCTOS LUX, S.A ( Proluxa)</v>
          </cell>
          <cell r="N2088">
            <v>38</v>
          </cell>
        </row>
        <row r="2089">
          <cell r="A2089" t="str">
            <v>PRODUCTOS LUX, S.A ( Proluxa)</v>
          </cell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G2089">
            <v>38</v>
          </cell>
          <cell r="J2089" t="str">
            <v>PRODUCTOS LUX, S.A ( Proluxa)</v>
          </cell>
          <cell r="N2089">
            <v>70</v>
          </cell>
        </row>
        <row r="2090">
          <cell r="A2090" t="str">
            <v>PRODUCTOS LUX, S.A ( Proluxa)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70</v>
          </cell>
          <cell r="J2090" t="str">
            <v>PRODUCTOS LUX, S.A ( Proluxa)</v>
          </cell>
          <cell r="O2090">
            <v>116</v>
          </cell>
        </row>
        <row r="2091">
          <cell r="A2091" t="str">
            <v>PRODUCTOS LUX, S.A ( Proluxa)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116</v>
          </cell>
          <cell r="J2091" t="str">
            <v>PRODUCTOS LUX, S.A ( Proluxa)</v>
          </cell>
          <cell r="S2091">
            <v>211</v>
          </cell>
        </row>
        <row r="2092">
          <cell r="A2092" t="str">
            <v>PRODUCTOS LUX, S.A ( Proluxa)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211</v>
          </cell>
          <cell r="J2092" t="str">
            <v>PRODUCTOS LUX, S.A ( Proluxa)</v>
          </cell>
          <cell r="M2092">
            <v>215</v>
          </cell>
        </row>
        <row r="2093">
          <cell r="A2093" t="str">
            <v>PRODUCTOS LUX, S.A ( Proluxa)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215</v>
          </cell>
          <cell r="J2093" t="str">
            <v>PRODUCTOS LUX, S.A ( Proluxa)</v>
          </cell>
          <cell r="M2093">
            <v>155</v>
          </cell>
        </row>
        <row r="2094">
          <cell r="A2094" t="str">
            <v>PRODUCTOS LUX, S.A ( Proluxa)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155</v>
          </cell>
          <cell r="J2094" t="str">
            <v>PRODUCTOS LUX, S.A ( Proluxa)</v>
          </cell>
          <cell r="M2094">
            <v>100</v>
          </cell>
        </row>
        <row r="2095">
          <cell r="A2095" t="str">
            <v>PRODUCTOS LUX, S.A ( Proluxa)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100</v>
          </cell>
          <cell r="J2095" t="str">
            <v>PRODUCTOS LUX, S.A ( Proluxa)</v>
          </cell>
          <cell r="N2095">
            <v>264</v>
          </cell>
        </row>
        <row r="2096">
          <cell r="A2096" t="str">
            <v>PRODUCTOS LUX, S.A ( Proluxa)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264</v>
          </cell>
          <cell r="J2096" t="str">
            <v>PRODUCTOS LUX, S.A ( Proluxa)</v>
          </cell>
          <cell r="Q2096">
            <v>57</v>
          </cell>
        </row>
        <row r="2097">
          <cell r="A2097" t="str">
            <v>PRODUCTOS LUX, S.A ( Proluxa)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G2097">
            <v>57</v>
          </cell>
          <cell r="J2097" t="str">
            <v>PRODUCTOS LUX, S.A ( Proluxa)</v>
          </cell>
          <cell r="O2097">
            <v>60</v>
          </cell>
        </row>
        <row r="2098">
          <cell r="A2098" t="str">
            <v>PRODUCTOS LUX, S.A ( Proluxa)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60</v>
          </cell>
          <cell r="J2098" t="str">
            <v>PRODUCTOS LUX, S.A ( Proluxa)</v>
          </cell>
          <cell r="S2098">
            <v>179</v>
          </cell>
        </row>
        <row r="2099">
          <cell r="A2099" t="str">
            <v>PRODUCTOS LUX, S.A ( Proluxa)</v>
          </cell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G2099">
            <v>179</v>
          </cell>
          <cell r="J2099" t="str">
            <v>PRODUCTOS LUX, S.A ( Proluxa)</v>
          </cell>
          <cell r="N2099">
            <v>162</v>
          </cell>
        </row>
        <row r="2100">
          <cell r="A2100" t="str">
            <v>PRODUCTOS LUX, S.A ( Proluxa)</v>
          </cell>
          <cell r="C2100">
            <v>162</v>
          </cell>
          <cell r="D2100">
            <v>0</v>
          </cell>
          <cell r="E2100">
            <v>0</v>
          </cell>
          <cell r="F2100">
            <v>0</v>
          </cell>
          <cell r="G2100">
            <v>162</v>
          </cell>
          <cell r="J2100" t="str">
            <v>PRODUCTOS LUX, S.A ( Proluxa)</v>
          </cell>
          <cell r="N2100">
            <v>86</v>
          </cell>
        </row>
        <row r="2101">
          <cell r="A2101" t="str">
            <v>PRODUCTOS LUX, S.A ( Proluxa)</v>
          </cell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G2101">
            <v>86</v>
          </cell>
          <cell r="J2101" t="str">
            <v>PRODUCTOS LUX, S.A ( Proluxa)</v>
          </cell>
          <cell r="M2101">
            <v>201</v>
          </cell>
        </row>
        <row r="2102">
          <cell r="A2102" t="str">
            <v>PRODUCTOS LUX, S.A ( Proluxa)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201</v>
          </cell>
          <cell r="J2102" t="str">
            <v>PRODUCTOS LUX, S.A ( Proluxa)</v>
          </cell>
          <cell r="T2102">
            <v>635</v>
          </cell>
        </row>
        <row r="2103">
          <cell r="A2103" t="str">
            <v>PRODUCTOS LUX, S.A ( Proluxa)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635</v>
          </cell>
          <cell r="J2103" t="str">
            <v>PRODUCTOS LUX, S.A ( Proluxa)</v>
          </cell>
          <cell r="N2103">
            <v>201</v>
          </cell>
        </row>
        <row r="2104">
          <cell r="A2104" t="str">
            <v>PRODUCTOS LUX, S.A ( Proluxa)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201</v>
          </cell>
          <cell r="J2104" t="str">
            <v>PRODUCTOS LUX, S.A ( Proluxa)</v>
          </cell>
          <cell r="N2104">
            <v>0</v>
          </cell>
        </row>
        <row r="2105">
          <cell r="A2105" t="str">
            <v>PRODUCTOS LUX, S.A ( Proluxa)</v>
          </cell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J2105" t="str">
            <v>PRODUCTOS LUX, S.A ( Proluxa)</v>
          </cell>
          <cell r="O2105">
            <v>1200</v>
          </cell>
        </row>
        <row r="2106">
          <cell r="A2106" t="str">
            <v>PRODUCTOS LUX, S.A ( Proluxa)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1200</v>
          </cell>
          <cell r="J2106" t="str">
            <v>PRODUCTOS LUX, S.A ( Proluxa)</v>
          </cell>
          <cell r="N2106">
            <v>20</v>
          </cell>
        </row>
        <row r="2107">
          <cell r="A2107" t="str">
            <v>PRODUCTOS LUX, S.A ( Proluxa)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20</v>
          </cell>
          <cell r="J2107" t="str">
            <v>PRODUCTOS LUX, S.A ( Proluxa)</v>
          </cell>
          <cell r="N2107">
            <v>250</v>
          </cell>
        </row>
        <row r="2108">
          <cell r="A2108" t="str">
            <v>PRODUCTOS LUX, S.A ( Proluxa)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250</v>
          </cell>
          <cell r="J2108" t="str">
            <v>PRODUCTOS LUX, S.A ( Proluxa)</v>
          </cell>
          <cell r="N2108">
            <v>84</v>
          </cell>
        </row>
        <row r="2109">
          <cell r="A2109" t="str">
            <v>PRODUCTOS LUX, S.A ( Proluxa)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84</v>
          </cell>
          <cell r="J2109" t="str">
            <v>PRODUCTOS LUX, S.A ( Proluxa)</v>
          </cell>
          <cell r="N2109">
            <v>0</v>
          </cell>
        </row>
        <row r="2110">
          <cell r="A2110" t="str">
            <v>PRODUCTOS LUX, S.A ( Proluxa)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J2110" t="str">
            <v>PRODUCTOS LUX, S.A ( Proluxa)</v>
          </cell>
          <cell r="N2110">
            <v>251</v>
          </cell>
        </row>
        <row r="2111">
          <cell r="A2111" t="str">
            <v>PRODUCTOS LUX, S.A ( Proluxa)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251</v>
          </cell>
          <cell r="J2111" t="str">
            <v>PRODUCTOS LUX, S.A ( Proluxa)</v>
          </cell>
          <cell r="N2111">
            <v>60</v>
          </cell>
        </row>
        <row r="2112">
          <cell r="A2112" t="str">
            <v>PRODUCTOS LUX, S.A ( Proluxa)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60</v>
          </cell>
          <cell r="J2112" t="str">
            <v>PRODUCTOS LUX, S.A ( Proluxa)</v>
          </cell>
          <cell r="O2112">
            <v>1017</v>
          </cell>
        </row>
        <row r="2113">
          <cell r="A2113" t="str">
            <v>PRODUCTOS LUX, S.A ( Proluxa)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1017</v>
          </cell>
          <cell r="J2113" t="str">
            <v>PRODUCTOS LUX, S.A ( Proluxa)</v>
          </cell>
          <cell r="O2113">
            <v>219</v>
          </cell>
        </row>
        <row r="2114">
          <cell r="A2114" t="str">
            <v>PRODUCTOS LUX, S.A ( Proluxa)</v>
          </cell>
          <cell r="C2114">
            <v>0</v>
          </cell>
          <cell r="D2114">
            <v>16</v>
          </cell>
          <cell r="E2114">
            <v>19</v>
          </cell>
          <cell r="F2114">
            <v>19</v>
          </cell>
          <cell r="G2114">
            <v>219</v>
          </cell>
          <cell r="J2114" t="str">
            <v>PRODUCTOS LUX, S.A ( Proluxa)</v>
          </cell>
          <cell r="Q2114">
            <v>83</v>
          </cell>
        </row>
        <row r="2115">
          <cell r="A2115" t="str">
            <v>PRODUCTOS LUX, S.A ( Proluxa)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83</v>
          </cell>
          <cell r="J2115" t="str">
            <v>PRODUCTOS LUX, S.A ( Proluxa)</v>
          </cell>
          <cell r="M2115">
            <v>265</v>
          </cell>
        </row>
        <row r="2116">
          <cell r="A2116" t="str">
            <v>PRODUCTOS LUX, S.A ( Proluxa)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265</v>
          </cell>
          <cell r="J2116" t="str">
            <v>PRODUCTOS LUX, S.A ( Proluxa)</v>
          </cell>
          <cell r="S2116">
            <v>152</v>
          </cell>
        </row>
        <row r="2117">
          <cell r="A2117" t="str">
            <v>PRODUCTOS LUX, S.A ( Proluxa)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152</v>
          </cell>
          <cell r="J2117" t="str">
            <v>PRODUCTOS LUX, S.A ( Proluxa)</v>
          </cell>
        </row>
        <row r="2118">
          <cell r="A2118" t="str">
            <v>PRODUCTOS LUX, S.A ( Proluxa)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J2118" t="str">
            <v>PRODUCTOS LUX, S.A ( Proluxa)</v>
          </cell>
          <cell r="U2118">
            <v>305</v>
          </cell>
        </row>
        <row r="2119">
          <cell r="A2119" t="str">
            <v>PRODUCTOS LUX, S.A ( Proluxa)</v>
          </cell>
          <cell r="C2119">
            <v>0</v>
          </cell>
          <cell r="D2119">
            <v>40</v>
          </cell>
          <cell r="E2119">
            <v>60</v>
          </cell>
          <cell r="F2119">
            <v>40</v>
          </cell>
          <cell r="G2119">
            <v>305</v>
          </cell>
          <cell r="J2119" t="str">
            <v>PRODUCTOS LUX, S.A ( Proluxa)</v>
          </cell>
          <cell r="M2119">
            <v>400</v>
          </cell>
        </row>
        <row r="2120">
          <cell r="A2120" t="str">
            <v>PRODUCTOS LUX, S.A ( Proluxa)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400</v>
          </cell>
          <cell r="J2120" t="str">
            <v>PRODUCTOS LUX, S.A ( Proluxa)</v>
          </cell>
          <cell r="O2120">
            <v>256</v>
          </cell>
        </row>
        <row r="2121">
          <cell r="A2121" t="str">
            <v>PRODUCTOS LUX, S.A ( Proluxa)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256</v>
          </cell>
          <cell r="J2121" t="str">
            <v>PRODUCTOS LUX, S.A ( Proluxa)</v>
          </cell>
          <cell r="Q2121">
            <v>496</v>
          </cell>
        </row>
        <row r="2122">
          <cell r="A2122" t="str">
            <v>PRODUCTOS LUX, S.A ( Proluxa)</v>
          </cell>
          <cell r="C2122">
            <v>73</v>
          </cell>
          <cell r="D2122">
            <v>0</v>
          </cell>
          <cell r="E2122">
            <v>0</v>
          </cell>
          <cell r="F2122">
            <v>0</v>
          </cell>
          <cell r="G2122">
            <v>496</v>
          </cell>
          <cell r="J2122" t="str">
            <v>PRODUCTOS LUX, S.A ( Proluxa)</v>
          </cell>
          <cell r="M2122">
            <v>400</v>
          </cell>
        </row>
        <row r="2123">
          <cell r="A2123" t="str">
            <v>PRODUCTOS LUX, S.A ( Proluxa)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400</v>
          </cell>
          <cell r="J2123" t="str">
            <v>PRODUCTOS LUX, S.A ( Proluxa)</v>
          </cell>
          <cell r="M2123">
            <v>100</v>
          </cell>
        </row>
        <row r="2124">
          <cell r="A2124" t="str">
            <v>PRODUCTOS LUX, S.A ( Proluxa)</v>
          </cell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G2124">
            <v>100</v>
          </cell>
          <cell r="J2124" t="str">
            <v>PRODUCTOS LUX, S.A ( Proluxa)</v>
          </cell>
          <cell r="S2124">
            <v>96</v>
          </cell>
        </row>
        <row r="2125">
          <cell r="A2125" t="str">
            <v>PRODUCTOS LUX, S.A ( Proluxa)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96</v>
          </cell>
          <cell r="J2125" t="str">
            <v>PRODUCTOS LUX, S.A ( Proluxa)</v>
          </cell>
          <cell r="N2125">
            <v>230</v>
          </cell>
        </row>
        <row r="2126">
          <cell r="A2126" t="str">
            <v>PRODUCTOS LUX, S.A ( Proluxa)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230</v>
          </cell>
          <cell r="J2126" t="str">
            <v>PRODUCTOS LUX, S.A ( Proluxa)</v>
          </cell>
          <cell r="M2126">
            <v>352</v>
          </cell>
        </row>
        <row r="2127">
          <cell r="A2127" t="str">
            <v>PRODUCTOS LUX, S.A ( Proluxa)</v>
          </cell>
          <cell r="C2127">
            <v>225</v>
          </cell>
          <cell r="D2127">
            <v>0</v>
          </cell>
          <cell r="E2127">
            <v>0</v>
          </cell>
          <cell r="F2127">
            <v>0</v>
          </cell>
          <cell r="G2127">
            <v>352</v>
          </cell>
          <cell r="J2127" t="str">
            <v>PRODUCTOS LUX, S.A ( Proluxa)</v>
          </cell>
          <cell r="N2127">
            <v>97</v>
          </cell>
        </row>
        <row r="2128">
          <cell r="A2128" t="str">
            <v>PRODUCTOS LUX, S.A ( Proluxa)</v>
          </cell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G2128">
            <v>97</v>
          </cell>
          <cell r="J2128" t="str">
            <v>PRODUCTOS LUX, S.A ( Proluxa)</v>
          </cell>
          <cell r="M2128">
            <v>77</v>
          </cell>
        </row>
        <row r="2129">
          <cell r="A2129" t="str">
            <v>PRODUCTOS LUX, S.A ( Proluxa)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77</v>
          </cell>
          <cell r="J2129" t="str">
            <v>PRODUCTOS LUX, S.A ( Proluxa)</v>
          </cell>
          <cell r="N2129">
            <v>130</v>
          </cell>
        </row>
        <row r="2130">
          <cell r="A2130" t="str">
            <v>PRODUCTOS LUX, S.A ( Proluxa)</v>
          </cell>
          <cell r="C2130">
            <v>0</v>
          </cell>
          <cell r="D2130">
            <v>0</v>
          </cell>
          <cell r="E2130">
            <v>0</v>
          </cell>
          <cell r="F2130">
            <v>0</v>
          </cell>
          <cell r="G2130">
            <v>130</v>
          </cell>
          <cell r="J2130" t="str">
            <v>PRODUCTOS LUX, S.A ( Proluxa)</v>
          </cell>
          <cell r="W2130">
            <v>0</v>
          </cell>
        </row>
        <row r="2131">
          <cell r="A2131" t="str">
            <v>PRODUCTOS LUX, S.A ( Proluxa)</v>
          </cell>
          <cell r="C2131">
            <v>0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J2131" t="str">
            <v>PRODUCTOS LUX, S.A ( Proluxa)</v>
          </cell>
          <cell r="U2131">
            <v>251</v>
          </cell>
        </row>
        <row r="2132">
          <cell r="A2132" t="str">
            <v>PRODUCTOS LUX, S.A ( Proluxa)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251</v>
          </cell>
          <cell r="J2132" t="str">
            <v>PRODUCTOS LUX, S.A ( Proluxa)</v>
          </cell>
          <cell r="S2132">
            <v>50</v>
          </cell>
        </row>
        <row r="2133">
          <cell r="A2133" t="str">
            <v>PRODUCTOS LUX, S.A ( Proluxa)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50</v>
          </cell>
          <cell r="J2133" t="str">
            <v>PRODUCTOS LUX, S.A ( Proluxa)</v>
          </cell>
          <cell r="Y2133">
            <v>0</v>
          </cell>
        </row>
        <row r="2134">
          <cell r="A2134" t="str">
            <v>PRODUCTOS LUX, S.A ( Proluxa)</v>
          </cell>
          <cell r="C2134">
            <v>0</v>
          </cell>
          <cell r="D2134">
            <v>0</v>
          </cell>
          <cell r="E2134">
            <v>0</v>
          </cell>
          <cell r="F2134">
            <v>0</v>
          </cell>
          <cell r="G2134">
            <v>0</v>
          </cell>
          <cell r="J2134" t="str">
            <v>PRODUCTOS LUX, S.A ( Proluxa)</v>
          </cell>
          <cell r="O2134">
            <v>0</v>
          </cell>
        </row>
        <row r="2135">
          <cell r="A2135" t="str">
            <v>PRODUCTOS LUX, S.A ( Proluxa)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J2135" t="str">
            <v>PRODUCTOS LUX, S.A ( Proluxa)</v>
          </cell>
          <cell r="M2135">
            <v>209</v>
          </cell>
        </row>
        <row r="2136">
          <cell r="A2136" t="str">
            <v>PRODUCTOS LUX, S.A ( Proluxa)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209</v>
          </cell>
          <cell r="J2136" t="str">
            <v>PRODUCTOS LUX, S.A ( Proluxa)</v>
          </cell>
          <cell r="M2136">
            <v>0</v>
          </cell>
        </row>
        <row r="2137">
          <cell r="A2137" t="str">
            <v>PRODUCTOS LUX, S.A ( Proluxa)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J2137" t="str">
            <v>PRODUCTOS LUX, S.A ( Proluxa)</v>
          </cell>
          <cell r="N2137">
            <v>0</v>
          </cell>
        </row>
        <row r="2138">
          <cell r="A2138" t="str">
            <v>PRODUCTOS LUX, S.A ( Proluxa)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J2138" t="str">
            <v>PRODUCTOS LUX, S.A ( Proluxa)</v>
          </cell>
          <cell r="S2138">
            <v>150</v>
          </cell>
        </row>
        <row r="2139">
          <cell r="A2139" t="str">
            <v>PRODUCTOS LUX, S.A ( Proluxa)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150</v>
          </cell>
          <cell r="J2139" t="str">
            <v>PRODUCTOS LUX, S.A ( Proluxa)</v>
          </cell>
          <cell r="M2139">
            <v>200</v>
          </cell>
        </row>
        <row r="2140">
          <cell r="A2140" t="str">
            <v>PRODUCTOS LUX, S.A ( Proluxa)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200</v>
          </cell>
          <cell r="J2140" t="str">
            <v>PRODUCTOS LUX, S.A ( Proluxa)</v>
          </cell>
          <cell r="P2140">
            <v>173</v>
          </cell>
        </row>
        <row r="2141">
          <cell r="A2141" t="str">
            <v>PRODUCTOS LUX, S.A ( Proluxa)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173</v>
          </cell>
          <cell r="J2141" t="str">
            <v>PRODUCTOS LUX, S.A ( Proluxa)</v>
          </cell>
          <cell r="N2141">
            <v>130</v>
          </cell>
        </row>
        <row r="2142">
          <cell r="A2142" t="str">
            <v>PRODUCTOS LUX, S.A ( Proluxa)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130</v>
          </cell>
          <cell r="J2142" t="str">
            <v>PRODUCTOS LUX, S.A ( Proluxa)</v>
          </cell>
          <cell r="M2142">
            <v>1300</v>
          </cell>
        </row>
        <row r="2143">
          <cell r="A2143" t="str">
            <v>PRODUCTOS LUX, S.A ( Proluxa)</v>
          </cell>
          <cell r="C2143">
            <v>100</v>
          </cell>
          <cell r="D2143">
            <v>0</v>
          </cell>
          <cell r="E2143">
            <v>0</v>
          </cell>
          <cell r="F2143">
            <v>0</v>
          </cell>
          <cell r="G2143">
            <v>1300</v>
          </cell>
          <cell r="J2143" t="str">
            <v>PRODUCTOS LUX, S.A ( Proluxa)</v>
          </cell>
          <cell r="M2143">
            <v>52</v>
          </cell>
        </row>
        <row r="2144">
          <cell r="A2144" t="str">
            <v>PRODUCTOS LUX, S.A ( Proluxa)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52</v>
          </cell>
          <cell r="J2144" t="str">
            <v>PRODUCTOS LUX, S.A ( Proluxa)</v>
          </cell>
          <cell r="M2144">
            <v>50</v>
          </cell>
        </row>
        <row r="2145">
          <cell r="A2145" t="str">
            <v>PRODUCTOS LUX, S.A ( Proluxa)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50</v>
          </cell>
          <cell r="J2145" t="str">
            <v>PRODUCTOS LUX, S.A ( Proluxa)</v>
          </cell>
          <cell r="M2145">
            <v>600</v>
          </cell>
        </row>
        <row r="2146">
          <cell r="A2146" t="str">
            <v>PRODUCTOS LUX, S.A ( Proluxa)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600</v>
          </cell>
          <cell r="J2146" t="str">
            <v>PRODUCTOS LUX, S.A ( Proluxa)</v>
          </cell>
          <cell r="T2146">
            <v>0</v>
          </cell>
        </row>
        <row r="2147">
          <cell r="A2147" t="str">
            <v>PRODUCTOS LUX, S.A ( Proluxa)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J2147" t="str">
            <v>PRODUCTOS LUX, S.A ( Proluxa)</v>
          </cell>
          <cell r="U2147">
            <v>80</v>
          </cell>
        </row>
        <row r="2148">
          <cell r="A2148" t="str">
            <v>PRODUCTOS LUX, S.A ( Proluxa)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80</v>
          </cell>
          <cell r="J2148" t="str">
            <v>PRODUCTOS NEVADA S.A</v>
          </cell>
          <cell r="P2148">
            <v>102</v>
          </cell>
        </row>
        <row r="2149">
          <cell r="A2149" t="str">
            <v>PRODUCTOS NEVADA S.A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102</v>
          </cell>
          <cell r="J2149" t="str">
            <v>PRODUCTOS NEVADA S.A</v>
          </cell>
          <cell r="N2149">
            <v>70</v>
          </cell>
        </row>
        <row r="2150">
          <cell r="A2150" t="str">
            <v>PRODUCTOS NEVADA S.A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70</v>
          </cell>
          <cell r="J2150" t="str">
            <v>PRODUCTOS NEVADA S.A</v>
          </cell>
          <cell r="Q2150">
            <v>1060</v>
          </cell>
        </row>
        <row r="2151">
          <cell r="A2151" t="str">
            <v>PRODUCTOS NEVADA S.A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1060</v>
          </cell>
          <cell r="J2151" t="str">
            <v>PRODUCTOS NEVADA S.A</v>
          </cell>
          <cell r="N2151">
            <v>100</v>
          </cell>
        </row>
        <row r="2152">
          <cell r="A2152" t="str">
            <v>PRODUCTOS NEVADA S.A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100</v>
          </cell>
          <cell r="J2152" t="str">
            <v>PRODUCTOS NEVADA S.A</v>
          </cell>
          <cell r="O2152">
            <v>1090</v>
          </cell>
        </row>
        <row r="2153">
          <cell r="A2153" t="str">
            <v>PRODUCTOS NEVADA S.A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1090</v>
          </cell>
          <cell r="J2153" t="str">
            <v>PRODUCTOS NEVADA S.A</v>
          </cell>
          <cell r="M2153">
            <v>0</v>
          </cell>
        </row>
        <row r="2154">
          <cell r="A2154" t="str">
            <v>PRODUCTOS NEVADA S.A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J2154" t="str">
            <v>PRODUCTOS NEVADA S.A</v>
          </cell>
          <cell r="N2154">
            <v>38</v>
          </cell>
        </row>
        <row r="2155">
          <cell r="A2155" t="str">
            <v>PRODUCTOS NEVADA S.A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38</v>
          </cell>
          <cell r="J2155" t="str">
            <v>PRODUCTOS NEVADA S.A</v>
          </cell>
          <cell r="N2155">
            <v>70</v>
          </cell>
        </row>
        <row r="2156">
          <cell r="A2156" t="str">
            <v>PRODUCTOS NEVADA S.A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70</v>
          </cell>
          <cell r="J2156" t="str">
            <v>PRODUCTOS NEVADA S.A</v>
          </cell>
          <cell r="N2156">
            <v>130</v>
          </cell>
        </row>
        <row r="2157">
          <cell r="A2157" t="str">
            <v>PRODUCTOS NEVADA S.A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130</v>
          </cell>
          <cell r="J2157" t="str">
            <v>PRODUCTOS NEVADA S.A</v>
          </cell>
          <cell r="M2157">
            <v>215</v>
          </cell>
        </row>
        <row r="2158">
          <cell r="A2158" t="str">
            <v>PRODUCTOS NEVADA S.A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215</v>
          </cell>
          <cell r="J2158" t="str">
            <v>PRODUCTOS NEVADA S.A</v>
          </cell>
          <cell r="S2158">
            <v>179</v>
          </cell>
        </row>
        <row r="2159">
          <cell r="A2159" t="str">
            <v>PRODUCTOS NEVADA S.A</v>
          </cell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G2159">
            <v>179</v>
          </cell>
          <cell r="J2159" t="str">
            <v>PRODUCTOS NEVADA S.A</v>
          </cell>
          <cell r="N2159">
            <v>86</v>
          </cell>
        </row>
        <row r="2160">
          <cell r="A2160" t="str">
            <v>PRODUCTOS NEVADA S.A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86</v>
          </cell>
          <cell r="J2160" t="str">
            <v>PRODUCTOS NEVADA S.A</v>
          </cell>
          <cell r="M2160">
            <v>201</v>
          </cell>
        </row>
        <row r="2161">
          <cell r="A2161" t="str">
            <v>PRODUCTOS NEVADA S.A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201</v>
          </cell>
          <cell r="J2161" t="str">
            <v>PRODUCTOS NEVADA S.A</v>
          </cell>
          <cell r="R2161">
            <v>181</v>
          </cell>
        </row>
        <row r="2162">
          <cell r="A2162" t="str">
            <v>PRODUCTOS NEVADA S.A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181</v>
          </cell>
          <cell r="J2162" t="str">
            <v>PRODUCTOS NEVADA S.A</v>
          </cell>
          <cell r="N2162">
            <v>201</v>
          </cell>
        </row>
        <row r="2163">
          <cell r="A2163" t="str">
            <v>PRODUCTOS NEVADA S.A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201</v>
          </cell>
          <cell r="J2163" t="str">
            <v>PRODUCTOS NEVADA S.A</v>
          </cell>
          <cell r="O2163">
            <v>1200</v>
          </cell>
        </row>
        <row r="2164">
          <cell r="A2164" t="str">
            <v>PRODUCTOS NEVADA S.A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1200</v>
          </cell>
          <cell r="J2164" t="str">
            <v>PRODUCTOS NEVADA S.A</v>
          </cell>
          <cell r="O2164">
            <v>410</v>
          </cell>
        </row>
        <row r="2165">
          <cell r="A2165" t="str">
            <v>PRODUCTOS NEVADA S.A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410</v>
          </cell>
          <cell r="J2165" t="str">
            <v>PRODUCTOS NEVADA S.A</v>
          </cell>
          <cell r="N2165">
            <v>67</v>
          </cell>
        </row>
        <row r="2166">
          <cell r="A2166" t="str">
            <v>PRODUCTOS NEVADA S.A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67</v>
          </cell>
          <cell r="J2166" t="str">
            <v>PRODUCTOS NEVADA S.A</v>
          </cell>
          <cell r="N2166">
            <v>0</v>
          </cell>
        </row>
        <row r="2167">
          <cell r="A2167" t="str">
            <v>PRODUCTOS NEVADA S.A</v>
          </cell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J2167" t="str">
            <v>PRODUCTOS NEVADA S.A</v>
          </cell>
          <cell r="N2167">
            <v>60</v>
          </cell>
        </row>
        <row r="2168">
          <cell r="A2168" t="str">
            <v>PRODUCTOS NEVADA S.A</v>
          </cell>
          <cell r="C2168">
            <v>0</v>
          </cell>
          <cell r="D2168">
            <v>0</v>
          </cell>
          <cell r="E2168">
            <v>0</v>
          </cell>
          <cell r="F2168">
            <v>0</v>
          </cell>
          <cell r="G2168">
            <v>60</v>
          </cell>
          <cell r="J2168" t="str">
            <v>PRODUCTOS NEVADA S.A</v>
          </cell>
          <cell r="Q2168">
            <v>83</v>
          </cell>
        </row>
        <row r="2169">
          <cell r="A2169" t="str">
            <v>PRODUCTOS NEVADA S.A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83</v>
          </cell>
          <cell r="J2169" t="str">
            <v>PRODUCTOS NEVADA S.A</v>
          </cell>
          <cell r="Q2169">
            <v>60</v>
          </cell>
        </row>
        <row r="2170">
          <cell r="A2170" t="str">
            <v>PRODUCTOS NEVADA S.A</v>
          </cell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G2170">
            <v>60</v>
          </cell>
          <cell r="J2170" t="str">
            <v>PRODUCTOS NEVADA S.A</v>
          </cell>
          <cell r="M2170">
            <v>400</v>
          </cell>
        </row>
        <row r="2171">
          <cell r="A2171" t="str">
            <v>PRODUCTOS NEVADA S.A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400</v>
          </cell>
          <cell r="J2171" t="str">
            <v>PRODUCTOS NEVADA S.A</v>
          </cell>
          <cell r="S2171">
            <v>96</v>
          </cell>
        </row>
        <row r="2172">
          <cell r="A2172" t="str">
            <v>PRODUCTOS NEVADA S.A</v>
          </cell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G2172">
            <v>96</v>
          </cell>
          <cell r="J2172" t="str">
            <v>PRODUCTOS NEVADA S.A</v>
          </cell>
          <cell r="M2172">
            <v>77</v>
          </cell>
        </row>
        <row r="2173">
          <cell r="A2173" t="str">
            <v>PRODUCTOS NEVADA S.A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77</v>
          </cell>
          <cell r="J2173" t="str">
            <v>PRODUCTOS NEVADA S.A</v>
          </cell>
          <cell r="S2173">
            <v>40</v>
          </cell>
        </row>
        <row r="2174">
          <cell r="A2174" t="str">
            <v>PRODUCTOS NEVADA S.A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40</v>
          </cell>
          <cell r="J2174" t="str">
            <v>PRODUCTOS NEVADA S.A</v>
          </cell>
          <cell r="O2174">
            <v>0</v>
          </cell>
        </row>
        <row r="2175">
          <cell r="A2175" t="str">
            <v>PRODUCTOS NEVADA S.A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J2175" t="str">
            <v>GLOBAL PRODUCTS AND LOGISTIC SERVICES, INC. (Dicarina)</v>
          </cell>
          <cell r="O2175">
            <v>30</v>
          </cell>
        </row>
        <row r="2176">
          <cell r="A2176" t="str">
            <v>GLOBAL PRODUCTS AND LOGISTIC SERVICES, INC. (Dicarina)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30</v>
          </cell>
          <cell r="J2176" t="str">
            <v>GLOBAL PRODUCTS AND LOGISTIC SERVICES, INC. (Dicarina)</v>
          </cell>
          <cell r="P2176">
            <v>102</v>
          </cell>
        </row>
        <row r="2177">
          <cell r="A2177" t="str">
            <v>GLOBAL PRODUCTS AND LOGISTIC SERVICES, INC. (Dicarina)</v>
          </cell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G2177">
            <v>102</v>
          </cell>
          <cell r="J2177" t="str">
            <v>GLOBAL PRODUCTS AND LOGISTIC SERVICES, INC. (Dicarina)</v>
          </cell>
          <cell r="O2177">
            <v>180</v>
          </cell>
        </row>
        <row r="2178">
          <cell r="A2178" t="str">
            <v>GLOBAL PRODUCTS AND LOGISTIC SERVICES, INC. (Dicarina)</v>
          </cell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G2178">
            <v>180</v>
          </cell>
          <cell r="J2178" t="str">
            <v>GLOBAL PRODUCTS AND LOGISTIC SERVICES, INC. (Dicarina)</v>
          </cell>
          <cell r="N2178">
            <v>100</v>
          </cell>
        </row>
        <row r="2179">
          <cell r="A2179" t="str">
            <v>GLOBAL PRODUCTS AND LOGISTIC SERVICES, INC. (Dicarina)</v>
          </cell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G2179">
            <v>100</v>
          </cell>
          <cell r="J2179" t="str">
            <v>GLOBAL PRODUCTS AND LOGISTIC SERVICES, INC. (Dicarina)</v>
          </cell>
          <cell r="R2179">
            <v>180</v>
          </cell>
        </row>
        <row r="2180">
          <cell r="A2180" t="str">
            <v>GLOBAL PRODUCTS AND LOGISTIC SERVICES, INC. (Dicarina)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180</v>
          </cell>
          <cell r="J2180" t="str">
            <v>GLOBAL PRODUCTS AND LOGISTIC SERVICES, INC. (Dicarina)</v>
          </cell>
          <cell r="O2180">
            <v>325</v>
          </cell>
        </row>
        <row r="2181">
          <cell r="A2181" t="str">
            <v>GLOBAL PRODUCTS AND LOGISTIC SERVICES, INC. (Dicarina)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325</v>
          </cell>
          <cell r="J2181" t="str">
            <v>GLOBAL PRODUCTS AND LOGISTIC SERVICES, INC. (Dicarina)</v>
          </cell>
          <cell r="O2181">
            <v>65</v>
          </cell>
        </row>
        <row r="2182">
          <cell r="A2182" t="str">
            <v>GLOBAL PRODUCTS AND LOGISTIC SERVICES, INC. (Dicarina)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65</v>
          </cell>
          <cell r="J2182" t="str">
            <v>GLOBAL PRODUCTS AND LOGISTIC SERVICES, INC. (Dicarina)</v>
          </cell>
          <cell r="N2182">
            <v>70</v>
          </cell>
        </row>
        <row r="2183">
          <cell r="A2183" t="str">
            <v>GLOBAL PRODUCTS AND LOGISTIC SERVICES, INC. (Dicarina)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70</v>
          </cell>
          <cell r="J2183" t="str">
            <v>GLOBAL PRODUCTS AND LOGISTIC SERVICES, INC. (Dicarina)</v>
          </cell>
          <cell r="O2183">
            <v>1090</v>
          </cell>
        </row>
        <row r="2184">
          <cell r="A2184" t="str">
            <v>GLOBAL PRODUCTS AND LOGISTIC SERVICES, INC. (Dicarina)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1090</v>
          </cell>
          <cell r="J2184" t="str">
            <v>GLOBAL PRODUCTS AND LOGISTIC SERVICES, INC. (Dicarina)</v>
          </cell>
          <cell r="M2184">
            <v>0</v>
          </cell>
        </row>
        <row r="2185">
          <cell r="A2185" t="str">
            <v>GLOBAL PRODUCTS AND LOGISTIC SERVICES, INC. (Dicarina)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J2185" t="str">
            <v>GLOBAL PRODUCTS AND LOGISTIC SERVICES, INC. (Dicarina)</v>
          </cell>
          <cell r="N2185">
            <v>282</v>
          </cell>
        </row>
        <row r="2186">
          <cell r="A2186" t="str">
            <v>GLOBAL PRODUCTS AND LOGISTIC SERVICES, INC. (Dicarina)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282</v>
          </cell>
          <cell r="J2186" t="str">
            <v>GLOBAL PRODUCTS AND LOGISTIC SERVICES, INC. (Dicarina)</v>
          </cell>
          <cell r="N2186">
            <v>62</v>
          </cell>
        </row>
        <row r="2187">
          <cell r="A2187" t="str">
            <v>GLOBAL PRODUCTS AND LOGISTIC SERVICES, INC. (Dicarina)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62</v>
          </cell>
          <cell r="J2187" t="str">
            <v>GLOBAL PRODUCTS AND LOGISTIC SERVICES, INC. (Dicarina)</v>
          </cell>
          <cell r="O2187">
            <v>116</v>
          </cell>
        </row>
        <row r="2188">
          <cell r="A2188" t="str">
            <v>GLOBAL PRODUCTS AND LOGISTIC SERVICES, INC. (Dicarina)</v>
          </cell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G2188">
            <v>116</v>
          </cell>
          <cell r="J2188" t="str">
            <v>GLOBAL PRODUCTS AND LOGISTIC SERVICES, INC. (Dicarina)</v>
          </cell>
          <cell r="N2188">
            <v>542</v>
          </cell>
        </row>
        <row r="2189">
          <cell r="A2189" t="str">
            <v>GLOBAL PRODUCTS AND LOGISTIC SERVICES, INC. (Dicarina)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542</v>
          </cell>
          <cell r="J2189" t="str">
            <v>GLOBAL PRODUCTS AND LOGISTIC SERVICES, INC. (Dicarina)</v>
          </cell>
          <cell r="S2189">
            <v>211</v>
          </cell>
        </row>
        <row r="2190">
          <cell r="A2190" t="str">
            <v>GLOBAL PRODUCTS AND LOGISTIC SERVICES, INC. (Dicarina)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211</v>
          </cell>
          <cell r="J2190" t="str">
            <v>GLOBAL PRODUCTS AND LOGISTIC SERVICES, INC. (Dicarina)</v>
          </cell>
          <cell r="O2190">
            <v>138</v>
          </cell>
        </row>
        <row r="2191">
          <cell r="A2191" t="str">
            <v>GLOBAL PRODUCTS AND LOGISTIC SERVICES, INC. (Dicarina)</v>
          </cell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G2191">
            <v>138</v>
          </cell>
          <cell r="J2191" t="str">
            <v>GLOBAL PRODUCTS AND LOGISTIC SERVICES, INC. (Dicarina)</v>
          </cell>
          <cell r="N2191">
            <v>62</v>
          </cell>
        </row>
        <row r="2192">
          <cell r="A2192" t="str">
            <v>GLOBAL PRODUCTS AND LOGISTIC SERVICES, INC. (Dicarina)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62</v>
          </cell>
          <cell r="J2192" t="str">
            <v>GLOBAL PRODUCTS AND LOGISTIC SERVICES, INC. (Dicarina)</v>
          </cell>
          <cell r="M2192">
            <v>215</v>
          </cell>
        </row>
        <row r="2193">
          <cell r="A2193" t="str">
            <v>GLOBAL PRODUCTS AND LOGISTIC SERVICES, INC. (Dicarina)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215</v>
          </cell>
          <cell r="J2193" t="str">
            <v>GLOBAL PRODUCTS AND LOGISTIC SERVICES, INC. (Dicarina)</v>
          </cell>
          <cell r="M2193">
            <v>100</v>
          </cell>
        </row>
        <row r="2194">
          <cell r="A2194" t="str">
            <v>GLOBAL PRODUCTS AND LOGISTIC SERVICES, INC. (Dicarina)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100</v>
          </cell>
          <cell r="J2194" t="str">
            <v>GLOBAL PRODUCTS AND LOGISTIC SERVICES, INC. (Dicarina)</v>
          </cell>
          <cell r="O2194">
            <v>60</v>
          </cell>
        </row>
        <row r="2195">
          <cell r="A2195" t="str">
            <v>GLOBAL PRODUCTS AND LOGISTIC SERVICES, INC. (Dicarina)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60</v>
          </cell>
          <cell r="J2195" t="str">
            <v>GLOBAL PRODUCTS AND LOGISTIC SERVICES, INC. (Dicarina)</v>
          </cell>
          <cell r="N2195">
            <v>86</v>
          </cell>
        </row>
        <row r="2196">
          <cell r="A2196" t="str">
            <v>GLOBAL PRODUCTS AND LOGISTIC SERVICES, INC. (Dicarina)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86</v>
          </cell>
          <cell r="J2196" t="str">
            <v>GLOBAL PRODUCTS AND LOGISTIC SERVICES, INC. (Dicarina)</v>
          </cell>
          <cell r="M2196">
            <v>201</v>
          </cell>
        </row>
        <row r="2197">
          <cell r="A2197" t="str">
            <v>GLOBAL PRODUCTS AND LOGISTIC SERVICES, INC. (Dicarina)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201</v>
          </cell>
          <cell r="J2197" t="str">
            <v>GLOBAL PRODUCTS AND LOGISTIC SERVICES, INC. (Dicarina)</v>
          </cell>
          <cell r="N2197">
            <v>201</v>
          </cell>
        </row>
        <row r="2198">
          <cell r="A2198" t="str">
            <v>GLOBAL PRODUCTS AND LOGISTIC SERVICES, INC. (Dicarina)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201</v>
          </cell>
          <cell r="J2198" t="str">
            <v>GLOBAL PRODUCTS AND LOGISTIC SERVICES, INC. (Dicarina)</v>
          </cell>
          <cell r="N2198">
            <v>0</v>
          </cell>
        </row>
        <row r="2199">
          <cell r="A2199" t="str">
            <v>GLOBAL PRODUCTS AND LOGISTIC SERVICES, INC. (Dicarina)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J2199" t="str">
            <v>GLOBAL PRODUCTS AND LOGISTIC SERVICES, INC. (Dicarina)</v>
          </cell>
          <cell r="N2199">
            <v>284</v>
          </cell>
        </row>
        <row r="2200">
          <cell r="A2200" t="str">
            <v>GLOBAL PRODUCTS AND LOGISTIC SERVICES, INC. (Dicarina)</v>
          </cell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G2200">
            <v>284</v>
          </cell>
          <cell r="J2200" t="str">
            <v>GLOBAL PRODUCTS AND LOGISTIC SERVICES, INC. (Dicarina)</v>
          </cell>
          <cell r="M2200">
            <v>150</v>
          </cell>
        </row>
        <row r="2201">
          <cell r="A2201" t="str">
            <v>GLOBAL PRODUCTS AND LOGISTIC SERVICES, INC. (Dicarina)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150</v>
          </cell>
          <cell r="J2201" t="str">
            <v>GLOBAL PRODUCTS AND LOGISTIC SERVICES, INC. (Dicarina)</v>
          </cell>
          <cell r="O2201">
            <v>1200</v>
          </cell>
        </row>
        <row r="2202">
          <cell r="A2202" t="str">
            <v>GLOBAL PRODUCTS AND LOGISTIC SERVICES, INC. (Dicarina)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1200</v>
          </cell>
          <cell r="J2202" t="str">
            <v>GLOBAL PRODUCTS AND LOGISTIC SERVICES, INC. (Dicarina)</v>
          </cell>
          <cell r="N2202">
            <v>20</v>
          </cell>
        </row>
        <row r="2203">
          <cell r="A2203" t="str">
            <v>GLOBAL PRODUCTS AND LOGISTIC SERVICES, INC. (Dicarina)</v>
          </cell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G2203">
            <v>20</v>
          </cell>
          <cell r="J2203" t="str">
            <v>GLOBAL PRODUCTS AND LOGISTIC SERVICES, INC. (Dicarina)</v>
          </cell>
          <cell r="M2203">
            <v>390</v>
          </cell>
        </row>
        <row r="2204">
          <cell r="A2204" t="str">
            <v>GLOBAL PRODUCTS AND LOGISTIC SERVICES, INC. (Dicarina)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390</v>
          </cell>
          <cell r="J2204" t="str">
            <v>GLOBAL PRODUCTS AND LOGISTIC SERVICES, INC. (Dicarina)</v>
          </cell>
          <cell r="N2204">
            <v>90</v>
          </cell>
        </row>
        <row r="2205">
          <cell r="A2205" t="str">
            <v>GLOBAL PRODUCTS AND LOGISTIC SERVICES, INC. (Dicarina)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90</v>
          </cell>
          <cell r="J2205" t="str">
            <v>GLOBAL PRODUCTS AND LOGISTIC SERVICES, INC. (Dicarina)</v>
          </cell>
          <cell r="N2205">
            <v>84</v>
          </cell>
        </row>
        <row r="2206">
          <cell r="A2206" t="str">
            <v>GLOBAL PRODUCTS AND LOGISTIC SERVICES, INC. (Dicarina)</v>
          </cell>
          <cell r="C2206">
            <v>0</v>
          </cell>
          <cell r="D2206">
            <v>0</v>
          </cell>
          <cell r="E2206">
            <v>0</v>
          </cell>
          <cell r="F2206">
            <v>0</v>
          </cell>
          <cell r="G2206">
            <v>84</v>
          </cell>
          <cell r="J2206" t="str">
            <v>GLOBAL PRODUCTS AND LOGISTIC SERVICES, INC. (Dicarina)</v>
          </cell>
          <cell r="N2206">
            <v>22</v>
          </cell>
        </row>
        <row r="2207">
          <cell r="A2207" t="str">
            <v>GLOBAL PRODUCTS AND LOGISTIC SERVICES, INC. (Dicarina)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22</v>
          </cell>
          <cell r="J2207" t="str">
            <v>GLOBAL PRODUCTS AND LOGISTIC SERVICES, INC. (Dicarina)</v>
          </cell>
          <cell r="N2207">
            <v>0</v>
          </cell>
        </row>
        <row r="2208">
          <cell r="A2208" t="str">
            <v>GLOBAL PRODUCTS AND LOGISTIC SERVICES, INC. (Dicarina)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J2208" t="str">
            <v>GLOBAL PRODUCTS AND LOGISTIC SERVICES, INC. (Dicarina)</v>
          </cell>
          <cell r="N2208">
            <v>456</v>
          </cell>
        </row>
        <row r="2209">
          <cell r="A2209" t="str">
            <v>GLOBAL PRODUCTS AND LOGISTIC SERVICES, INC. (Dicarina)</v>
          </cell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G2209">
            <v>456</v>
          </cell>
          <cell r="J2209" t="str">
            <v>GLOBAL PRODUCTS AND LOGISTIC SERVICES, INC. (Dicarina)</v>
          </cell>
          <cell r="N2209">
            <v>60</v>
          </cell>
        </row>
        <row r="2210">
          <cell r="A2210" t="str">
            <v>GLOBAL PRODUCTS AND LOGISTIC SERVICES, INC. (Dicarina)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60</v>
          </cell>
          <cell r="J2210" t="str">
            <v>GLOBAL PRODUCTS AND LOGISTIC SERVICES, INC. (Dicarina)</v>
          </cell>
          <cell r="N2210">
            <v>75</v>
          </cell>
        </row>
        <row r="2211">
          <cell r="A2211" t="str">
            <v>GLOBAL PRODUCTS AND LOGISTIC SERVICES, INC. (Dicarina)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75</v>
          </cell>
          <cell r="J2211" t="str">
            <v>GLOBAL PRODUCTS AND LOGISTIC SERVICES, INC. (Dicarina)</v>
          </cell>
          <cell r="N2211">
            <v>50</v>
          </cell>
        </row>
        <row r="2212">
          <cell r="A2212" t="str">
            <v>GLOBAL PRODUCTS AND LOGISTIC SERVICES, INC. (Dicarina)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50</v>
          </cell>
          <cell r="J2212" t="str">
            <v>GLOBAL PRODUCTS AND LOGISTIC SERVICES, INC. (Dicarina)</v>
          </cell>
          <cell r="M2212">
            <v>100</v>
          </cell>
        </row>
        <row r="2213">
          <cell r="A2213" t="str">
            <v>GLOBAL PRODUCTS AND LOGISTIC SERVICES, INC. (Dicarina)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100</v>
          </cell>
          <cell r="J2213" t="str">
            <v>GLOBAL PRODUCTS AND LOGISTIC SERVICES, INC. (Dicarina)</v>
          </cell>
          <cell r="S2213">
            <v>96</v>
          </cell>
        </row>
        <row r="2214">
          <cell r="A2214" t="str">
            <v>GLOBAL PRODUCTS AND LOGISTIC SERVICES, INC. (Dicarina)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96</v>
          </cell>
          <cell r="J2214" t="str">
            <v>GLOBAL PRODUCTS AND LOGISTIC SERVICES, INC. (Dicarina)</v>
          </cell>
          <cell r="M2214">
            <v>352</v>
          </cell>
        </row>
        <row r="2215">
          <cell r="A2215" t="str">
            <v>GLOBAL PRODUCTS AND LOGISTIC SERVICES, INC. (Dicarina)</v>
          </cell>
          <cell r="C2215">
            <v>225</v>
          </cell>
          <cell r="D2215">
            <v>0</v>
          </cell>
          <cell r="E2215">
            <v>0</v>
          </cell>
          <cell r="F2215">
            <v>0</v>
          </cell>
          <cell r="G2215">
            <v>352</v>
          </cell>
          <cell r="J2215" t="str">
            <v>GLOBAL PRODUCTS AND LOGISTIC SERVICES, INC. (Dicarina)</v>
          </cell>
          <cell r="N2215">
            <v>97</v>
          </cell>
        </row>
        <row r="2216">
          <cell r="A2216" t="str">
            <v>GLOBAL PRODUCTS AND LOGISTIC SERVICES, INC. (Dicarina)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97</v>
          </cell>
          <cell r="J2216" t="str">
            <v>GLOBAL PRODUCTS AND LOGISTIC SERVICES, INC. (Dicarina)</v>
          </cell>
          <cell r="S2216">
            <v>40</v>
          </cell>
        </row>
        <row r="2217">
          <cell r="A2217" t="str">
            <v>GLOBAL PRODUCTS AND LOGISTIC SERVICES, INC. (Dicarina)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40</v>
          </cell>
          <cell r="J2217" t="str">
            <v>GLOBAL PRODUCTS AND LOGISTIC SERVICES, INC. (Dicarina)</v>
          </cell>
          <cell r="R2217">
            <v>130</v>
          </cell>
        </row>
        <row r="2218">
          <cell r="A2218" t="str">
            <v>GLOBAL PRODUCTS AND LOGISTIC SERVICES, INC. (Dicarina)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130</v>
          </cell>
          <cell r="J2218" t="str">
            <v>GLOBAL PRODUCTS AND LOGISTIC SERVICES, INC. (Dicarina)</v>
          </cell>
          <cell r="M2218">
            <v>209</v>
          </cell>
        </row>
        <row r="2219">
          <cell r="A2219" t="str">
            <v>GLOBAL PRODUCTS AND LOGISTIC SERVICES, INC. (Dicarina)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209</v>
          </cell>
          <cell r="J2219" t="str">
            <v>GLOBAL PRODUCTS AND LOGISTIC SERVICES, INC. (Dicarina)</v>
          </cell>
          <cell r="M2219">
            <v>0</v>
          </cell>
        </row>
        <row r="2220">
          <cell r="A2220" t="str">
            <v>GLOBAL PRODUCTS AND LOGISTIC SERVICES, INC. (Dicarina)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J2220" t="str">
            <v>GLOBAL PRODUCTS AND LOGISTIC SERVICES, INC. (Dicarina)</v>
          </cell>
          <cell r="S2220">
            <v>1190</v>
          </cell>
        </row>
        <row r="2221">
          <cell r="A2221" t="str">
            <v>GLOBAL PRODUCTS AND LOGISTIC SERVICES, INC. (Dicarina)</v>
          </cell>
          <cell r="C2221">
            <v>1190</v>
          </cell>
          <cell r="D2221">
            <v>0</v>
          </cell>
          <cell r="E2221">
            <v>0</v>
          </cell>
          <cell r="F2221">
            <v>0</v>
          </cell>
          <cell r="G2221">
            <v>1190</v>
          </cell>
          <cell r="J2221" t="str">
            <v>GLOBAL PRODUCTS AND LOGISTIC SERVICES, INC. (Dicarina)</v>
          </cell>
          <cell r="M2221">
            <v>265</v>
          </cell>
        </row>
        <row r="2222">
          <cell r="A2222" t="str">
            <v>GLOBAL PRODUCTS AND LOGISTIC SERVICES, INC. (Dicarina)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265</v>
          </cell>
          <cell r="J2222" t="str">
            <v>GLOBAL PRODUCTS AND LOGISTIC SERVICES, INC. (Dicarina)</v>
          </cell>
          <cell r="M2222">
            <v>1300</v>
          </cell>
        </row>
        <row r="2223">
          <cell r="A2223" t="str">
            <v>GLOBAL PRODUCTS AND LOGISTIC SERVICES, INC. (Dicarina)</v>
          </cell>
          <cell r="C2223">
            <v>100</v>
          </cell>
          <cell r="D2223">
            <v>0</v>
          </cell>
          <cell r="E2223">
            <v>0</v>
          </cell>
          <cell r="F2223">
            <v>0</v>
          </cell>
          <cell r="G2223">
            <v>1300</v>
          </cell>
          <cell r="J2223" t="str">
            <v>GLOBAL PRODUCTS AND LOGISTIC SERVICES, INC. (Dicarina)</v>
          </cell>
          <cell r="M2223">
            <v>52</v>
          </cell>
        </row>
        <row r="2224">
          <cell r="A2224" t="str">
            <v>GLOBAL PRODUCTS AND LOGISTIC SERVICES, INC. (Dicarina)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52</v>
          </cell>
          <cell r="J2224" t="str">
            <v>GLOBAL PRODUCTS AND LOGISTIC SERVICES, INC. (Dicarina)</v>
          </cell>
          <cell r="M2224">
            <v>600</v>
          </cell>
        </row>
        <row r="2225">
          <cell r="A2225" t="str">
            <v>GLOBAL PRODUCTS AND LOGISTIC SERVICES, INC. (Dicarina)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>
            <v>600</v>
          </cell>
          <cell r="J2225" t="str">
            <v>GLOBAL PRODUCTS AND LOGISTIC SERVICES, INC. (Dicarina)</v>
          </cell>
          <cell r="O2225">
            <v>480</v>
          </cell>
        </row>
        <row r="2226">
          <cell r="A2226" t="str">
            <v>GLOBAL PRODUCTS AND LOGISTIC SERVICES, INC. (Dicarina)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480</v>
          </cell>
          <cell r="J2226" t="str">
            <v>GLOBAL PRODUCTS AND LOGISTIC SERVICES, INC. (Dicarina)</v>
          </cell>
          <cell r="M2226">
            <v>740</v>
          </cell>
        </row>
        <row r="2227">
          <cell r="A2227" t="str">
            <v>GLOBAL PRODUCTS AND LOGISTIC SERVICES, INC. (Dicarina)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740</v>
          </cell>
          <cell r="J2227" t="str">
            <v>PURISSIMA, S.A</v>
          </cell>
          <cell r="N2227">
            <v>100</v>
          </cell>
        </row>
        <row r="2228">
          <cell r="A2228" t="str">
            <v>PURISSIMA, S.A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100</v>
          </cell>
          <cell r="J2228" t="str">
            <v>PURISSIMA, S.A</v>
          </cell>
          <cell r="Q2228">
            <v>1060</v>
          </cell>
        </row>
        <row r="2229">
          <cell r="A2229" t="str">
            <v>PURISSIMA, S.A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1060</v>
          </cell>
          <cell r="J2229" t="str">
            <v>PURISSIMA, S.A</v>
          </cell>
          <cell r="N2229">
            <v>542</v>
          </cell>
        </row>
        <row r="2230">
          <cell r="A2230" t="str">
            <v>PURISSIMA, S.A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542</v>
          </cell>
          <cell r="J2230" t="str">
            <v>PURISSIMA, S.A</v>
          </cell>
          <cell r="M2230">
            <v>100</v>
          </cell>
        </row>
        <row r="2231">
          <cell r="A2231" t="str">
            <v>PURISSIMA, S.A</v>
          </cell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G2231">
            <v>100</v>
          </cell>
          <cell r="J2231" t="str">
            <v>PURISSIMA, S.A</v>
          </cell>
          <cell r="S2231">
            <v>55</v>
          </cell>
        </row>
        <row r="2232">
          <cell r="A2232" t="str">
            <v>PURISSIMA, S.A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55</v>
          </cell>
          <cell r="J2232" t="str">
            <v>PURISSIMA, S.A</v>
          </cell>
          <cell r="S2232">
            <v>179</v>
          </cell>
        </row>
        <row r="2233">
          <cell r="A2233" t="str">
            <v>PURISSIMA, S.A</v>
          </cell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G2233">
            <v>179</v>
          </cell>
          <cell r="J2233" t="str">
            <v>PURISSIMA, S.A</v>
          </cell>
          <cell r="M2233">
            <v>201</v>
          </cell>
        </row>
        <row r="2234">
          <cell r="A2234" t="str">
            <v>PURISSIMA, S.A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201</v>
          </cell>
          <cell r="J2234" t="str">
            <v>PURISSIMA, S.A</v>
          </cell>
          <cell r="N2234">
            <v>201</v>
          </cell>
        </row>
        <row r="2235">
          <cell r="A2235" t="str">
            <v>PURISSIMA, S.A</v>
          </cell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G2235">
            <v>201</v>
          </cell>
          <cell r="J2235" t="str">
            <v>PURISSIMA, S.A</v>
          </cell>
          <cell r="N2235">
            <v>84</v>
          </cell>
        </row>
        <row r="2236">
          <cell r="A2236" t="str">
            <v>PURISSIMA, S.A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84</v>
          </cell>
          <cell r="J2236" t="str">
            <v>PURISSIMA, S.A</v>
          </cell>
          <cell r="N2236">
            <v>0</v>
          </cell>
        </row>
        <row r="2237">
          <cell r="A2237" t="str">
            <v>PURISSIMA, S.A</v>
          </cell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J2237" t="str">
            <v>PURISSIMA, S.A</v>
          </cell>
          <cell r="N2237">
            <v>60</v>
          </cell>
        </row>
        <row r="2238">
          <cell r="A2238" t="str">
            <v>PURISSIMA, S.A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60</v>
          </cell>
          <cell r="J2238" t="str">
            <v>PURISSIMA, S.A</v>
          </cell>
          <cell r="S2238">
            <v>305</v>
          </cell>
        </row>
        <row r="2239">
          <cell r="A2239" t="str">
            <v>PURISSIMA, S.A</v>
          </cell>
          <cell r="C2239">
            <v>100</v>
          </cell>
          <cell r="D2239">
            <v>0</v>
          </cell>
          <cell r="E2239">
            <v>0</v>
          </cell>
          <cell r="F2239">
            <v>0</v>
          </cell>
          <cell r="G2239">
            <v>305</v>
          </cell>
          <cell r="J2239" t="str">
            <v>PURISSIMA, S.A</v>
          </cell>
          <cell r="Q2239">
            <v>60</v>
          </cell>
        </row>
        <row r="2240">
          <cell r="A2240" t="str">
            <v>PURISSIMA, S.A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60</v>
          </cell>
          <cell r="J2240" t="str">
            <v>PURISSIMA, S.A</v>
          </cell>
          <cell r="O2240">
            <v>256</v>
          </cell>
        </row>
        <row r="2241">
          <cell r="A2241" t="str">
            <v>PURISSIMA, S.A</v>
          </cell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G2241">
            <v>256</v>
          </cell>
          <cell r="J2241" t="str">
            <v>PURISSIMA, S.A</v>
          </cell>
          <cell r="M2241">
            <v>400</v>
          </cell>
        </row>
        <row r="2242">
          <cell r="A2242" t="str">
            <v>PURISSIMA, S.A</v>
          </cell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G2242">
            <v>400</v>
          </cell>
          <cell r="J2242" t="str">
            <v>PURISSIMA, S.A</v>
          </cell>
          <cell r="N2242">
            <v>230</v>
          </cell>
        </row>
        <row r="2243">
          <cell r="A2243" t="str">
            <v>PURISSIMA, S.A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230</v>
          </cell>
          <cell r="J2243" t="str">
            <v>PURISSIMA, S.A</v>
          </cell>
          <cell r="N2243">
            <v>97</v>
          </cell>
        </row>
        <row r="2244">
          <cell r="A2244" t="str">
            <v>PURISSIMA, S.A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97</v>
          </cell>
          <cell r="J2244" t="str">
            <v>PURISSIMA, S.A</v>
          </cell>
          <cell r="M2244">
            <v>77</v>
          </cell>
        </row>
        <row r="2245">
          <cell r="A2245" t="str">
            <v>PURISSIMA, S.A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77</v>
          </cell>
          <cell r="J2245" t="str">
            <v>PURISSIMA, S.A</v>
          </cell>
          <cell r="W2245">
            <v>0</v>
          </cell>
        </row>
        <row r="2246">
          <cell r="A2246" t="str">
            <v>PURISSIMA, S.A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J2246" t="str">
            <v>PURISSIMA, S.A</v>
          </cell>
          <cell r="V2246">
            <v>0</v>
          </cell>
        </row>
        <row r="2247">
          <cell r="A2247" t="str">
            <v>PURISSIMA, S.A</v>
          </cell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J2247" t="str">
            <v>PURISSIMA, S.A</v>
          </cell>
          <cell r="Y2247">
            <v>0</v>
          </cell>
        </row>
        <row r="2248">
          <cell r="A2248" t="str">
            <v>PURISSIMA, S.A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J2248" t="str">
            <v>PURISSIMA, S.A</v>
          </cell>
          <cell r="O2248">
            <v>0</v>
          </cell>
        </row>
        <row r="2249">
          <cell r="A2249" t="str">
            <v>PURISSIMA, S.A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J2249" t="str">
            <v>PURISSIMA, S.A</v>
          </cell>
          <cell r="S2249">
            <v>150</v>
          </cell>
        </row>
        <row r="2250">
          <cell r="A2250" t="str">
            <v>PURISSIMA, S.A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150</v>
          </cell>
          <cell r="J2250" t="str">
            <v>PURISSIMA, S.A</v>
          </cell>
          <cell r="M2250">
            <v>200</v>
          </cell>
        </row>
        <row r="2251">
          <cell r="A2251" t="str">
            <v>PURISSIMA, S.A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200</v>
          </cell>
          <cell r="J2251" t="str">
            <v>PURISSIMA, S.A</v>
          </cell>
          <cell r="R2251">
            <v>0</v>
          </cell>
        </row>
        <row r="2252">
          <cell r="A2252" t="str">
            <v>PURISSIMA, S.A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J2252" t="str">
            <v>PURISSIMA, S.A</v>
          </cell>
          <cell r="S2252">
            <v>200</v>
          </cell>
        </row>
        <row r="2253">
          <cell r="A2253" t="str">
            <v>PURISSIMA, S.A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200</v>
          </cell>
          <cell r="J2253" t="str">
            <v>PURISSIMA, S.A</v>
          </cell>
          <cell r="N2253">
            <v>110</v>
          </cell>
        </row>
        <row r="2254">
          <cell r="A2254" t="str">
            <v>PURISSIMA, S.A</v>
          </cell>
          <cell r="C2254">
            <v>0</v>
          </cell>
          <cell r="D2254">
            <v>35</v>
          </cell>
          <cell r="E2254">
            <v>0</v>
          </cell>
          <cell r="F2254">
            <v>0</v>
          </cell>
          <cell r="G2254">
            <v>110</v>
          </cell>
          <cell r="J2254" t="str">
            <v>PURISSIMA, S.A</v>
          </cell>
          <cell r="Y2254">
            <v>50</v>
          </cell>
        </row>
        <row r="2255">
          <cell r="A2255" t="str">
            <v>PURISSIMA, S.A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50</v>
          </cell>
          <cell r="J2255" t="str">
            <v>RIBA SMITH, S.A.</v>
          </cell>
          <cell r="N2255">
            <v>100</v>
          </cell>
        </row>
        <row r="2256">
          <cell r="A2256" t="str">
            <v>RIBA SMITH, S.A.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100</v>
          </cell>
          <cell r="J2256" t="str">
            <v>RIBA SMITH, S.A.</v>
          </cell>
          <cell r="O2256">
            <v>180</v>
          </cell>
        </row>
        <row r="2257">
          <cell r="A2257" t="str">
            <v>RIBA SMITH, S.A.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180</v>
          </cell>
          <cell r="J2257" t="str">
            <v>RIBA SMITH, S.A.</v>
          </cell>
          <cell r="N2257">
            <v>70</v>
          </cell>
        </row>
        <row r="2258">
          <cell r="A2258" t="str">
            <v>RIBA SMITH, S.A.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70</v>
          </cell>
          <cell r="J2258" t="str">
            <v>RIBA SMITH, S.A.</v>
          </cell>
          <cell r="N2258">
            <v>100</v>
          </cell>
        </row>
        <row r="2259">
          <cell r="A2259" t="str">
            <v>RIBA SMITH, S.A.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100</v>
          </cell>
          <cell r="J2259" t="str">
            <v>RIBA SMITH, S.A.</v>
          </cell>
          <cell r="N2259">
            <v>467</v>
          </cell>
        </row>
        <row r="2260">
          <cell r="A2260" t="str">
            <v>RIBA SMITH, S.A.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467</v>
          </cell>
          <cell r="J2260" t="str">
            <v>RIBA SMITH, S.A.</v>
          </cell>
          <cell r="N2260">
            <v>881</v>
          </cell>
        </row>
        <row r="2261">
          <cell r="A2261" t="str">
            <v>RIBA SMITH, S.A.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881</v>
          </cell>
          <cell r="J2261" t="str">
            <v>RIBA SMITH, S.A.</v>
          </cell>
          <cell r="N2261">
            <v>38</v>
          </cell>
        </row>
        <row r="2262">
          <cell r="A2262" t="str">
            <v>RIBA SMITH, S.A.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38</v>
          </cell>
          <cell r="J2262" t="str">
            <v>RIBA SMITH, S.A.</v>
          </cell>
          <cell r="N2262">
            <v>70</v>
          </cell>
        </row>
        <row r="2263">
          <cell r="A2263" t="str">
            <v>RIBA SMITH, S.A.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70</v>
          </cell>
          <cell r="J2263" t="str">
            <v>RIBA SMITH, S.A.</v>
          </cell>
          <cell r="N2263">
            <v>62</v>
          </cell>
        </row>
        <row r="2264">
          <cell r="A2264" t="str">
            <v>RIBA SMITH, S.A.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62</v>
          </cell>
          <cell r="J2264" t="str">
            <v>RIBA SMITH, S.A.</v>
          </cell>
          <cell r="N2264">
            <v>542</v>
          </cell>
        </row>
        <row r="2265">
          <cell r="A2265" t="str">
            <v>RIBA SMITH, S.A.</v>
          </cell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G2265">
            <v>542</v>
          </cell>
          <cell r="J2265" t="str">
            <v>RIBA SMITH, S.A.</v>
          </cell>
          <cell r="S2265">
            <v>211</v>
          </cell>
        </row>
        <row r="2266">
          <cell r="A2266" t="str">
            <v>RIBA SMITH, S.A.</v>
          </cell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G2266">
            <v>211</v>
          </cell>
          <cell r="J2266" t="str">
            <v>RIBA SMITH, S.A.</v>
          </cell>
          <cell r="N2266">
            <v>105</v>
          </cell>
        </row>
        <row r="2267">
          <cell r="A2267" t="str">
            <v>RIBA SMITH, S.A.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105</v>
          </cell>
          <cell r="J2267" t="str">
            <v>RIBA SMITH, S.A.</v>
          </cell>
          <cell r="M2267">
            <v>100</v>
          </cell>
        </row>
        <row r="2268">
          <cell r="A2268" t="str">
            <v>RIBA SMITH, S.A.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100</v>
          </cell>
          <cell r="J2268" t="str">
            <v>RIBA SMITH, S.A.</v>
          </cell>
          <cell r="N2268">
            <v>264</v>
          </cell>
        </row>
        <row r="2269">
          <cell r="A2269" t="str">
            <v>RIBA SMITH, S.A.</v>
          </cell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G2269">
            <v>264</v>
          </cell>
          <cell r="J2269" t="str">
            <v>RIBA SMITH, S.A.</v>
          </cell>
          <cell r="O2269">
            <v>60</v>
          </cell>
        </row>
        <row r="2270">
          <cell r="A2270" t="str">
            <v>RIBA SMITH, S.A.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60</v>
          </cell>
          <cell r="J2270" t="str">
            <v>RIBA SMITH, S.A.</v>
          </cell>
          <cell r="S2270">
            <v>179</v>
          </cell>
        </row>
        <row r="2271">
          <cell r="A2271" t="str">
            <v>RIBA SMITH, S.A.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179</v>
          </cell>
          <cell r="J2271" t="str">
            <v>RIBA SMITH, S.A.</v>
          </cell>
          <cell r="N2271">
            <v>50</v>
          </cell>
        </row>
        <row r="2272">
          <cell r="A2272" t="str">
            <v>RIBA SMITH, S.A.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50</v>
          </cell>
          <cell r="J2272" t="str">
            <v>RIBA SMITH, S.A.</v>
          </cell>
          <cell r="N2272">
            <v>162</v>
          </cell>
        </row>
        <row r="2273">
          <cell r="A2273" t="str">
            <v>RIBA SMITH, S.A.</v>
          </cell>
          <cell r="C2273">
            <v>162</v>
          </cell>
          <cell r="D2273">
            <v>0</v>
          </cell>
          <cell r="E2273">
            <v>0</v>
          </cell>
          <cell r="F2273">
            <v>0</v>
          </cell>
          <cell r="G2273">
            <v>162</v>
          </cell>
          <cell r="J2273" t="str">
            <v>RIBA SMITH, S.A.</v>
          </cell>
          <cell r="N2273">
            <v>86</v>
          </cell>
        </row>
        <row r="2274">
          <cell r="A2274" t="str">
            <v>RIBA SMITH, S.A.</v>
          </cell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G2274">
            <v>86</v>
          </cell>
          <cell r="J2274" t="str">
            <v>RIBA SMITH, S.A.</v>
          </cell>
          <cell r="M2274">
            <v>201</v>
          </cell>
        </row>
        <row r="2275">
          <cell r="A2275" t="str">
            <v>RIBA SMITH, S.A.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201</v>
          </cell>
          <cell r="J2275" t="str">
            <v>RIBA SMITH, S.A.</v>
          </cell>
          <cell r="R2275">
            <v>181</v>
          </cell>
        </row>
        <row r="2276">
          <cell r="A2276" t="str">
            <v>RIBA SMITH, S.A.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181</v>
          </cell>
          <cell r="J2276" t="str">
            <v>RIBA SMITH, S.A.</v>
          </cell>
          <cell r="N2276">
            <v>201</v>
          </cell>
        </row>
        <row r="2277">
          <cell r="A2277" t="str">
            <v>RIBA SMITH, S.A.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201</v>
          </cell>
          <cell r="J2277" t="str">
            <v>RIBA SMITH, S.A.</v>
          </cell>
          <cell r="O2277">
            <v>1200</v>
          </cell>
        </row>
        <row r="2278">
          <cell r="A2278" t="str">
            <v>RIBA SMITH, S.A.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1200</v>
          </cell>
          <cell r="J2278" t="str">
            <v>RIBA SMITH, S.A.</v>
          </cell>
          <cell r="M2278">
            <v>390</v>
          </cell>
        </row>
        <row r="2279">
          <cell r="A2279" t="str">
            <v>RIBA SMITH, S.A.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390</v>
          </cell>
          <cell r="J2279" t="str">
            <v>RIBA SMITH, S.A.</v>
          </cell>
          <cell r="N2279">
            <v>250</v>
          </cell>
        </row>
        <row r="2280">
          <cell r="A2280" t="str">
            <v>RIBA SMITH, S.A.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250</v>
          </cell>
          <cell r="J2280" t="str">
            <v>RIBA SMITH, S.A.</v>
          </cell>
          <cell r="N2280">
            <v>84</v>
          </cell>
        </row>
        <row r="2281">
          <cell r="A2281" t="str">
            <v>RIBA SMITH, S.A.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84</v>
          </cell>
          <cell r="J2281" t="str">
            <v>RIBA SMITH, S.A.</v>
          </cell>
          <cell r="N2281">
            <v>0</v>
          </cell>
        </row>
        <row r="2282">
          <cell r="A2282" t="str">
            <v>RIBA SMITH, S.A.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J2282" t="str">
            <v>RIBA SMITH, S.A.</v>
          </cell>
          <cell r="O2282">
            <v>1017</v>
          </cell>
        </row>
        <row r="2283">
          <cell r="A2283" t="str">
            <v>RIBA SMITH, S.A.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1017</v>
          </cell>
          <cell r="J2283" t="str">
            <v>RIBA SMITH, S.A.</v>
          </cell>
          <cell r="O2283">
            <v>219</v>
          </cell>
        </row>
        <row r="2284">
          <cell r="A2284" t="str">
            <v>RIBA SMITH, S.A.</v>
          </cell>
          <cell r="C2284">
            <v>0</v>
          </cell>
          <cell r="D2284">
            <v>16</v>
          </cell>
          <cell r="E2284">
            <v>19</v>
          </cell>
          <cell r="F2284">
            <v>19</v>
          </cell>
          <cell r="G2284">
            <v>219</v>
          </cell>
          <cell r="J2284" t="str">
            <v>RIBA SMITH, S.A.</v>
          </cell>
          <cell r="Q2284">
            <v>83</v>
          </cell>
        </row>
        <row r="2285">
          <cell r="A2285" t="str">
            <v>RIBA SMITH, S.A.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83</v>
          </cell>
          <cell r="J2285" t="str">
            <v>RIBA SMITH, S.A.</v>
          </cell>
          <cell r="M2285">
            <v>265</v>
          </cell>
        </row>
        <row r="2286">
          <cell r="A2286" t="str">
            <v>RIBA SMITH, S.A.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265</v>
          </cell>
          <cell r="J2286" t="str">
            <v>RIBA SMITH, S.A.</v>
          </cell>
          <cell r="S2286">
            <v>152</v>
          </cell>
        </row>
        <row r="2287">
          <cell r="A2287" t="str">
            <v>RIBA SMITH, S.A.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152</v>
          </cell>
          <cell r="J2287" t="str">
            <v>RIBA SMITH, S.A.</v>
          </cell>
          <cell r="Q2287">
            <v>60</v>
          </cell>
        </row>
        <row r="2288">
          <cell r="A2288" t="str">
            <v>RIBA SMITH, S.A.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60</v>
          </cell>
          <cell r="J2288" t="str">
            <v>RIBA SMITH, S.A.</v>
          </cell>
          <cell r="O2288">
            <v>68</v>
          </cell>
        </row>
        <row r="2289">
          <cell r="A2289" t="str">
            <v>RIBA SMITH, S.A.</v>
          </cell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G2289">
            <v>68</v>
          </cell>
          <cell r="J2289" t="str">
            <v>RIBA SMITH, S.A.</v>
          </cell>
          <cell r="O2289">
            <v>256</v>
          </cell>
        </row>
        <row r="2290">
          <cell r="A2290" t="str">
            <v>RIBA SMITH, S.A.</v>
          </cell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G2290">
            <v>256</v>
          </cell>
          <cell r="J2290" t="str">
            <v>RIBA SMITH, S.A.</v>
          </cell>
          <cell r="Q2290">
            <v>496</v>
          </cell>
        </row>
        <row r="2291">
          <cell r="A2291" t="str">
            <v>RIBA SMITH, S.A.</v>
          </cell>
          <cell r="C2291">
            <v>73</v>
          </cell>
          <cell r="D2291">
            <v>0</v>
          </cell>
          <cell r="E2291">
            <v>0</v>
          </cell>
          <cell r="F2291">
            <v>0</v>
          </cell>
          <cell r="G2291">
            <v>496</v>
          </cell>
          <cell r="J2291" t="str">
            <v>RIBA SMITH, S.A.</v>
          </cell>
          <cell r="M2291">
            <v>400</v>
          </cell>
        </row>
        <row r="2292">
          <cell r="A2292" t="str">
            <v>RIBA SMITH, S.A.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400</v>
          </cell>
          <cell r="J2292" t="str">
            <v>RIBA SMITH, S.A.</v>
          </cell>
          <cell r="M2292">
            <v>100</v>
          </cell>
        </row>
        <row r="2293">
          <cell r="A2293" t="str">
            <v>RIBA SMITH, S.A.</v>
          </cell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G2293">
            <v>100</v>
          </cell>
          <cell r="J2293" t="str">
            <v>RIBA SMITH, S.A.</v>
          </cell>
          <cell r="N2293">
            <v>230</v>
          </cell>
        </row>
        <row r="2294">
          <cell r="A2294" t="str">
            <v>RIBA SMITH, S.A.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230</v>
          </cell>
          <cell r="J2294" t="str">
            <v>RIBA SMITH, S.A.</v>
          </cell>
          <cell r="M2294">
            <v>352</v>
          </cell>
        </row>
        <row r="2295">
          <cell r="A2295" t="str">
            <v>RIBA SMITH, S.A.</v>
          </cell>
          <cell r="C2295">
            <v>225</v>
          </cell>
          <cell r="D2295">
            <v>0</v>
          </cell>
          <cell r="E2295">
            <v>0</v>
          </cell>
          <cell r="F2295">
            <v>0</v>
          </cell>
          <cell r="G2295">
            <v>352</v>
          </cell>
          <cell r="J2295" t="str">
            <v>RIBA SMITH, S.A.</v>
          </cell>
          <cell r="N2295">
            <v>510</v>
          </cell>
        </row>
        <row r="2296">
          <cell r="A2296" t="str">
            <v>RIBA SMITH, S.A.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510</v>
          </cell>
          <cell r="J2296" t="str">
            <v>RIBA SMITH, S.A.</v>
          </cell>
          <cell r="N2296">
            <v>97</v>
          </cell>
        </row>
        <row r="2297">
          <cell r="A2297" t="str">
            <v>RIBA SMITH, S.A.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97</v>
          </cell>
          <cell r="J2297" t="str">
            <v>RIBA SMITH, S.A.</v>
          </cell>
          <cell r="M2297">
            <v>1350</v>
          </cell>
        </row>
        <row r="2298">
          <cell r="A2298" t="str">
            <v>RIBA SMITH, S.A.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1350</v>
          </cell>
          <cell r="J2298" t="str">
            <v>RIBA SMITH, S.A.</v>
          </cell>
          <cell r="M2298">
            <v>77</v>
          </cell>
        </row>
        <row r="2299">
          <cell r="A2299" t="str">
            <v>RIBA SMITH, S.A.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77</v>
          </cell>
          <cell r="J2299" t="str">
            <v>RIBA SMITH, S.A.</v>
          </cell>
          <cell r="N2299">
            <v>130</v>
          </cell>
        </row>
        <row r="2300">
          <cell r="A2300" t="str">
            <v>RIBA SMITH, S.A.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130</v>
          </cell>
          <cell r="J2300" t="str">
            <v>RIBA SMITH, S.A.</v>
          </cell>
          <cell r="S2300">
            <v>40</v>
          </cell>
        </row>
        <row r="2301">
          <cell r="A2301" t="str">
            <v>RIBA SMITH, S.A.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40</v>
          </cell>
          <cell r="J2301" t="str">
            <v>RIBA SMITH, S.A.</v>
          </cell>
          <cell r="S2301">
            <v>50</v>
          </cell>
        </row>
        <row r="2302">
          <cell r="A2302" t="str">
            <v>RIBA SMITH, S.A.</v>
          </cell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G2302">
            <v>50</v>
          </cell>
          <cell r="J2302" t="str">
            <v>RIBA SMITH, S.A.</v>
          </cell>
          <cell r="O2302">
            <v>0</v>
          </cell>
        </row>
        <row r="2303">
          <cell r="A2303" t="str">
            <v>RIBA SMITH, S.A.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J2303" t="str">
            <v>RIBA SMITH, S.A.</v>
          </cell>
          <cell r="M2303">
            <v>209</v>
          </cell>
        </row>
        <row r="2304">
          <cell r="A2304" t="str">
            <v>RIBA SMITH, S.A.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209</v>
          </cell>
          <cell r="J2304" t="str">
            <v>RIBA SMITH, S.A.</v>
          </cell>
          <cell r="R2304">
            <v>0</v>
          </cell>
        </row>
        <row r="2305">
          <cell r="A2305" t="str">
            <v>RIBA SMITH, S.A.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J2305" t="str">
            <v>RIBA SMITH, S.A.</v>
          </cell>
          <cell r="P2305">
            <v>173</v>
          </cell>
        </row>
        <row r="2306">
          <cell r="A2306" t="str">
            <v>RIBA SMITH, S.A.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173</v>
          </cell>
          <cell r="J2306" t="str">
            <v>RIBA SMITH, S.A.</v>
          </cell>
          <cell r="M2306">
            <v>52</v>
          </cell>
        </row>
        <row r="2307">
          <cell r="A2307" t="str">
            <v>RIBA SMITH, S.A.</v>
          </cell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G2307">
            <v>52</v>
          </cell>
          <cell r="J2307" t="str">
            <v>RIBA SMITH, S.A.</v>
          </cell>
          <cell r="P2307">
            <v>150</v>
          </cell>
        </row>
        <row r="2308">
          <cell r="A2308" t="str">
            <v>RIBA SMITH, S.A.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150</v>
          </cell>
          <cell r="J2308" t="str">
            <v>RIBA SMITH, S.A.</v>
          </cell>
          <cell r="M2308">
            <v>600</v>
          </cell>
        </row>
        <row r="2309">
          <cell r="A2309" t="str">
            <v>RIBA SMITH, S.A.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600</v>
          </cell>
          <cell r="J2309" t="str">
            <v>SUPER CARNES</v>
          </cell>
          <cell r="T2309">
            <v>82</v>
          </cell>
        </row>
        <row r="2310">
          <cell r="A2310" t="str">
            <v>SUPER CARNES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82</v>
          </cell>
          <cell r="J2310" t="str">
            <v>SUPER CARNES</v>
          </cell>
          <cell r="T2310">
            <v>84</v>
          </cell>
        </row>
        <row r="2311">
          <cell r="A2311" t="str">
            <v>SUPER CARNES</v>
          </cell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G2311">
            <v>84</v>
          </cell>
          <cell r="J2311" t="str">
            <v>SUPER CARNES</v>
          </cell>
          <cell r="T2311">
            <v>115</v>
          </cell>
        </row>
        <row r="2312">
          <cell r="A2312" t="str">
            <v>SUPER CARNES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115</v>
          </cell>
          <cell r="J2312" t="str">
            <v>SUPER CARNES</v>
          </cell>
          <cell r="T2312">
            <v>73</v>
          </cell>
        </row>
        <row r="2313">
          <cell r="A2313" t="str">
            <v>SUPER CARNES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73</v>
          </cell>
          <cell r="J2313" t="str">
            <v>SUPER CARNES</v>
          </cell>
          <cell r="N2313">
            <v>0</v>
          </cell>
        </row>
        <row r="2314">
          <cell r="A2314" t="str">
            <v>SUPER CARNES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J2314" t="str">
            <v>SUPER CARNES</v>
          </cell>
          <cell r="T2314">
            <v>37</v>
          </cell>
        </row>
        <row r="2315">
          <cell r="A2315" t="str">
            <v>SUPER CARNES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37</v>
          </cell>
          <cell r="J2315" t="str">
            <v>SUPER CARNES</v>
          </cell>
          <cell r="U2315">
            <v>0</v>
          </cell>
        </row>
        <row r="2316">
          <cell r="A2316" t="str">
            <v>SUPER CARNES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J2316" t="str">
            <v>SUPER CARNES</v>
          </cell>
        </row>
        <row r="2317">
          <cell r="A2317" t="str">
            <v>SUPER CARNES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J2317" t="str">
            <v>SUPER CARNES</v>
          </cell>
          <cell r="U2317">
            <v>305</v>
          </cell>
        </row>
        <row r="2318">
          <cell r="A2318" t="str">
            <v>SUPER CARNES</v>
          </cell>
          <cell r="C2318">
            <v>0</v>
          </cell>
          <cell r="D2318">
            <v>40</v>
          </cell>
          <cell r="E2318">
            <v>60</v>
          </cell>
          <cell r="F2318">
            <v>40</v>
          </cell>
          <cell r="G2318">
            <v>305</v>
          </cell>
          <cell r="J2318" t="str">
            <v>SUPER CARNES</v>
          </cell>
          <cell r="T2318">
            <v>30</v>
          </cell>
        </row>
        <row r="2319">
          <cell r="A2319" t="str">
            <v>SUPER CARNES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30</v>
          </cell>
          <cell r="J2319" t="str">
            <v>SUPER CARNES</v>
          </cell>
          <cell r="W2319">
            <v>0</v>
          </cell>
        </row>
        <row r="2320">
          <cell r="A2320" t="str">
            <v>SUPER CARNES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J2320" t="str">
            <v>SUPER CARNES</v>
          </cell>
          <cell r="W2320">
            <v>628</v>
          </cell>
        </row>
        <row r="2321">
          <cell r="A2321" t="str">
            <v>SUPER CARNES</v>
          </cell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G2321">
            <v>628</v>
          </cell>
          <cell r="J2321" t="str">
            <v>SUPER CARNES</v>
          </cell>
          <cell r="W2321">
            <v>0</v>
          </cell>
        </row>
        <row r="2322">
          <cell r="A2322" t="str">
            <v>SUPER CARNES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J2322" t="str">
            <v>SUPER CARNES</v>
          </cell>
          <cell r="W2322">
            <v>0</v>
          </cell>
        </row>
        <row r="2323">
          <cell r="A2323" t="str">
            <v>SUPER CARNES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J2323" t="str">
            <v>SUPER CARNES</v>
          </cell>
          <cell r="U2323">
            <v>251</v>
          </cell>
        </row>
        <row r="2324">
          <cell r="A2324" t="str">
            <v>SUPER CARNES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251</v>
          </cell>
          <cell r="J2324" t="str">
            <v>SUPER CARNES</v>
          </cell>
          <cell r="U2324">
            <v>0</v>
          </cell>
        </row>
        <row r="2325">
          <cell r="A2325" t="str">
            <v>SUPER CARNES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J2325" t="str">
            <v>SUPER CARNES</v>
          </cell>
          <cell r="V2325">
            <v>0</v>
          </cell>
        </row>
        <row r="2326">
          <cell r="A2326" t="str">
            <v>SUPER CARNES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J2326" t="str">
            <v>SUPER CARNES</v>
          </cell>
          <cell r="Y2326">
            <v>0</v>
          </cell>
        </row>
        <row r="2327">
          <cell r="A2327" t="str">
            <v>SUPER CARNES</v>
          </cell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J2327" t="str">
            <v>SUPER CARNES</v>
          </cell>
          <cell r="V2327">
            <v>0</v>
          </cell>
        </row>
        <row r="2328">
          <cell r="A2328" t="str">
            <v>SUPER CARNES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J2328" t="str">
            <v>SUPER CARNES</v>
          </cell>
        </row>
        <row r="2329">
          <cell r="A2329" t="str">
            <v>SUPER CARNES</v>
          </cell>
          <cell r="C2329">
            <v>0</v>
          </cell>
          <cell r="D2329">
            <v>10</v>
          </cell>
          <cell r="E2329">
            <v>20</v>
          </cell>
          <cell r="F2329">
            <v>32</v>
          </cell>
          <cell r="G2329">
            <v>83</v>
          </cell>
          <cell r="J2329" t="str">
            <v>SUPER CARNES</v>
          </cell>
          <cell r="V2329">
            <v>200</v>
          </cell>
        </row>
        <row r="2330">
          <cell r="A2330" t="str">
            <v>SUPER CARNES</v>
          </cell>
          <cell r="C2330">
            <v>200</v>
          </cell>
          <cell r="D2330">
            <v>0</v>
          </cell>
          <cell r="E2330">
            <v>0</v>
          </cell>
          <cell r="F2330">
            <v>0</v>
          </cell>
          <cell r="G2330">
            <v>200</v>
          </cell>
          <cell r="J2330" t="str">
            <v>SUPER CARNES</v>
          </cell>
          <cell r="T2330">
            <v>0</v>
          </cell>
        </row>
        <row r="2331">
          <cell r="A2331" t="str">
            <v>SUPER CARNES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J2331" t="str">
            <v>SUPER CARNES</v>
          </cell>
          <cell r="T2331">
            <v>240</v>
          </cell>
        </row>
        <row r="2332">
          <cell r="A2332" t="str">
            <v>SUPER CARNES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240</v>
          </cell>
          <cell r="J2332" t="str">
            <v>SUPER CARNES</v>
          </cell>
          <cell r="U2332">
            <v>80</v>
          </cell>
        </row>
        <row r="2333">
          <cell r="A2333" t="str">
            <v>SUPER CARNES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80</v>
          </cell>
          <cell r="J2333" t="str">
            <v>SUPER CARNES</v>
          </cell>
          <cell r="U2333">
            <v>0</v>
          </cell>
        </row>
        <row r="2334">
          <cell r="A2334" t="str">
            <v>SUPER CARNES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J2334" t="str">
            <v>SUPER CARNES</v>
          </cell>
          <cell r="V2334">
            <v>30</v>
          </cell>
        </row>
        <row r="2335">
          <cell r="A2335" t="str">
            <v>SUPER CARNES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30</v>
          </cell>
          <cell r="J2335" t="str">
            <v>INDUSTRIAS LACTEAS, S.A / Estrella Azul</v>
          </cell>
          <cell r="N2335">
            <v>212</v>
          </cell>
        </row>
        <row r="2336">
          <cell r="A2336" t="str">
            <v>INDUSTRIAS LACTEAS, S.A / Estrella Azul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212</v>
          </cell>
          <cell r="J2336" t="str">
            <v>INDUSTRIAS LACTEAS, S.A / Estrella Azul</v>
          </cell>
          <cell r="O2336">
            <v>180</v>
          </cell>
        </row>
        <row r="2337">
          <cell r="A2337" t="str">
            <v>INDUSTRIAS LACTEAS, S.A / Estrella Azul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180</v>
          </cell>
          <cell r="J2337" t="str">
            <v>INDUSTRIAS LACTEAS, S.A / Estrella Azul</v>
          </cell>
          <cell r="Q2337">
            <v>1060</v>
          </cell>
        </row>
        <row r="2338">
          <cell r="A2338" t="str">
            <v>INDUSTRIAS LACTEAS, S.A / Estrella Azul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1060</v>
          </cell>
          <cell r="J2338" t="str">
            <v>INDUSTRIAS LACTEAS, S.A / Estrella Azul</v>
          </cell>
          <cell r="R2338">
            <v>180</v>
          </cell>
        </row>
        <row r="2339">
          <cell r="A2339" t="str">
            <v>INDUSTRIAS LACTEAS, S.A / Estrella Azul</v>
          </cell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G2339">
            <v>180</v>
          </cell>
          <cell r="J2339" t="str">
            <v>INDUSTRIAS LACTEAS, S.A / Estrella Azul</v>
          </cell>
          <cell r="S2339">
            <v>73</v>
          </cell>
        </row>
        <row r="2340">
          <cell r="A2340" t="str">
            <v>INDUSTRIAS LACTEAS, S.A / Estrella Azul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73</v>
          </cell>
          <cell r="J2340" t="str">
            <v>INDUSTRIAS LACTEAS, S.A / Estrella Azul</v>
          </cell>
          <cell r="O2340">
            <v>65</v>
          </cell>
        </row>
        <row r="2341">
          <cell r="A2341" t="str">
            <v>INDUSTRIAS LACTEAS, S.A / Estrella Azul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65</v>
          </cell>
          <cell r="J2341" t="str">
            <v>INDUSTRIAS LACTEAS, S.A / Estrella Azul</v>
          </cell>
          <cell r="M2341">
            <v>0</v>
          </cell>
        </row>
        <row r="2342">
          <cell r="A2342" t="str">
            <v>INDUSTRIAS LACTEAS, S.A / Estrella Azul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J2342" t="str">
            <v>INDUSTRIAS LACTEAS, S.A / Estrella Azul</v>
          </cell>
          <cell r="N2342">
            <v>282</v>
          </cell>
        </row>
        <row r="2343">
          <cell r="A2343" t="str">
            <v>INDUSTRIAS LACTEAS, S.A / Estrella Azul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282</v>
          </cell>
          <cell r="J2343" t="str">
            <v>INDUSTRIAS LACTEAS, S.A / Estrella Azul</v>
          </cell>
          <cell r="N2343">
            <v>467</v>
          </cell>
        </row>
        <row r="2344">
          <cell r="A2344" t="str">
            <v>INDUSTRIAS LACTEAS, S.A / Estrella Azul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467</v>
          </cell>
          <cell r="J2344" t="str">
            <v>INDUSTRIAS LACTEAS, S.A / Estrella Azul</v>
          </cell>
          <cell r="N2344">
            <v>38</v>
          </cell>
        </row>
        <row r="2345">
          <cell r="A2345" t="str">
            <v>INDUSTRIAS LACTEAS, S.A / Estrella Azul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38</v>
          </cell>
          <cell r="J2345" t="str">
            <v>INDUSTRIAS LACTEAS, S.A / Estrella Azul</v>
          </cell>
          <cell r="N2345">
            <v>62</v>
          </cell>
        </row>
        <row r="2346">
          <cell r="A2346" t="str">
            <v>INDUSTRIAS LACTEAS, S.A / Estrella Azul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62</v>
          </cell>
          <cell r="J2346" t="str">
            <v>INDUSTRIAS LACTEAS, S.A / Estrella Azul</v>
          </cell>
          <cell r="N2346">
            <v>147</v>
          </cell>
        </row>
        <row r="2347">
          <cell r="A2347" t="str">
            <v>INDUSTRIAS LACTEAS, S.A / Estrella Azul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147</v>
          </cell>
          <cell r="J2347" t="str">
            <v>INDUSTRIAS LACTEAS, S.A / Estrella Azul</v>
          </cell>
          <cell r="O2347">
            <v>60</v>
          </cell>
        </row>
        <row r="2348">
          <cell r="A2348" t="str">
            <v>INDUSTRIAS LACTEAS, S.A / Estrella Azul</v>
          </cell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G2348">
            <v>60</v>
          </cell>
          <cell r="J2348" t="str">
            <v>INDUSTRIAS LACTEAS, S.A / Estrella Azul</v>
          </cell>
          <cell r="R2348">
            <v>181</v>
          </cell>
        </row>
        <row r="2349">
          <cell r="A2349" t="str">
            <v>INDUSTRIAS LACTEAS, S.A / Estrella Azul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181</v>
          </cell>
          <cell r="J2349" t="str">
            <v>INDUSTRIAS LACTEAS, S.A / Estrella Azul</v>
          </cell>
          <cell r="M2349">
            <v>150</v>
          </cell>
        </row>
        <row r="2350">
          <cell r="A2350" t="str">
            <v>INDUSTRIAS LACTEAS, S.A / Estrella Azul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150</v>
          </cell>
          <cell r="J2350" t="str">
            <v>INDUSTRIAS LACTEAS, S.A / Estrella Azul</v>
          </cell>
          <cell r="O2350">
            <v>1200</v>
          </cell>
        </row>
        <row r="2351">
          <cell r="A2351" t="str">
            <v>INDUSTRIAS LACTEAS, S.A / Estrella Azul</v>
          </cell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G2351">
            <v>1200</v>
          </cell>
          <cell r="J2351" t="str">
            <v>INDUSTRIAS LACTEAS, S.A / Estrella Azul</v>
          </cell>
          <cell r="N2351">
            <v>456</v>
          </cell>
        </row>
        <row r="2352">
          <cell r="A2352" t="str">
            <v>INDUSTRIAS LACTEAS, S.A / Estrella Azul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456</v>
          </cell>
          <cell r="J2352" t="str">
            <v>INDUSTRIAS LACTEAS, S.A / Estrella Azul</v>
          </cell>
          <cell r="M2352">
            <v>175</v>
          </cell>
        </row>
        <row r="2353">
          <cell r="A2353" t="str">
            <v>INDUSTRIAS LACTEAS, S.A / Estrella Azul</v>
          </cell>
          <cell r="C2353">
            <v>0</v>
          </cell>
          <cell r="D2353">
            <v>10</v>
          </cell>
          <cell r="E2353">
            <v>20</v>
          </cell>
          <cell r="F2353">
            <v>25</v>
          </cell>
          <cell r="G2353">
            <v>175</v>
          </cell>
          <cell r="J2353" t="str">
            <v>INDUSTRIAS LACTEAS, S.A / Estrella Azul</v>
          </cell>
          <cell r="Q2353">
            <v>496</v>
          </cell>
        </row>
        <row r="2354">
          <cell r="A2354" t="str">
            <v>INDUSTRIAS LACTEAS, S.A / Estrella Azul</v>
          </cell>
          <cell r="C2354">
            <v>73</v>
          </cell>
          <cell r="D2354">
            <v>0</v>
          </cell>
          <cell r="E2354">
            <v>0</v>
          </cell>
          <cell r="F2354">
            <v>0</v>
          </cell>
          <cell r="G2354">
            <v>496</v>
          </cell>
          <cell r="J2354" t="str">
            <v>INDUSTRIAS LACTEAS, S.A / Estrella Azul</v>
          </cell>
          <cell r="M2354">
            <v>400</v>
          </cell>
        </row>
        <row r="2355">
          <cell r="A2355" t="str">
            <v>INDUSTRIAS LACTEAS, S.A / Estrella Azul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400</v>
          </cell>
          <cell r="J2355" t="str">
            <v>INDUSTRIAS LACTEAS, S.A / Estrella Azul</v>
          </cell>
          <cell r="N2355">
            <v>510</v>
          </cell>
        </row>
        <row r="2356">
          <cell r="A2356" t="str">
            <v>INDUSTRIAS LACTEAS, S.A / Estrella Azul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510</v>
          </cell>
          <cell r="J2356" t="str">
            <v>INDUSTRIAS LACTEAS, S.A / Estrella Azul</v>
          </cell>
          <cell r="M2356">
            <v>25</v>
          </cell>
        </row>
        <row r="2357">
          <cell r="A2357" t="str">
            <v>INDUSTRIAS LACTEAS, S.A / Estrella Azul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25</v>
          </cell>
          <cell r="J2357" t="str">
            <v>CORONADO ACL S.A. (LEUDO PANADERÍA)</v>
          </cell>
          <cell r="R2357">
            <v>180</v>
          </cell>
        </row>
        <row r="2358">
          <cell r="A2358" t="str">
            <v>CORONADO ACL S.A. (LEUDO PANADERÍA)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180</v>
          </cell>
          <cell r="J2358" t="str">
            <v>Delivery Hero Dmart Panamá S.A. (Pedidos Ya)</v>
          </cell>
          <cell r="Q2358">
            <v>1060</v>
          </cell>
        </row>
        <row r="2359">
          <cell r="A2359" t="str">
            <v>Delivery Hero Dmart Panamá S.A. (Pedidos Ya)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1060</v>
          </cell>
          <cell r="J2359" t="str">
            <v>Delivery Hero Dmart Panamá S.A. (Pedidos Ya)</v>
          </cell>
          <cell r="R2359">
            <v>180</v>
          </cell>
        </row>
        <row r="2360">
          <cell r="A2360" t="str">
            <v>Delivery Hero Dmart Panamá S.A. (Pedidos Ya)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180</v>
          </cell>
          <cell r="J2360" t="str">
            <v>Delivery Hero Dmart Panamá S.A. (Pedidos Ya)</v>
          </cell>
          <cell r="S2360">
            <v>73</v>
          </cell>
        </row>
        <row r="2361">
          <cell r="A2361" t="str">
            <v>Delivery Hero Dmart Panamá S.A. (Pedidos Ya)</v>
          </cell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G2361">
            <v>73</v>
          </cell>
          <cell r="J2361" t="str">
            <v>Delivery Hero Dmart Panamá S.A. (Pedidos Ya)</v>
          </cell>
          <cell r="O2361">
            <v>65</v>
          </cell>
        </row>
        <row r="2362">
          <cell r="A2362" t="str">
            <v>Delivery Hero Dmart Panamá S.A. (Pedidos Ya)</v>
          </cell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G2362">
            <v>65</v>
          </cell>
          <cell r="J2362" t="str">
            <v>Delivery Hero Dmart Panamá S.A. (Pedidos Ya)</v>
          </cell>
          <cell r="N2362">
            <v>70</v>
          </cell>
        </row>
        <row r="2363">
          <cell r="A2363" t="str">
            <v>Delivery Hero Dmart Panamá S.A. (Pedidos Ya)</v>
          </cell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G2363">
            <v>70</v>
          </cell>
          <cell r="J2363" t="str">
            <v>Delivery Hero Dmart Panamá S.A. (Pedidos Ya)</v>
          </cell>
          <cell r="O2363">
            <v>1090</v>
          </cell>
        </row>
        <row r="2364">
          <cell r="A2364" t="str">
            <v>Delivery Hero Dmart Panamá S.A. (Pedidos Ya)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1090</v>
          </cell>
          <cell r="J2364" t="str">
            <v>Delivery Hero Dmart Panamá S.A. (Pedidos Ya)</v>
          </cell>
          <cell r="M2364">
            <v>0</v>
          </cell>
        </row>
        <row r="2365">
          <cell r="A2365" t="str">
            <v>Delivery Hero Dmart Panamá S.A. (Pedidos Ya)</v>
          </cell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J2365" t="str">
            <v>Delivery Hero Dmart Panamá S.A. (Pedidos Ya)</v>
          </cell>
          <cell r="N2365">
            <v>282</v>
          </cell>
        </row>
        <row r="2366">
          <cell r="A2366" t="str">
            <v>Delivery Hero Dmart Panamá S.A. (Pedidos Ya)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282</v>
          </cell>
          <cell r="J2366" t="str">
            <v>Delivery Hero Dmart Panamá S.A. (Pedidos Ya)</v>
          </cell>
          <cell r="N2366">
            <v>467</v>
          </cell>
        </row>
        <row r="2367">
          <cell r="A2367" t="str">
            <v>Delivery Hero Dmart Panamá S.A. (Pedidos Ya)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467</v>
          </cell>
          <cell r="J2367" t="str">
            <v>Delivery Hero Dmart Panamá S.A. (Pedidos Ya)</v>
          </cell>
          <cell r="N2367">
            <v>38</v>
          </cell>
        </row>
        <row r="2368">
          <cell r="A2368" t="str">
            <v>Delivery Hero Dmart Panamá S.A. (Pedidos Ya)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38</v>
          </cell>
          <cell r="J2368" t="str">
            <v>Delivery Hero Dmart Panamá S.A. (Pedidos Ya)</v>
          </cell>
          <cell r="N2368">
            <v>62</v>
          </cell>
        </row>
        <row r="2369">
          <cell r="A2369" t="str">
            <v>Delivery Hero Dmart Panamá S.A. (Pedidos Ya)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62</v>
          </cell>
          <cell r="J2369" t="str">
            <v>Delivery Hero Dmart Panamá S.A. (Pedidos Ya)</v>
          </cell>
          <cell r="O2369">
            <v>116</v>
          </cell>
        </row>
        <row r="2370">
          <cell r="A2370" t="str">
            <v>Delivery Hero Dmart Panamá S.A. (Pedidos Ya)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116</v>
          </cell>
          <cell r="J2370" t="str">
            <v>Delivery Hero Dmart Panamá S.A. (Pedidos Ya)</v>
          </cell>
          <cell r="O2370">
            <v>138</v>
          </cell>
        </row>
        <row r="2371">
          <cell r="A2371" t="str">
            <v>Delivery Hero Dmart Panamá S.A. (Pedidos Ya)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138</v>
          </cell>
          <cell r="J2371" t="str">
            <v>Delivery Hero Dmart Panamá S.A. (Pedidos Ya)</v>
          </cell>
          <cell r="T2371">
            <v>73</v>
          </cell>
        </row>
        <row r="2372">
          <cell r="A2372" t="str">
            <v>Delivery Hero Dmart Panamá S.A. (Pedidos Ya)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G2372">
            <v>73</v>
          </cell>
          <cell r="J2372" t="str">
            <v>Delivery Hero Dmart Panamá S.A. (Pedidos Ya)</v>
          </cell>
          <cell r="R2372">
            <v>181</v>
          </cell>
        </row>
        <row r="2373">
          <cell r="A2373" t="str">
            <v>Delivery Hero Dmart Panamá S.A. (Pedidos Ya)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181</v>
          </cell>
          <cell r="J2373" t="str">
            <v>Delivery Hero Dmart Panamá S.A. (Pedidos Ya)</v>
          </cell>
          <cell r="M2373">
            <v>150</v>
          </cell>
        </row>
        <row r="2374">
          <cell r="A2374" t="str">
            <v>Delivery Hero Dmart Panamá S.A. (Pedidos Ya)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150</v>
          </cell>
          <cell r="J2374" t="str">
            <v>Delivery Hero Dmart Panamá S.A. (Pedidos Ya)</v>
          </cell>
          <cell r="N2374">
            <v>250</v>
          </cell>
        </row>
        <row r="2375">
          <cell r="A2375" t="str">
            <v>Delivery Hero Dmart Panamá S.A. (Pedidos Ya)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250</v>
          </cell>
          <cell r="J2375" t="str">
            <v>Delivery Hero Dmart Panamá S.A. (Pedidos Ya)</v>
          </cell>
          <cell r="N2375">
            <v>250</v>
          </cell>
        </row>
        <row r="2376">
          <cell r="A2376" t="str">
            <v>Delivery Hero Dmart Panamá S.A. (Pedidos Ya)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250</v>
          </cell>
          <cell r="J2376" t="str">
            <v>Delivery Hero Dmart Panamá S.A. (Pedidos Ya)</v>
          </cell>
          <cell r="N2376">
            <v>90</v>
          </cell>
        </row>
        <row r="2377">
          <cell r="A2377" t="str">
            <v>Delivery Hero Dmart Panamá S.A. (Pedidos Ya)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90</v>
          </cell>
          <cell r="J2377" t="str">
            <v>Delivery Hero Dmart Panamá S.A. (Pedidos Ya)</v>
          </cell>
          <cell r="N2377">
            <v>22</v>
          </cell>
        </row>
        <row r="2378">
          <cell r="A2378" t="str">
            <v>Delivery Hero Dmart Panamá S.A. (Pedidos Ya)</v>
          </cell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G2378">
            <v>22</v>
          </cell>
          <cell r="J2378" t="str">
            <v>Delivery Hero Dmart Panamá S.A. (Pedidos Ya)</v>
          </cell>
          <cell r="N2378">
            <v>75</v>
          </cell>
        </row>
        <row r="2379">
          <cell r="A2379" t="str">
            <v>Delivery Hero Dmart Panamá S.A. (Pedidos Ya)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75</v>
          </cell>
          <cell r="J2379" t="str">
            <v>Delivery Hero Dmart Panamá S.A. (Pedidos Ya)</v>
          </cell>
          <cell r="M2379">
            <v>175</v>
          </cell>
        </row>
        <row r="2380">
          <cell r="A2380" t="str">
            <v>Delivery Hero Dmart Panamá S.A. (Pedidos Ya)</v>
          </cell>
          <cell r="C2380">
            <v>0</v>
          </cell>
          <cell r="D2380">
            <v>10</v>
          </cell>
          <cell r="E2380">
            <v>20</v>
          </cell>
          <cell r="F2380">
            <v>25</v>
          </cell>
          <cell r="G2380">
            <v>175</v>
          </cell>
          <cell r="J2380" t="str">
            <v>Delivery Hero Dmart Panamá S.A. (Pedidos Ya)</v>
          </cell>
          <cell r="M2380">
            <v>400</v>
          </cell>
        </row>
        <row r="2381">
          <cell r="A2381" t="str">
            <v>Delivery Hero Dmart Panamá S.A. (Pedidos Ya)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400</v>
          </cell>
          <cell r="J2381" t="str">
            <v>Delivery Hero Dmart Panamá S.A. (Pedidos Ya)</v>
          </cell>
          <cell r="M2381">
            <v>40</v>
          </cell>
        </row>
        <row r="2382">
          <cell r="A2382" t="str">
            <v>Delivery Hero Dmart Panamá S.A. (Pedidos Ya)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40</v>
          </cell>
          <cell r="J2382" t="str">
            <v>Delivery Hero Dmart Panamá S.A. (Pedidos Ya)</v>
          </cell>
          <cell r="O2382">
            <v>240</v>
          </cell>
        </row>
        <row r="2383">
          <cell r="A2383" t="str">
            <v>Delivery Hero Dmart Panamá S.A. (Pedidos Ya)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240</v>
          </cell>
          <cell r="J2383" t="str">
            <v>Delivery Hero Dmart Panamá S.A. (Pedidos Ya)</v>
          </cell>
          <cell r="S2383">
            <v>1190</v>
          </cell>
        </row>
        <row r="2384">
          <cell r="A2384" t="str">
            <v>Delivery Hero Dmart Panamá S.A. (Pedidos Ya)</v>
          </cell>
          <cell r="C2384">
            <v>1190</v>
          </cell>
          <cell r="D2384">
            <v>0</v>
          </cell>
          <cell r="E2384">
            <v>0</v>
          </cell>
          <cell r="F2384">
            <v>0</v>
          </cell>
          <cell r="G2384">
            <v>1190</v>
          </cell>
          <cell r="J2384" t="str">
            <v>Delivery Hero Dmart Panamá S.A. (Pedidos Ya)</v>
          </cell>
          <cell r="O2384">
            <v>480</v>
          </cell>
        </row>
        <row r="2385">
          <cell r="A2385" t="str">
            <v>Delivery Hero Dmart Panamá S.A. (Pedidos Ya)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G2385">
            <v>480</v>
          </cell>
          <cell r="J2385" t="str">
            <v>LA CHOLITA S.A.</v>
          </cell>
          <cell r="T2385">
            <v>82</v>
          </cell>
        </row>
        <row r="2386">
          <cell r="A2386" t="str">
            <v>LA CHOLITA S.A.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82</v>
          </cell>
          <cell r="J2386" t="str">
            <v>LA CHOLITA S.A.</v>
          </cell>
          <cell r="T2386">
            <v>84</v>
          </cell>
        </row>
        <row r="2387">
          <cell r="A2387" t="str">
            <v>LA CHOLITA S.A.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84</v>
          </cell>
          <cell r="J2387" t="str">
            <v>LA CHOLITA S.A.</v>
          </cell>
          <cell r="T2387">
            <v>115</v>
          </cell>
        </row>
        <row r="2388">
          <cell r="A2388" t="str">
            <v>LA CHOLITA S.A.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115</v>
          </cell>
          <cell r="J2388" t="str">
            <v>LA CHOLITA S.A.</v>
          </cell>
          <cell r="T2388">
            <v>73</v>
          </cell>
        </row>
        <row r="2389">
          <cell r="A2389" t="str">
            <v>LA CHOLITA S.A.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73</v>
          </cell>
          <cell r="J2389" t="str">
            <v>LA CHOLITA S.A.</v>
          </cell>
          <cell r="T2389">
            <v>635</v>
          </cell>
        </row>
        <row r="2390">
          <cell r="A2390" t="str">
            <v>LA CHOLITA S.A.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635</v>
          </cell>
          <cell r="J2390" t="str">
            <v>LA CHOLITA S.A.</v>
          </cell>
          <cell r="N2390">
            <v>0</v>
          </cell>
        </row>
        <row r="2391">
          <cell r="A2391" t="str">
            <v>LA CHOLITA S.A.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J2391" t="str">
            <v>LA CHOLITA S.A.</v>
          </cell>
          <cell r="U2391">
            <v>305</v>
          </cell>
        </row>
        <row r="2392">
          <cell r="A2392" t="str">
            <v>LA CHOLITA S.A.</v>
          </cell>
          <cell r="C2392">
            <v>0</v>
          </cell>
          <cell r="D2392">
            <v>40</v>
          </cell>
          <cell r="E2392">
            <v>60</v>
          </cell>
          <cell r="F2392">
            <v>40</v>
          </cell>
          <cell r="G2392">
            <v>305</v>
          </cell>
          <cell r="J2392" t="str">
            <v>LA CHOLITA S.A.</v>
          </cell>
          <cell r="T2392">
            <v>30</v>
          </cell>
        </row>
        <row r="2393">
          <cell r="A2393" t="str">
            <v>LA CHOLITA S.A.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30</v>
          </cell>
          <cell r="J2393" t="str">
            <v>LA CHOLITA S.A.</v>
          </cell>
          <cell r="W2393">
            <v>628</v>
          </cell>
        </row>
        <row r="2394">
          <cell r="A2394" t="str">
            <v>LA CHOLITA S.A.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628</v>
          </cell>
          <cell r="J2394" t="str">
            <v>LA CHOLITA S.A.</v>
          </cell>
          <cell r="T2394">
            <v>50</v>
          </cell>
        </row>
        <row r="2395">
          <cell r="A2395" t="str">
            <v>LA CHOLITA S.A.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50</v>
          </cell>
          <cell r="J2395" t="str">
            <v>LA CHOLITA S.A.</v>
          </cell>
          <cell r="W2395">
            <v>0</v>
          </cell>
        </row>
        <row r="2396">
          <cell r="A2396" t="str">
            <v>LA CHOLITA S.A.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J2396" t="str">
            <v>LA CHOLITA S.A.</v>
          </cell>
          <cell r="U2396">
            <v>251</v>
          </cell>
        </row>
        <row r="2397">
          <cell r="A2397" t="str">
            <v>LA CHOLITA S.A.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251</v>
          </cell>
          <cell r="J2397" t="str">
            <v>LA CHOLITA S.A.</v>
          </cell>
          <cell r="V2397">
            <v>0</v>
          </cell>
        </row>
        <row r="2398">
          <cell r="A2398" t="str">
            <v>LA CHOLITA S.A.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J2398" t="str">
            <v>LA CHOLITA S.A.</v>
          </cell>
          <cell r="Y2398">
            <v>0</v>
          </cell>
        </row>
        <row r="2399">
          <cell r="A2399" t="str">
            <v>LA CHOLITA S.A.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J2399" t="str">
            <v>LA CHOLITA S.A.</v>
          </cell>
        </row>
        <row r="2400">
          <cell r="A2400" t="str">
            <v>LA CHOLITA S.A.</v>
          </cell>
          <cell r="C2400">
            <v>0</v>
          </cell>
          <cell r="D2400">
            <v>10</v>
          </cell>
          <cell r="E2400">
            <v>20</v>
          </cell>
          <cell r="F2400">
            <v>32</v>
          </cell>
          <cell r="G2400">
            <v>83</v>
          </cell>
          <cell r="J2400" t="str">
            <v>LA CHOLITA S.A.</v>
          </cell>
          <cell r="T2400">
            <v>0</v>
          </cell>
        </row>
        <row r="2401">
          <cell r="A2401" t="str">
            <v>LA CHOLITA S.A.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J2401" t="str">
            <v>LA CHOLITA S.A.</v>
          </cell>
          <cell r="Y2401">
            <v>50</v>
          </cell>
        </row>
        <row r="2402">
          <cell r="A2402" t="str">
            <v>LA CHOLITA S.A.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50</v>
          </cell>
          <cell r="J2402" t="str">
            <v>LA CHOLITA S.A.</v>
          </cell>
          <cell r="T2402">
            <v>240</v>
          </cell>
        </row>
        <row r="2403">
          <cell r="A2403" t="str">
            <v>LA CHOLITA S.A.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240</v>
          </cell>
          <cell r="J2403" t="str">
            <v>DICSA PANAMA</v>
          </cell>
          <cell r="Q2403">
            <v>1060</v>
          </cell>
        </row>
        <row r="2404">
          <cell r="A2404" t="str">
            <v>DICSA PANAMA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1060</v>
          </cell>
          <cell r="J2404" t="str">
            <v>DICSA PANAMA</v>
          </cell>
          <cell r="R2404">
            <v>180</v>
          </cell>
        </row>
        <row r="2405">
          <cell r="A2405" t="str">
            <v>DICSA PANAMA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180</v>
          </cell>
          <cell r="J2405" t="str">
            <v>DICSA PANAMA</v>
          </cell>
          <cell r="M2405">
            <v>0</v>
          </cell>
        </row>
        <row r="2406">
          <cell r="A2406" t="str">
            <v>DICSA PANAMA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J2406" t="str">
            <v>DICSA PANAMA</v>
          </cell>
          <cell r="N2406">
            <v>467</v>
          </cell>
        </row>
        <row r="2407">
          <cell r="A2407" t="str">
            <v>DICSA PANAMA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467</v>
          </cell>
          <cell r="J2407" t="str">
            <v>DICSA PANAMA</v>
          </cell>
          <cell r="N2407">
            <v>70</v>
          </cell>
        </row>
        <row r="2408">
          <cell r="A2408" t="str">
            <v>DICSA PANAMA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70</v>
          </cell>
          <cell r="J2408" t="str">
            <v>DICSA PANAMA</v>
          </cell>
          <cell r="N2408">
            <v>542</v>
          </cell>
        </row>
        <row r="2409">
          <cell r="A2409" t="str">
            <v>DICSA PANAMA</v>
          </cell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G2409">
            <v>542</v>
          </cell>
          <cell r="J2409" t="str">
            <v>DICSA PANAMA</v>
          </cell>
          <cell r="S2409">
            <v>211</v>
          </cell>
        </row>
        <row r="2410">
          <cell r="A2410" t="str">
            <v>DICSA PANAMA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211</v>
          </cell>
          <cell r="J2410" t="str">
            <v>DICSA PANAMA</v>
          </cell>
          <cell r="O2410">
            <v>138</v>
          </cell>
        </row>
        <row r="2411">
          <cell r="A2411" t="str">
            <v>DICSA PANAMA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138</v>
          </cell>
          <cell r="J2411" t="str">
            <v>DICSA PANAMA</v>
          </cell>
          <cell r="N2411">
            <v>147</v>
          </cell>
        </row>
        <row r="2412">
          <cell r="A2412" t="str">
            <v>DICSA PANAMA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147</v>
          </cell>
          <cell r="J2412" t="str">
            <v>DICSA PANAMA</v>
          </cell>
          <cell r="M2412">
            <v>100</v>
          </cell>
        </row>
        <row r="2413">
          <cell r="A2413" t="str">
            <v>DICSA PANAMA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100</v>
          </cell>
          <cell r="J2413" t="str">
            <v>DICSA PANAMA</v>
          </cell>
          <cell r="O2413">
            <v>60</v>
          </cell>
        </row>
        <row r="2414">
          <cell r="A2414" t="str">
            <v>DICSA PANAMA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60</v>
          </cell>
          <cell r="J2414" t="str">
            <v>DICSA PANAMA</v>
          </cell>
          <cell r="R2414">
            <v>181</v>
          </cell>
        </row>
        <row r="2415">
          <cell r="A2415" t="str">
            <v>DICSA PANAMA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181</v>
          </cell>
          <cell r="J2415" t="str">
            <v>DICSA PANAMA</v>
          </cell>
          <cell r="O2415">
            <v>1200</v>
          </cell>
        </row>
        <row r="2416">
          <cell r="A2416" t="str">
            <v>DICSA PANAMA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1200</v>
          </cell>
          <cell r="J2416" t="str">
            <v>DICSA PANAMA</v>
          </cell>
          <cell r="N2416">
            <v>250</v>
          </cell>
        </row>
        <row r="2417">
          <cell r="A2417" t="str">
            <v>DICSA PANAMA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250</v>
          </cell>
          <cell r="J2417" t="str">
            <v>DICSA PANAMA</v>
          </cell>
          <cell r="N2417">
            <v>75</v>
          </cell>
        </row>
        <row r="2418">
          <cell r="A2418" t="str">
            <v>DICSA PANAMA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G2418">
            <v>75</v>
          </cell>
          <cell r="J2418" t="str">
            <v>DICSA PANAMA</v>
          </cell>
          <cell r="Q2418">
            <v>83</v>
          </cell>
        </row>
        <row r="2419">
          <cell r="A2419" t="str">
            <v>DICSA PANAMA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83</v>
          </cell>
          <cell r="J2419" t="str">
            <v>DICSA PANAMA</v>
          </cell>
          <cell r="Q2419">
            <v>60</v>
          </cell>
        </row>
        <row r="2420">
          <cell r="A2420" t="str">
            <v>DICSA PANAMA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60</v>
          </cell>
          <cell r="J2420" t="str">
            <v>DICSA PANAMA</v>
          </cell>
        </row>
        <row r="2421">
          <cell r="A2421" t="str">
            <v>DICSA PANAMA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J2421" t="str">
            <v>DICSA PANAMA</v>
          </cell>
          <cell r="O2421">
            <v>68</v>
          </cell>
        </row>
        <row r="2422">
          <cell r="A2422" t="str">
            <v>DICSA PANAMA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68</v>
          </cell>
          <cell r="J2422" t="str">
            <v>DICSA PANAMA</v>
          </cell>
          <cell r="Q2422">
            <v>496</v>
          </cell>
        </row>
        <row r="2423">
          <cell r="A2423" t="str">
            <v>DICSA PANAMA</v>
          </cell>
          <cell r="C2423">
            <v>73</v>
          </cell>
          <cell r="D2423">
            <v>0</v>
          </cell>
          <cell r="E2423">
            <v>0</v>
          </cell>
          <cell r="F2423">
            <v>0</v>
          </cell>
          <cell r="G2423">
            <v>496</v>
          </cell>
          <cell r="J2423" t="str">
            <v>DICSA PANAMA</v>
          </cell>
          <cell r="N2423">
            <v>230</v>
          </cell>
        </row>
        <row r="2424">
          <cell r="A2424" t="str">
            <v>DICSA PANAMA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230</v>
          </cell>
          <cell r="J2424" t="str">
            <v>DICSA PANAMA</v>
          </cell>
          <cell r="M2424">
            <v>352</v>
          </cell>
        </row>
        <row r="2425">
          <cell r="A2425" t="str">
            <v>DICSA PANAMA</v>
          </cell>
          <cell r="C2425">
            <v>225</v>
          </cell>
          <cell r="D2425">
            <v>0</v>
          </cell>
          <cell r="E2425">
            <v>0</v>
          </cell>
          <cell r="F2425">
            <v>0</v>
          </cell>
          <cell r="G2425">
            <v>352</v>
          </cell>
          <cell r="J2425" t="str">
            <v>DICSA PANAMA</v>
          </cell>
          <cell r="M2425">
            <v>209</v>
          </cell>
        </row>
        <row r="2426">
          <cell r="A2426" t="str">
            <v>DICSA PANAMA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209</v>
          </cell>
          <cell r="J2426" t="str">
            <v>DICSA PANAMA</v>
          </cell>
          <cell r="M2426">
            <v>0</v>
          </cell>
        </row>
        <row r="2427">
          <cell r="A2427" t="str">
            <v>DICSA PANAMA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J2427" t="str">
            <v>DICSA PANAMA</v>
          </cell>
          <cell r="S2427">
            <v>150</v>
          </cell>
        </row>
        <row r="2428">
          <cell r="A2428" t="str">
            <v>DICSA PANAMA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150</v>
          </cell>
          <cell r="J2428" t="str">
            <v>DICSA PANAMA</v>
          </cell>
          <cell r="R2428">
            <v>0</v>
          </cell>
        </row>
        <row r="2429">
          <cell r="A2429" t="str">
            <v>DICSA PANAMA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J2429" t="str">
            <v>DICSA PANAMA</v>
          </cell>
          <cell r="O2429">
            <v>421</v>
          </cell>
        </row>
        <row r="2430">
          <cell r="A2430" t="str">
            <v>DICSA PANAMA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421</v>
          </cell>
          <cell r="J2430" t="str">
            <v>DICSA PANAMA</v>
          </cell>
          <cell r="P2430">
            <v>173</v>
          </cell>
        </row>
        <row r="2431">
          <cell r="A2431" t="str">
            <v>DICSA PANAMA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173</v>
          </cell>
          <cell r="J2431" t="str">
            <v>DICSA PANAMA</v>
          </cell>
          <cell r="P2431">
            <v>150</v>
          </cell>
        </row>
        <row r="2432">
          <cell r="A2432" t="str">
            <v>DICSA PANAMA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150</v>
          </cell>
          <cell r="J2432" t="str">
            <v>PROSERV</v>
          </cell>
          <cell r="O2432">
            <v>30</v>
          </cell>
        </row>
        <row r="2433">
          <cell r="A2433" t="str">
            <v>PROSERV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30</v>
          </cell>
          <cell r="J2433" t="str">
            <v>PROSERV</v>
          </cell>
          <cell r="O2433">
            <v>180</v>
          </cell>
        </row>
        <row r="2434">
          <cell r="A2434" t="str">
            <v>PROSERV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180</v>
          </cell>
          <cell r="J2434" t="str">
            <v>PROSERV</v>
          </cell>
          <cell r="N2434">
            <v>70</v>
          </cell>
        </row>
        <row r="2435">
          <cell r="A2435" t="str">
            <v>PROSERV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70</v>
          </cell>
          <cell r="J2435" t="str">
            <v>PROSERV</v>
          </cell>
          <cell r="Q2435">
            <v>1060</v>
          </cell>
        </row>
        <row r="2436">
          <cell r="A2436" t="str">
            <v>PROSERV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1060</v>
          </cell>
          <cell r="J2436" t="str">
            <v>PROSERV</v>
          </cell>
          <cell r="N2436">
            <v>100</v>
          </cell>
        </row>
        <row r="2437">
          <cell r="A2437" t="str">
            <v>PROSERV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100</v>
          </cell>
          <cell r="J2437" t="str">
            <v>PROSERV</v>
          </cell>
          <cell r="R2437">
            <v>180</v>
          </cell>
        </row>
        <row r="2438">
          <cell r="A2438" t="str">
            <v>PROSERV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180</v>
          </cell>
          <cell r="J2438" t="str">
            <v>PROSERV</v>
          </cell>
          <cell r="R2438">
            <v>40</v>
          </cell>
        </row>
        <row r="2439">
          <cell r="A2439" t="str">
            <v>PROSERV</v>
          </cell>
          <cell r="C2439">
            <v>40</v>
          </cell>
          <cell r="D2439">
            <v>0</v>
          </cell>
          <cell r="E2439">
            <v>0</v>
          </cell>
          <cell r="F2439">
            <v>0</v>
          </cell>
          <cell r="G2439">
            <v>40</v>
          </cell>
          <cell r="J2439" t="str">
            <v>PROSERV</v>
          </cell>
          <cell r="N2439">
            <v>70</v>
          </cell>
        </row>
        <row r="2440">
          <cell r="A2440" t="str">
            <v>PROSERV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70</v>
          </cell>
          <cell r="J2440" t="str">
            <v>PROSERV</v>
          </cell>
          <cell r="O2440">
            <v>1090</v>
          </cell>
        </row>
        <row r="2441">
          <cell r="A2441" t="str">
            <v>PROSERV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1090</v>
          </cell>
          <cell r="J2441" t="str">
            <v>PROSERV</v>
          </cell>
          <cell r="M2441">
            <v>0</v>
          </cell>
        </row>
        <row r="2442">
          <cell r="A2442" t="str">
            <v>PROSERV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J2442" t="str">
            <v>PROSERV</v>
          </cell>
          <cell r="N2442">
            <v>282</v>
          </cell>
        </row>
        <row r="2443">
          <cell r="A2443" t="str">
            <v>PROSERV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282</v>
          </cell>
          <cell r="J2443" t="str">
            <v>PROSERV</v>
          </cell>
          <cell r="N2443">
            <v>467</v>
          </cell>
        </row>
        <row r="2444">
          <cell r="A2444" t="str">
            <v>PROSERV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467</v>
          </cell>
          <cell r="J2444" t="str">
            <v>PROSERV</v>
          </cell>
          <cell r="N2444">
            <v>881</v>
          </cell>
        </row>
        <row r="2445">
          <cell r="A2445" t="str">
            <v>PROSERV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881</v>
          </cell>
          <cell r="J2445" t="str">
            <v>PROSERV</v>
          </cell>
          <cell r="N2445">
            <v>38</v>
          </cell>
        </row>
        <row r="2446">
          <cell r="A2446" t="str">
            <v>PROSERV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38</v>
          </cell>
          <cell r="J2446" t="str">
            <v>PROSERV</v>
          </cell>
          <cell r="N2446">
            <v>70</v>
          </cell>
        </row>
        <row r="2447">
          <cell r="A2447" t="str">
            <v>PROSERV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70</v>
          </cell>
          <cell r="J2447" t="str">
            <v>PROSERV</v>
          </cell>
          <cell r="N2447">
            <v>60</v>
          </cell>
        </row>
        <row r="2448">
          <cell r="A2448" t="str">
            <v>PROSERV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60</v>
          </cell>
          <cell r="J2448" t="str">
            <v>PROSERV</v>
          </cell>
          <cell r="N2448">
            <v>243</v>
          </cell>
        </row>
        <row r="2449">
          <cell r="A2449" t="str">
            <v>PROSERV</v>
          </cell>
          <cell r="C2449">
            <v>0</v>
          </cell>
          <cell r="D2449">
            <v>13</v>
          </cell>
          <cell r="E2449">
            <v>37</v>
          </cell>
          <cell r="F2449">
            <v>28</v>
          </cell>
          <cell r="G2449">
            <v>243</v>
          </cell>
          <cell r="J2449" t="str">
            <v>PROSERV</v>
          </cell>
          <cell r="N2449">
            <v>62</v>
          </cell>
        </row>
        <row r="2450">
          <cell r="A2450" t="str">
            <v>PROSERV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62</v>
          </cell>
          <cell r="J2450" t="str">
            <v>PROSERV</v>
          </cell>
          <cell r="O2450">
            <v>116</v>
          </cell>
        </row>
        <row r="2451">
          <cell r="A2451" t="str">
            <v>PROSERV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116</v>
          </cell>
          <cell r="J2451" t="str">
            <v>PROSERV</v>
          </cell>
          <cell r="N2451">
            <v>542</v>
          </cell>
        </row>
        <row r="2452">
          <cell r="A2452" t="str">
            <v>PROSERV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542</v>
          </cell>
          <cell r="J2452" t="str">
            <v>PROSERV</v>
          </cell>
          <cell r="S2452">
            <v>52</v>
          </cell>
        </row>
        <row r="2453">
          <cell r="A2453" t="str">
            <v>PROSERV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52</v>
          </cell>
          <cell r="J2453" t="str">
            <v>PROSERV</v>
          </cell>
          <cell r="M2453">
            <v>500</v>
          </cell>
        </row>
        <row r="2454">
          <cell r="A2454" t="str">
            <v>PROSERV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500</v>
          </cell>
          <cell r="J2454" t="str">
            <v>PROSERV</v>
          </cell>
          <cell r="N2454">
            <v>62</v>
          </cell>
        </row>
        <row r="2455">
          <cell r="A2455" t="str">
            <v>PROSERV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62</v>
          </cell>
          <cell r="J2455" t="str">
            <v>PROSERV</v>
          </cell>
          <cell r="M2455">
            <v>100</v>
          </cell>
        </row>
        <row r="2456">
          <cell r="A2456" t="str">
            <v>PROSERV</v>
          </cell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G2456">
            <v>100</v>
          </cell>
          <cell r="J2456" t="str">
            <v>PROSERV</v>
          </cell>
          <cell r="N2456">
            <v>264</v>
          </cell>
        </row>
        <row r="2457">
          <cell r="A2457" t="str">
            <v>PROSERV</v>
          </cell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G2457">
            <v>264</v>
          </cell>
          <cell r="J2457" t="str">
            <v>PROSERV</v>
          </cell>
          <cell r="O2457">
            <v>60</v>
          </cell>
        </row>
        <row r="2458">
          <cell r="A2458" t="str">
            <v>PROSERV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G2458">
            <v>60</v>
          </cell>
          <cell r="J2458" t="str">
            <v>PROSERV</v>
          </cell>
          <cell r="T2458">
            <v>115</v>
          </cell>
        </row>
        <row r="2459">
          <cell r="A2459" t="str">
            <v>PROSERV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115</v>
          </cell>
          <cell r="J2459" t="str">
            <v>PROSERV</v>
          </cell>
          <cell r="S2459">
            <v>179</v>
          </cell>
        </row>
        <row r="2460">
          <cell r="A2460" t="str">
            <v>PROSERV</v>
          </cell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G2460">
            <v>179</v>
          </cell>
          <cell r="J2460" t="str">
            <v>PROSERV</v>
          </cell>
          <cell r="N2460">
            <v>50</v>
          </cell>
        </row>
        <row r="2461">
          <cell r="A2461" t="str">
            <v>PROSERV</v>
          </cell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G2461">
            <v>50</v>
          </cell>
          <cell r="J2461" t="str">
            <v>PROSERV</v>
          </cell>
          <cell r="N2461">
            <v>162</v>
          </cell>
        </row>
        <row r="2462">
          <cell r="A2462" t="str">
            <v>PROSERV</v>
          </cell>
          <cell r="C2462">
            <v>162</v>
          </cell>
          <cell r="D2462">
            <v>0</v>
          </cell>
          <cell r="E2462">
            <v>0</v>
          </cell>
          <cell r="F2462">
            <v>0</v>
          </cell>
          <cell r="G2462">
            <v>162</v>
          </cell>
          <cell r="J2462" t="str">
            <v>PROSERV</v>
          </cell>
          <cell r="M2462">
            <v>201</v>
          </cell>
        </row>
        <row r="2463">
          <cell r="A2463" t="str">
            <v>PROSERV</v>
          </cell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G2463">
            <v>201</v>
          </cell>
          <cell r="J2463" t="str">
            <v>PROSERV</v>
          </cell>
          <cell r="N2463">
            <v>0</v>
          </cell>
        </row>
        <row r="2464">
          <cell r="A2464" t="str">
            <v>PROSERV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J2464" t="str">
            <v>PROSERV</v>
          </cell>
          <cell r="N2464">
            <v>284</v>
          </cell>
        </row>
        <row r="2465">
          <cell r="A2465" t="str">
            <v>PROSERV</v>
          </cell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G2465">
            <v>284</v>
          </cell>
          <cell r="J2465" t="str">
            <v>PROSERV</v>
          </cell>
          <cell r="M2465">
            <v>150</v>
          </cell>
        </row>
        <row r="2466">
          <cell r="A2466" t="str">
            <v>PROSERV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150</v>
          </cell>
          <cell r="J2466" t="str">
            <v>PROSERV</v>
          </cell>
          <cell r="M2466">
            <v>390</v>
          </cell>
        </row>
        <row r="2467">
          <cell r="A2467" t="str">
            <v>PROSERV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390</v>
          </cell>
          <cell r="J2467" t="str">
            <v>PROSERV</v>
          </cell>
          <cell r="N2467">
            <v>120</v>
          </cell>
        </row>
        <row r="2468">
          <cell r="A2468" t="str">
            <v>PROSERV</v>
          </cell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G2468">
            <v>120</v>
          </cell>
          <cell r="J2468" t="str">
            <v>PROSERV</v>
          </cell>
          <cell r="N2468">
            <v>90</v>
          </cell>
        </row>
        <row r="2469">
          <cell r="A2469" t="str">
            <v>PROSERV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90</v>
          </cell>
          <cell r="J2469" t="str">
            <v>PROSERV</v>
          </cell>
          <cell r="N2469">
            <v>205</v>
          </cell>
        </row>
        <row r="2470">
          <cell r="A2470" t="str">
            <v>PROSERV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205</v>
          </cell>
          <cell r="J2470" t="str">
            <v>PROSERV</v>
          </cell>
          <cell r="N2470">
            <v>0</v>
          </cell>
        </row>
        <row r="2471">
          <cell r="A2471" t="str">
            <v>PROSERV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J2471" t="str">
            <v>PROSERV</v>
          </cell>
          <cell r="N2471">
            <v>165</v>
          </cell>
        </row>
        <row r="2472">
          <cell r="A2472" t="str">
            <v>PROSERV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G2472">
            <v>165</v>
          </cell>
          <cell r="J2472" t="str">
            <v>PROSERV</v>
          </cell>
          <cell r="N2472">
            <v>456</v>
          </cell>
        </row>
        <row r="2473">
          <cell r="A2473" t="str">
            <v>PROSERV</v>
          </cell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G2473">
            <v>456</v>
          </cell>
          <cell r="J2473" t="str">
            <v>PROSERV</v>
          </cell>
          <cell r="N2473">
            <v>251</v>
          </cell>
        </row>
        <row r="2474">
          <cell r="A2474" t="str">
            <v>PROSERV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251</v>
          </cell>
          <cell r="J2474" t="str">
            <v>PROSERV</v>
          </cell>
          <cell r="N2474">
            <v>60</v>
          </cell>
        </row>
        <row r="2475">
          <cell r="A2475" t="str">
            <v>PROSERV</v>
          </cell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G2475">
            <v>60</v>
          </cell>
          <cell r="J2475" t="str">
            <v>PROSERV</v>
          </cell>
          <cell r="M2475">
            <v>175</v>
          </cell>
        </row>
        <row r="2476">
          <cell r="A2476" t="str">
            <v>PROSERV</v>
          </cell>
          <cell r="C2476">
            <v>0</v>
          </cell>
          <cell r="D2476">
            <v>10</v>
          </cell>
          <cell r="E2476">
            <v>20</v>
          </cell>
          <cell r="F2476">
            <v>25</v>
          </cell>
          <cell r="G2476">
            <v>175</v>
          </cell>
          <cell r="J2476" t="str">
            <v>PROSERV</v>
          </cell>
          <cell r="Q2476">
            <v>4560</v>
          </cell>
        </row>
        <row r="2477">
          <cell r="A2477" t="str">
            <v>PROSERV</v>
          </cell>
          <cell r="C2477">
            <v>0</v>
          </cell>
          <cell r="D2477">
            <v>680</v>
          </cell>
          <cell r="E2477">
            <v>450</v>
          </cell>
          <cell r="F2477">
            <v>450</v>
          </cell>
          <cell r="G2477">
            <v>4560</v>
          </cell>
          <cell r="J2477" t="str">
            <v>PROSERV</v>
          </cell>
          <cell r="N2477">
            <v>0</v>
          </cell>
        </row>
        <row r="2478">
          <cell r="A2478" t="str">
            <v>PROSERV</v>
          </cell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J2478" t="str">
            <v>PROSERV</v>
          </cell>
          <cell r="M2478">
            <v>400</v>
          </cell>
        </row>
        <row r="2479">
          <cell r="A2479" t="str">
            <v>PROSERV</v>
          </cell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G2479">
            <v>400</v>
          </cell>
          <cell r="J2479" t="str">
            <v>PROSERV</v>
          </cell>
          <cell r="M2479">
            <v>100</v>
          </cell>
        </row>
        <row r="2480">
          <cell r="A2480" t="str">
            <v>PROSERV</v>
          </cell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G2480">
            <v>100</v>
          </cell>
          <cell r="J2480" t="str">
            <v>PROSERV</v>
          </cell>
          <cell r="M2480">
            <v>350</v>
          </cell>
        </row>
        <row r="2481">
          <cell r="A2481" t="str">
            <v>PROSERV</v>
          </cell>
          <cell r="C2481">
            <v>200</v>
          </cell>
          <cell r="D2481">
            <v>25</v>
          </cell>
          <cell r="E2481">
            <v>100</v>
          </cell>
          <cell r="F2481">
            <v>25</v>
          </cell>
          <cell r="G2481">
            <v>350</v>
          </cell>
          <cell r="J2481" t="str">
            <v>PROSERV</v>
          </cell>
          <cell r="M2481">
            <v>352</v>
          </cell>
        </row>
        <row r="2482">
          <cell r="A2482" t="str">
            <v>PROSERV</v>
          </cell>
          <cell r="C2482">
            <v>225</v>
          </cell>
          <cell r="D2482">
            <v>0</v>
          </cell>
          <cell r="E2482">
            <v>0</v>
          </cell>
          <cell r="F2482">
            <v>0</v>
          </cell>
          <cell r="G2482">
            <v>352</v>
          </cell>
          <cell r="J2482" t="str">
            <v>PROSERV</v>
          </cell>
          <cell r="N2482">
            <v>97</v>
          </cell>
        </row>
        <row r="2483">
          <cell r="A2483" t="str">
            <v>PROSERV</v>
          </cell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G2483">
            <v>97</v>
          </cell>
          <cell r="J2483" t="str">
            <v>PROSERV</v>
          </cell>
          <cell r="M2483">
            <v>40</v>
          </cell>
        </row>
        <row r="2484">
          <cell r="A2484" t="str">
            <v>PROSERV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G2484">
            <v>40</v>
          </cell>
          <cell r="J2484" t="str">
            <v>PROSERV</v>
          </cell>
          <cell r="M2484">
            <v>77</v>
          </cell>
        </row>
        <row r="2485">
          <cell r="A2485" t="str">
            <v>PROSERV</v>
          </cell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G2485">
            <v>77</v>
          </cell>
          <cell r="J2485" t="str">
            <v>PROSERV</v>
          </cell>
          <cell r="W2485">
            <v>0</v>
          </cell>
        </row>
        <row r="2486">
          <cell r="A2486" t="str">
            <v>PROSERV</v>
          </cell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J2486" t="str">
            <v>PROSERV</v>
          </cell>
          <cell r="U2486">
            <v>251</v>
          </cell>
        </row>
        <row r="2487">
          <cell r="A2487" t="str">
            <v>PROSERV</v>
          </cell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G2487">
            <v>251</v>
          </cell>
          <cell r="J2487" t="str">
            <v>PROSERV</v>
          </cell>
          <cell r="R2487">
            <v>130</v>
          </cell>
        </row>
        <row r="2488">
          <cell r="A2488" t="str">
            <v>PROSERV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130</v>
          </cell>
          <cell r="J2488" t="str">
            <v>PROSERV</v>
          </cell>
          <cell r="N2488">
            <v>120</v>
          </cell>
        </row>
        <row r="2489">
          <cell r="A2489" t="str">
            <v>PROSERV</v>
          </cell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G2489">
            <v>120</v>
          </cell>
          <cell r="J2489" t="str">
            <v>PROSERV</v>
          </cell>
          <cell r="V2489">
            <v>0</v>
          </cell>
        </row>
        <row r="2490">
          <cell r="A2490" t="str">
            <v>PROSERV</v>
          </cell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J2490" t="str">
            <v>PROSERV</v>
          </cell>
          <cell r="Y2490">
            <v>0</v>
          </cell>
        </row>
        <row r="2491">
          <cell r="A2491" t="str">
            <v>PROSERV</v>
          </cell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J2491" t="str">
            <v>PROSERV</v>
          </cell>
          <cell r="O2491">
            <v>0</v>
          </cell>
        </row>
        <row r="2492">
          <cell r="A2492" t="str">
            <v>PROSERV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J2492" t="str">
            <v>PROSERV</v>
          </cell>
          <cell r="M2492">
            <v>0</v>
          </cell>
        </row>
        <row r="2493">
          <cell r="A2493" t="str">
            <v>PROSERV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J2493" t="str">
            <v>PROSERV</v>
          </cell>
          <cell r="S2493">
            <v>200</v>
          </cell>
        </row>
        <row r="2494">
          <cell r="A2494" t="str">
            <v>PROSERV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200</v>
          </cell>
          <cell r="J2494" t="str">
            <v>PROSERV</v>
          </cell>
          <cell r="P2494">
            <v>173</v>
          </cell>
        </row>
        <row r="2495">
          <cell r="A2495" t="str">
            <v>PROSERV</v>
          </cell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G2495">
            <v>173</v>
          </cell>
          <cell r="J2495" t="str">
            <v>PROSERV</v>
          </cell>
          <cell r="M2495">
            <v>265</v>
          </cell>
        </row>
        <row r="2496">
          <cell r="A2496" t="str">
            <v>PROSERV</v>
          </cell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G2496">
            <v>265</v>
          </cell>
          <cell r="J2496" t="str">
            <v>PROSERV</v>
          </cell>
          <cell r="N2496">
            <v>130</v>
          </cell>
        </row>
        <row r="2497">
          <cell r="A2497" t="str">
            <v>PROSERV</v>
          </cell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G2497">
            <v>130</v>
          </cell>
          <cell r="J2497" t="str">
            <v>PROSERV</v>
          </cell>
          <cell r="T2497">
            <v>0</v>
          </cell>
        </row>
        <row r="2498">
          <cell r="A2498" t="str">
            <v>PROSERV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J2498" t="str">
            <v>PROSERV</v>
          </cell>
          <cell r="U2498">
            <v>0</v>
          </cell>
        </row>
        <row r="2499">
          <cell r="A2499" t="str">
            <v>PROSERV</v>
          </cell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J2499" t="str">
            <v>PROSERV</v>
          </cell>
          <cell r="O2499">
            <v>346</v>
          </cell>
        </row>
        <row r="2500">
          <cell r="A2500" t="str">
            <v>PROSERV</v>
          </cell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G2500">
            <v>346</v>
          </cell>
          <cell r="J2500" t="str">
            <v>PROCESADORA MONICA, S.A</v>
          </cell>
          <cell r="T2500">
            <v>73</v>
          </cell>
        </row>
        <row r="2501">
          <cell r="A2501" t="str">
            <v>PROCESADORA MONICA, S.A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73</v>
          </cell>
          <cell r="J2501" t="str">
            <v>PROCESADORA MONICA, S.A</v>
          </cell>
          <cell r="T2501">
            <v>635</v>
          </cell>
        </row>
        <row r="2502">
          <cell r="A2502" t="str">
            <v>PROCESADORA MONICA, S.A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635</v>
          </cell>
          <cell r="J2502" t="str">
            <v>PROCESADORA MONICA, S.A</v>
          </cell>
          <cell r="W2502">
            <v>0</v>
          </cell>
        </row>
        <row r="2503">
          <cell r="A2503" t="str">
            <v>PROCESADORA MONICA, S.A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J2503" t="str">
            <v>PROCESADORA MONICA, S.A</v>
          </cell>
          <cell r="U2503">
            <v>251</v>
          </cell>
        </row>
        <row r="2504">
          <cell r="A2504" t="str">
            <v>PROCESADORA MONICA, S.A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251</v>
          </cell>
          <cell r="J2504" t="str">
            <v>PROCESADORA MONICA, S.A</v>
          </cell>
          <cell r="Y2504">
            <v>0</v>
          </cell>
        </row>
        <row r="2505">
          <cell r="A2505" t="str">
            <v>PROCESADORA MONICA, S.A</v>
          </cell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J2505" t="str">
            <v>PROCESADORA MONICA, S.A</v>
          </cell>
          <cell r="V2505">
            <v>0</v>
          </cell>
        </row>
        <row r="2506">
          <cell r="A2506" t="str">
            <v>PROCESADORA MONICA, S.A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J2506" t="str">
            <v>SAMBU ARTISAN FOOD, S.A.</v>
          </cell>
          <cell r="O2506">
            <v>30</v>
          </cell>
        </row>
        <row r="2507">
          <cell r="A2507" t="str">
            <v>SAMBU ARTISAN FOOD, S.A.</v>
          </cell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G2507">
            <v>30</v>
          </cell>
          <cell r="J2507" t="str">
            <v>SAMBU ARTISAN FOOD, S.A.</v>
          </cell>
          <cell r="P2507">
            <v>102</v>
          </cell>
        </row>
        <row r="2508">
          <cell r="A2508" t="str">
            <v>SAMBU ARTISAN FOOD, S.A.</v>
          </cell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G2508">
            <v>102</v>
          </cell>
          <cell r="J2508" t="str">
            <v>SAMBU ARTISAN FOOD, S.A.</v>
          </cell>
          <cell r="Q2508">
            <v>1060</v>
          </cell>
        </row>
        <row r="2509">
          <cell r="A2509" t="str">
            <v>SAMBU ARTISAN FOOD, S.A.</v>
          </cell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G2509">
            <v>1060</v>
          </cell>
          <cell r="J2509" t="str">
            <v>SAMBU ARTISAN FOOD, S.A.</v>
          </cell>
          <cell r="N2509">
            <v>100</v>
          </cell>
        </row>
        <row r="2510">
          <cell r="A2510" t="str">
            <v>SAMBU ARTISAN FOOD, S.A.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100</v>
          </cell>
          <cell r="J2510" t="str">
            <v>SAMBU ARTISAN FOOD, S.A.</v>
          </cell>
          <cell r="R2510">
            <v>180</v>
          </cell>
        </row>
        <row r="2511">
          <cell r="A2511" t="str">
            <v>SAMBU ARTISAN FOOD, S.A.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180</v>
          </cell>
          <cell r="J2511" t="str">
            <v>SAMBU ARTISAN FOOD, S.A.</v>
          </cell>
          <cell r="S2511">
            <v>73</v>
          </cell>
        </row>
        <row r="2512">
          <cell r="A2512" t="str">
            <v>SAMBU ARTISAN FOOD, S.A.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G2512">
            <v>73</v>
          </cell>
          <cell r="J2512" t="str">
            <v>SAMBU ARTISAN FOOD, S.A.</v>
          </cell>
          <cell r="O2512">
            <v>65</v>
          </cell>
        </row>
        <row r="2513">
          <cell r="A2513" t="str">
            <v>SAMBU ARTISAN FOOD, S.A.</v>
          </cell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G2513">
            <v>65</v>
          </cell>
          <cell r="J2513" t="str">
            <v>SAMBU ARTISAN FOOD, S.A.</v>
          </cell>
          <cell r="O2513">
            <v>1090</v>
          </cell>
        </row>
        <row r="2514">
          <cell r="A2514" t="str">
            <v>SAMBU ARTISAN FOOD, S.A.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1090</v>
          </cell>
          <cell r="J2514" t="str">
            <v>SAMBU ARTISAN FOOD, S.A.</v>
          </cell>
          <cell r="N2514">
            <v>282</v>
          </cell>
        </row>
        <row r="2515">
          <cell r="A2515" t="str">
            <v>SAMBU ARTISAN FOOD, S.A.</v>
          </cell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G2515">
            <v>282</v>
          </cell>
          <cell r="J2515" t="str">
            <v>SAMBU ARTISAN FOOD, S.A.</v>
          </cell>
          <cell r="N2515">
            <v>62</v>
          </cell>
        </row>
        <row r="2516">
          <cell r="A2516" t="str">
            <v>SAMBU ARTISAN FOOD, S.A.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62</v>
          </cell>
          <cell r="J2516" t="str">
            <v>SAMBU ARTISAN FOOD, S.A.</v>
          </cell>
          <cell r="O2516">
            <v>116</v>
          </cell>
        </row>
        <row r="2517">
          <cell r="A2517" t="str">
            <v>SAMBU ARTISAN FOOD, S.A.</v>
          </cell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G2517">
            <v>116</v>
          </cell>
          <cell r="J2517" t="str">
            <v>SAMBU ARTISAN FOOD, S.A.</v>
          </cell>
          <cell r="M2517">
            <v>155</v>
          </cell>
        </row>
        <row r="2518">
          <cell r="A2518" t="str">
            <v>SAMBU ARTISAN FOOD, S.A.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155</v>
          </cell>
          <cell r="J2518" t="str">
            <v>SAMBU ARTISAN FOOD, S.A.</v>
          </cell>
          <cell r="M2518">
            <v>100</v>
          </cell>
        </row>
        <row r="2519">
          <cell r="A2519" t="str">
            <v>SAMBU ARTISAN FOOD, S.A.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100</v>
          </cell>
          <cell r="J2519" t="str">
            <v>SAMBU ARTISAN FOOD, S.A.</v>
          </cell>
          <cell r="O2519">
            <v>60</v>
          </cell>
        </row>
        <row r="2520">
          <cell r="A2520" t="str">
            <v>SAMBU ARTISAN FOOD, S.A.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60</v>
          </cell>
          <cell r="J2520" t="str">
            <v>SAMBU ARTISAN FOOD, S.A.</v>
          </cell>
          <cell r="S2520">
            <v>179</v>
          </cell>
        </row>
        <row r="2521">
          <cell r="A2521" t="str">
            <v>SAMBU ARTISAN FOOD, S.A.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179</v>
          </cell>
          <cell r="J2521" t="str">
            <v>SAMBU ARTISAN FOOD, S.A.</v>
          </cell>
          <cell r="N2521">
            <v>162</v>
          </cell>
        </row>
        <row r="2522">
          <cell r="A2522" t="str">
            <v>SAMBU ARTISAN FOOD, S.A.</v>
          </cell>
          <cell r="C2522">
            <v>162</v>
          </cell>
          <cell r="D2522">
            <v>0</v>
          </cell>
          <cell r="E2522">
            <v>0</v>
          </cell>
          <cell r="F2522">
            <v>0</v>
          </cell>
          <cell r="G2522">
            <v>162</v>
          </cell>
          <cell r="J2522" t="str">
            <v>SAMBU ARTISAN FOOD, S.A.</v>
          </cell>
          <cell r="M2522">
            <v>201</v>
          </cell>
        </row>
        <row r="2523">
          <cell r="A2523" t="str">
            <v>SAMBU ARTISAN FOOD, S.A.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201</v>
          </cell>
          <cell r="J2523" t="str">
            <v>SAMBU ARTISAN FOOD, S.A.</v>
          </cell>
          <cell r="N2523">
            <v>284</v>
          </cell>
        </row>
        <row r="2524">
          <cell r="A2524" t="str">
            <v>SAMBU ARTISAN FOOD, S.A.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284</v>
          </cell>
          <cell r="J2524" t="str">
            <v>SAMBU ARTISAN FOOD, S.A.</v>
          </cell>
          <cell r="M2524">
            <v>150</v>
          </cell>
        </row>
        <row r="2525">
          <cell r="A2525" t="str">
            <v>SAMBU ARTISAN FOOD, S.A.</v>
          </cell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G2525">
            <v>150</v>
          </cell>
          <cell r="J2525" t="str">
            <v>SAMBU ARTISAN FOOD, S.A.</v>
          </cell>
          <cell r="N2525">
            <v>50</v>
          </cell>
        </row>
        <row r="2526">
          <cell r="A2526" t="str">
            <v>SAMBU ARTISAN FOOD, S.A.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50</v>
          </cell>
          <cell r="J2526" t="str">
            <v>SAMBU ARTISAN FOOD, S.A.</v>
          </cell>
          <cell r="Q2526">
            <v>83</v>
          </cell>
        </row>
        <row r="2527">
          <cell r="A2527" t="str">
            <v>SAMBU ARTISAN FOOD, S.A.</v>
          </cell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G2527">
            <v>83</v>
          </cell>
          <cell r="J2527" t="str">
            <v>SAMBU ARTISAN FOOD, S.A.</v>
          </cell>
          <cell r="O2527">
            <v>256</v>
          </cell>
        </row>
        <row r="2528">
          <cell r="A2528" t="str">
            <v>SAMBU ARTISAN FOOD, S.A.</v>
          </cell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G2528">
            <v>256</v>
          </cell>
          <cell r="J2528" t="str">
            <v>SAMBU ARTISAN FOOD, S.A.</v>
          </cell>
          <cell r="M2528">
            <v>400</v>
          </cell>
        </row>
        <row r="2529">
          <cell r="A2529" t="str">
            <v>SAMBU ARTISAN FOOD, S.A.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400</v>
          </cell>
          <cell r="J2529" t="str">
            <v>SAMBU ARTISAN FOOD, S.A.</v>
          </cell>
          <cell r="M2529">
            <v>100</v>
          </cell>
        </row>
        <row r="2530">
          <cell r="A2530" t="str">
            <v>SAMBU ARTISAN FOOD, S.A.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100</v>
          </cell>
          <cell r="J2530" t="str">
            <v>SAMBU ARTISAN FOOD, S.A.</v>
          </cell>
          <cell r="M2530">
            <v>352</v>
          </cell>
        </row>
        <row r="2531">
          <cell r="A2531" t="str">
            <v>SAMBU ARTISAN FOOD, S.A.</v>
          </cell>
          <cell r="C2531">
            <v>225</v>
          </cell>
          <cell r="D2531">
            <v>0</v>
          </cell>
          <cell r="E2531">
            <v>0</v>
          </cell>
          <cell r="F2531">
            <v>0</v>
          </cell>
          <cell r="G2531">
            <v>352</v>
          </cell>
          <cell r="J2531" t="str">
            <v>SAMBU ARTISAN FOOD, S.A.</v>
          </cell>
          <cell r="N2531">
            <v>97</v>
          </cell>
        </row>
        <row r="2532">
          <cell r="A2532" t="str">
            <v>SAMBU ARTISAN FOOD, S.A.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97</v>
          </cell>
          <cell r="J2532" t="str">
            <v>SAMBU ARTISAN FOOD, S.A.</v>
          </cell>
          <cell r="M2532">
            <v>77</v>
          </cell>
        </row>
        <row r="2533">
          <cell r="A2533" t="str">
            <v>SAMBU ARTISAN FOOD, S.A.</v>
          </cell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G2533">
            <v>77</v>
          </cell>
          <cell r="J2533" t="str">
            <v>SAMBU ARTISAN FOOD, S.A.</v>
          </cell>
          <cell r="S2533">
            <v>150</v>
          </cell>
        </row>
        <row r="2534">
          <cell r="A2534" t="str">
            <v>SAMBU ARTISAN FOOD, S.A.</v>
          </cell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G2534">
            <v>150</v>
          </cell>
          <cell r="J2534" t="str">
            <v>SAMBU ARTISAN FOOD, S.A.</v>
          </cell>
          <cell r="P2534">
            <v>173</v>
          </cell>
        </row>
        <row r="2535">
          <cell r="A2535" t="str">
            <v>SAMBU ARTISAN FOOD, S.A.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173</v>
          </cell>
          <cell r="J2535" t="str">
            <v>SAMBU ARTISAN FOOD, S.A.</v>
          </cell>
          <cell r="M2535">
            <v>52</v>
          </cell>
        </row>
        <row r="2536">
          <cell r="A2536" t="str">
            <v>SAMBU ARTISAN FOOD, S.A.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52</v>
          </cell>
          <cell r="J2536" t="str">
            <v>SAMBU ARTISAN FOOD, S.A.</v>
          </cell>
          <cell r="P2536">
            <v>150</v>
          </cell>
        </row>
        <row r="2537">
          <cell r="A2537" t="str">
            <v>SAMBU ARTISAN FOOD, S.A.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150</v>
          </cell>
          <cell r="J2537" t="str">
            <v>SAMBU ARTISAN FOOD, S.A.</v>
          </cell>
          <cell r="M2537">
            <v>630</v>
          </cell>
        </row>
        <row r="2538">
          <cell r="A2538" t="str">
            <v>SAMBU ARTISAN FOOD, S.A.</v>
          </cell>
          <cell r="C2538">
            <v>0</v>
          </cell>
          <cell r="D2538">
            <v>120</v>
          </cell>
          <cell r="E2538">
            <v>180</v>
          </cell>
          <cell r="F2538">
            <v>60</v>
          </cell>
          <cell r="G2538">
            <v>630</v>
          </cell>
          <cell r="J2538" t="str">
            <v>SAMBU ARTISAN FOOD, S.A.</v>
          </cell>
          <cell r="N2538">
            <v>0</v>
          </cell>
        </row>
        <row r="2539">
          <cell r="A2539" t="str">
            <v>SAMBU ARTISAN FOOD, S.A.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J2539" t="str">
            <v>NUEVO HUNG SHENG</v>
          </cell>
          <cell r="M2539">
            <v>325</v>
          </cell>
        </row>
        <row r="2540">
          <cell r="A2540" t="str">
            <v>NUEVO HUNG SHENG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325</v>
          </cell>
          <cell r="J2540" t="str">
            <v>NUEVO HUNG SHENG</v>
          </cell>
          <cell r="P2540">
            <v>102</v>
          </cell>
        </row>
        <row r="2541">
          <cell r="A2541" t="str">
            <v>NUEVO HUNG SHENG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102</v>
          </cell>
          <cell r="J2541" t="str">
            <v>NUEVO HUNG SHENG</v>
          </cell>
          <cell r="N2541">
            <v>100</v>
          </cell>
        </row>
        <row r="2542">
          <cell r="A2542" t="str">
            <v>NUEVO HUNG SHENG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100</v>
          </cell>
          <cell r="J2542" t="str">
            <v>NUEVO HUNG SHENG</v>
          </cell>
          <cell r="O2542">
            <v>180</v>
          </cell>
        </row>
        <row r="2543">
          <cell r="A2543" t="str">
            <v>NUEVO HUNG SHENG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180</v>
          </cell>
          <cell r="J2543" t="str">
            <v>NUEVO HUNG SHENG</v>
          </cell>
          <cell r="N2543">
            <v>100</v>
          </cell>
        </row>
        <row r="2544">
          <cell r="A2544" t="str">
            <v>NUEVO HUNG SHENG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100</v>
          </cell>
          <cell r="J2544" t="str">
            <v>NUEVO HUNG SHENG</v>
          </cell>
          <cell r="R2544">
            <v>180</v>
          </cell>
        </row>
        <row r="2545">
          <cell r="A2545" t="str">
            <v>NUEVO HUNG SHENG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180</v>
          </cell>
          <cell r="J2545" t="str">
            <v>NUEVO HUNG SHENG</v>
          </cell>
          <cell r="O2545">
            <v>1090</v>
          </cell>
        </row>
        <row r="2546">
          <cell r="A2546" t="str">
            <v>NUEVO HUNG SHENG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1090</v>
          </cell>
          <cell r="J2546" t="str">
            <v>NUEVO HUNG SHENG</v>
          </cell>
          <cell r="N2546">
            <v>282</v>
          </cell>
        </row>
        <row r="2547">
          <cell r="A2547" t="str">
            <v>NUEVO HUNG SHENG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282</v>
          </cell>
          <cell r="J2547" t="str">
            <v>NUEVO HUNG SHENG</v>
          </cell>
          <cell r="N2547">
            <v>70</v>
          </cell>
        </row>
        <row r="2548">
          <cell r="A2548" t="str">
            <v>NUEVO HUNG SHENG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70</v>
          </cell>
          <cell r="J2548" t="str">
            <v>NUEVO HUNG SHENG</v>
          </cell>
          <cell r="N2548">
            <v>542</v>
          </cell>
        </row>
        <row r="2549">
          <cell r="A2549" t="str">
            <v>NUEVO HUNG SHENG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542</v>
          </cell>
          <cell r="J2549" t="str">
            <v>NUEVO HUNG SHENG</v>
          </cell>
          <cell r="S2549">
            <v>211</v>
          </cell>
        </row>
        <row r="2550">
          <cell r="A2550" t="str">
            <v>NUEVO HUNG SHENG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211</v>
          </cell>
          <cell r="J2550" t="str">
            <v>NUEVO HUNG SHENG</v>
          </cell>
          <cell r="M2550">
            <v>215</v>
          </cell>
        </row>
        <row r="2551">
          <cell r="A2551" t="str">
            <v>NUEVO HUNG SHENG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215</v>
          </cell>
          <cell r="J2551" t="str">
            <v>NUEVO HUNG SHENG</v>
          </cell>
          <cell r="N2551">
            <v>264</v>
          </cell>
        </row>
        <row r="2552">
          <cell r="A2552" t="str">
            <v>NUEVO HUNG SHENG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264</v>
          </cell>
          <cell r="J2552" t="str">
            <v>NUEVO HUNG SHENG</v>
          </cell>
          <cell r="O2552">
            <v>60</v>
          </cell>
        </row>
        <row r="2553">
          <cell r="A2553" t="str">
            <v>NUEVO HUNG SHENG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60</v>
          </cell>
          <cell r="J2553" t="str">
            <v>NUEVO HUNG SHENG</v>
          </cell>
          <cell r="N2553">
            <v>50</v>
          </cell>
        </row>
        <row r="2554">
          <cell r="A2554" t="str">
            <v>NUEVO HUNG SHENG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50</v>
          </cell>
          <cell r="J2554" t="str">
            <v>NUEVO HUNG SHENG</v>
          </cell>
          <cell r="N2554">
            <v>162</v>
          </cell>
        </row>
        <row r="2555">
          <cell r="A2555" t="str">
            <v>NUEVO HUNG SHENG</v>
          </cell>
          <cell r="C2555">
            <v>162</v>
          </cell>
          <cell r="D2555">
            <v>0</v>
          </cell>
          <cell r="E2555">
            <v>0</v>
          </cell>
          <cell r="F2555">
            <v>0</v>
          </cell>
          <cell r="G2555">
            <v>162</v>
          </cell>
          <cell r="J2555" t="str">
            <v>NUEVO HUNG SHENG</v>
          </cell>
          <cell r="N2555">
            <v>86</v>
          </cell>
        </row>
        <row r="2556">
          <cell r="A2556" t="str">
            <v>NUEVO HUNG SHENG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86</v>
          </cell>
          <cell r="J2556" t="str">
            <v>NUEVO HUNG SHENG</v>
          </cell>
          <cell r="M2556">
            <v>201</v>
          </cell>
        </row>
        <row r="2557">
          <cell r="A2557" t="str">
            <v>NUEVO HUNG SHENG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201</v>
          </cell>
          <cell r="J2557" t="str">
            <v>NUEVO HUNG SHENG</v>
          </cell>
          <cell r="N2557">
            <v>201</v>
          </cell>
        </row>
        <row r="2558">
          <cell r="A2558" t="str">
            <v>NUEVO HUNG SHENG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>
            <v>201</v>
          </cell>
          <cell r="J2558" t="str">
            <v>NUEVO HUNG SHENG</v>
          </cell>
          <cell r="N2558">
            <v>0</v>
          </cell>
        </row>
        <row r="2559">
          <cell r="A2559" t="str">
            <v>NUEVO HUNG SHENG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J2559" t="str">
            <v>NUEVO HUNG SHENG</v>
          </cell>
          <cell r="O2559">
            <v>1200</v>
          </cell>
        </row>
        <row r="2560">
          <cell r="A2560" t="str">
            <v>NUEVO HUNG SHENG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>
            <v>1200</v>
          </cell>
          <cell r="J2560" t="str">
            <v>NUEVO HUNG SHENG</v>
          </cell>
          <cell r="M2560">
            <v>390</v>
          </cell>
        </row>
        <row r="2561">
          <cell r="A2561" t="str">
            <v>NUEVO HUNG SHENG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>
            <v>390</v>
          </cell>
          <cell r="J2561" t="str">
            <v>NUEVO HUNG SHENG</v>
          </cell>
          <cell r="O2561">
            <v>410</v>
          </cell>
        </row>
        <row r="2562">
          <cell r="A2562" t="str">
            <v>NUEVO HUNG SHENG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>
            <v>410</v>
          </cell>
          <cell r="J2562" t="str">
            <v>NUEVO HUNG SHENG</v>
          </cell>
          <cell r="O2562">
            <v>140</v>
          </cell>
        </row>
        <row r="2563">
          <cell r="A2563" t="str">
            <v>NUEVO HUNG SHENG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>
            <v>140</v>
          </cell>
          <cell r="J2563" t="str">
            <v>NUEVO HUNG SHENG</v>
          </cell>
          <cell r="N2563">
            <v>250</v>
          </cell>
        </row>
        <row r="2564">
          <cell r="A2564" t="str">
            <v>NUEVO HUNG SHENG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>
            <v>250</v>
          </cell>
          <cell r="J2564" t="str">
            <v>NUEVO HUNG SHENG</v>
          </cell>
          <cell r="N2564">
            <v>230</v>
          </cell>
        </row>
        <row r="2565">
          <cell r="A2565" t="str">
            <v>NUEVO HUNG SHENG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>
            <v>230</v>
          </cell>
          <cell r="J2565" t="str">
            <v>NUEVO HUNG SHENG</v>
          </cell>
          <cell r="N2565">
            <v>0</v>
          </cell>
        </row>
        <row r="2566">
          <cell r="A2566" t="str">
            <v>NUEVO HUNG SHENG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J2566" t="str">
            <v>NUEVO HUNG SHENG</v>
          </cell>
          <cell r="N2566">
            <v>251</v>
          </cell>
        </row>
        <row r="2567">
          <cell r="A2567" t="str">
            <v>NUEVO HUNG SHENG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251</v>
          </cell>
          <cell r="J2567" t="str">
            <v>NUEVO HUNG SHENG</v>
          </cell>
          <cell r="N2567">
            <v>60</v>
          </cell>
        </row>
        <row r="2568">
          <cell r="A2568" t="str">
            <v>NUEVO HUNG SHENG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60</v>
          </cell>
          <cell r="J2568" t="str">
            <v>NUEVO HUNG SHENG</v>
          </cell>
          <cell r="O2568">
            <v>219</v>
          </cell>
        </row>
        <row r="2569">
          <cell r="A2569" t="str">
            <v>NUEVO HUNG SHENG</v>
          </cell>
          <cell r="C2569">
            <v>0</v>
          </cell>
          <cell r="D2569">
            <v>16</v>
          </cell>
          <cell r="E2569">
            <v>19</v>
          </cell>
          <cell r="F2569">
            <v>19</v>
          </cell>
          <cell r="G2569">
            <v>219</v>
          </cell>
          <cell r="J2569" t="str">
            <v>NUEVO HUNG SHENG</v>
          </cell>
          <cell r="Q2569">
            <v>83</v>
          </cell>
        </row>
        <row r="2570">
          <cell r="A2570" t="str">
            <v>NUEVO HUNG SHENG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>
            <v>83</v>
          </cell>
          <cell r="J2570" t="str">
            <v>NUEVO HUNG SHENG</v>
          </cell>
          <cell r="M2570">
            <v>265</v>
          </cell>
        </row>
        <row r="2571">
          <cell r="A2571" t="str">
            <v>NUEVO HUNG SHENG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265</v>
          </cell>
          <cell r="J2571" t="str">
            <v>NUEVO HUNG SHENG</v>
          </cell>
          <cell r="S2571">
            <v>152</v>
          </cell>
        </row>
        <row r="2572">
          <cell r="A2572" t="str">
            <v>NUEVO HUNG SHENG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>
            <v>152</v>
          </cell>
          <cell r="J2572" t="str">
            <v>NUEVO HUNG SHENG</v>
          </cell>
          <cell r="Q2572">
            <v>60</v>
          </cell>
        </row>
        <row r="2573">
          <cell r="A2573" t="str">
            <v>NUEVO HUNG SHENG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60</v>
          </cell>
          <cell r="J2573" t="str">
            <v>NUEVO HUNG SHENG</v>
          </cell>
        </row>
        <row r="2574">
          <cell r="A2574" t="str">
            <v>NUEVO HUNG SHENG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>
            <v>0</v>
          </cell>
          <cell r="J2574" t="str">
            <v>NUEVO HUNG SHENG</v>
          </cell>
          <cell r="Q2574">
            <v>496</v>
          </cell>
        </row>
        <row r="2575">
          <cell r="A2575" t="str">
            <v>NUEVO HUNG SHENG</v>
          </cell>
          <cell r="C2575">
            <v>73</v>
          </cell>
          <cell r="D2575">
            <v>0</v>
          </cell>
          <cell r="E2575">
            <v>0</v>
          </cell>
          <cell r="F2575">
            <v>0</v>
          </cell>
          <cell r="G2575">
            <v>496</v>
          </cell>
          <cell r="J2575" t="str">
            <v>NUEVO HUNG SHENG</v>
          </cell>
          <cell r="M2575">
            <v>400</v>
          </cell>
        </row>
        <row r="2576">
          <cell r="A2576" t="str">
            <v>NUEVO HUNG SHENG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400</v>
          </cell>
          <cell r="J2576" t="str">
            <v>NUEVO HUNG SHENG</v>
          </cell>
          <cell r="M2576">
            <v>100</v>
          </cell>
        </row>
        <row r="2577">
          <cell r="A2577" t="str">
            <v>NUEVO HUNG SHENG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>
            <v>100</v>
          </cell>
          <cell r="J2577" t="str">
            <v>NUEVO HUNG SHENG</v>
          </cell>
          <cell r="S2577">
            <v>96</v>
          </cell>
        </row>
        <row r="2578">
          <cell r="A2578" t="str">
            <v>NUEVO HUNG SHENG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>
            <v>96</v>
          </cell>
          <cell r="J2578" t="str">
            <v>NUEVO HUNG SHENG</v>
          </cell>
          <cell r="N2578">
            <v>203.6</v>
          </cell>
        </row>
        <row r="2579">
          <cell r="A2579" t="str">
            <v>NUEVO HUNG SHENG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98</v>
          </cell>
          <cell r="J2579" t="str">
            <v>NUEVO HUNG SHENG</v>
          </cell>
          <cell r="N2579">
            <v>97</v>
          </cell>
        </row>
        <row r="2580">
          <cell r="A2580" t="str">
            <v>NUEVO HUNG SHENG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>
            <v>230</v>
          </cell>
          <cell r="J2580" t="str">
            <v>NUEVO HUNG SHENG</v>
          </cell>
          <cell r="M2580">
            <v>77</v>
          </cell>
        </row>
        <row r="2581">
          <cell r="A2581" t="str">
            <v>NUEVO HUNG SHENG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>
            <v>97</v>
          </cell>
          <cell r="J2581" t="str">
            <v>NUEVO HUNG SHENG</v>
          </cell>
          <cell r="S2581">
            <v>40</v>
          </cell>
        </row>
        <row r="2582">
          <cell r="A2582" t="str">
            <v>NUEVO HUNG SHENG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>
            <v>77</v>
          </cell>
          <cell r="J2582" t="str">
            <v>NUEVO HUNG SHENG</v>
          </cell>
          <cell r="S2582">
            <v>50</v>
          </cell>
        </row>
        <row r="2583">
          <cell r="A2583" t="str">
            <v>NUEVO HUNG SHENG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40</v>
          </cell>
          <cell r="J2583" t="str">
            <v>NUEVO HUNG SHENG</v>
          </cell>
          <cell r="O2583">
            <v>0</v>
          </cell>
        </row>
        <row r="2584">
          <cell r="A2584" t="str">
            <v>NUEVO HUNG SHENG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50</v>
          </cell>
          <cell r="J2584" t="str">
            <v>NUEVO HUNG SHENG</v>
          </cell>
          <cell r="M2584">
            <v>209</v>
          </cell>
        </row>
        <row r="2585">
          <cell r="A2585" t="str">
            <v>NUEVO HUNG SHENG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J2585" t="str">
            <v>NUEVO HUNG SHENG</v>
          </cell>
          <cell r="S2585">
            <v>150</v>
          </cell>
        </row>
        <row r="2586">
          <cell r="A2586" t="str">
            <v>NUEVO HUNG SHENG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209</v>
          </cell>
          <cell r="J2586" t="str">
            <v>NUEVO HUNG SHENG</v>
          </cell>
          <cell r="N2586">
            <v>6</v>
          </cell>
        </row>
        <row r="2587">
          <cell r="A2587" t="str">
            <v>NUEVO HUNG SHENG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150</v>
          </cell>
          <cell r="J2587" t="str">
            <v>NUEVO HUNG SHENG</v>
          </cell>
          <cell r="M2587">
            <v>1300</v>
          </cell>
        </row>
        <row r="2588">
          <cell r="A2588" t="str">
            <v>NUEVO HUNG SHENG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6</v>
          </cell>
          <cell r="J2588" t="str">
            <v>NUEVO HUNG SHENG</v>
          </cell>
          <cell r="M2588">
            <v>630</v>
          </cell>
        </row>
        <row r="2589">
          <cell r="A2589" t="str">
            <v>NUEVO HUNG SHENG</v>
          </cell>
          <cell r="C2589">
            <v>100</v>
          </cell>
          <cell r="D2589">
            <v>0</v>
          </cell>
          <cell r="E2589">
            <v>0</v>
          </cell>
          <cell r="F2589">
            <v>0</v>
          </cell>
          <cell r="G2589">
            <v>1300</v>
          </cell>
          <cell r="J2589" t="str">
            <v>NUEVO HUNG SHENG</v>
          </cell>
          <cell r="S2589">
            <v>40</v>
          </cell>
        </row>
        <row r="2590">
          <cell r="A2590" t="str">
            <v>NUEVO HUNG SHENG</v>
          </cell>
          <cell r="C2590">
            <v>0</v>
          </cell>
          <cell r="D2590">
            <v>120</v>
          </cell>
          <cell r="E2590">
            <v>180</v>
          </cell>
          <cell r="F2590">
            <v>60</v>
          </cell>
          <cell r="G2590">
            <v>630</v>
          </cell>
          <cell r="J2590" t="str">
            <v>IMPORTADORA Y EXPORTADORA NIMAR</v>
          </cell>
          <cell r="R2590">
            <v>180</v>
          </cell>
        </row>
        <row r="2591">
          <cell r="A2591" t="str">
            <v>NUEVO HUNG SHENG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>
            <v>40</v>
          </cell>
          <cell r="J2591" t="str">
            <v>IMPORTADORA Y EXPORTADORA NIMAR</v>
          </cell>
          <cell r="O2591">
            <v>65</v>
          </cell>
        </row>
        <row r="2592">
          <cell r="A2592" t="str">
            <v>IMPORTADORA Y EXPORTADORA NIMAR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>
            <v>180</v>
          </cell>
          <cell r="J2592" t="str">
            <v>IMPORTADORA Y EXPORTADORA NIMAR</v>
          </cell>
          <cell r="O2592">
            <v>1090</v>
          </cell>
        </row>
        <row r="2593">
          <cell r="A2593" t="str">
            <v>IMPORTADORA Y EXPORTADORA NIMAR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>
            <v>65</v>
          </cell>
          <cell r="J2593" t="str">
            <v>IMPORTADORA Y EXPORTADORA NIMAR</v>
          </cell>
          <cell r="M2593">
            <v>0</v>
          </cell>
        </row>
        <row r="2594">
          <cell r="A2594" t="str">
            <v>IMPORTADORA Y EXPORTADORA NIMAR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1090</v>
          </cell>
          <cell r="J2594" t="str">
            <v>IMPORTADORA Y EXPORTADORA NIMAR</v>
          </cell>
          <cell r="N2594">
            <v>282</v>
          </cell>
        </row>
        <row r="2595">
          <cell r="A2595" t="str">
            <v>IMPORTADORA Y EXPORTADORA NIMAR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>
            <v>0</v>
          </cell>
          <cell r="J2595" t="str">
            <v>IMPORTADORA Y EXPORTADORA NIMAR</v>
          </cell>
          <cell r="N2595">
            <v>62</v>
          </cell>
        </row>
        <row r="2596">
          <cell r="A2596" t="str">
            <v>IMPORTADORA Y EXPORTADORA NIMAR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>
            <v>282</v>
          </cell>
          <cell r="J2596" t="str">
            <v>IMPORTADORA Y EXPORTADORA NIMAR</v>
          </cell>
          <cell r="O2596">
            <v>116</v>
          </cell>
        </row>
        <row r="2597">
          <cell r="A2597" t="str">
            <v>IMPORTADORA Y EXPORTADORA NIMAR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>
            <v>62</v>
          </cell>
          <cell r="J2597" t="str">
            <v>IMPORTADORA Y EXPORTADORA NIMAR</v>
          </cell>
          <cell r="N2597">
            <v>542</v>
          </cell>
        </row>
        <row r="2598">
          <cell r="A2598" t="str">
            <v>IMPORTADORA Y EXPORTADORA NIMAR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>
            <v>116</v>
          </cell>
          <cell r="J2598" t="str">
            <v>IMPORTADORA Y EXPORTADORA NIMAR</v>
          </cell>
          <cell r="O2598">
            <v>138</v>
          </cell>
        </row>
        <row r="2599">
          <cell r="A2599" t="str">
            <v>IMPORTADORA Y EXPORTADORA NIMAR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542</v>
          </cell>
          <cell r="J2599" t="str">
            <v>IMPORTADORA Y EXPORTADORA NIMAR</v>
          </cell>
          <cell r="N2599">
            <v>147</v>
          </cell>
        </row>
        <row r="2600">
          <cell r="A2600" t="str">
            <v>IMPORTADORA Y EXPORTADORA NIMAR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138</v>
          </cell>
          <cell r="J2600" t="str">
            <v>IMPORTADORA Y EXPORTADORA NIMAR</v>
          </cell>
          <cell r="N2600">
            <v>62</v>
          </cell>
        </row>
        <row r="2601">
          <cell r="A2601" t="str">
            <v>IMPORTADORA Y EXPORTADORA NIMAR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147</v>
          </cell>
          <cell r="J2601" t="str">
            <v>IMPORTADORA Y EXPORTADORA NIMAR</v>
          </cell>
          <cell r="N2601">
            <v>50</v>
          </cell>
        </row>
        <row r="2602">
          <cell r="A2602" t="str">
            <v>IMPORTADORA Y EXPORTADORA NIMAR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62</v>
          </cell>
          <cell r="J2602" t="str">
            <v>IMPORTADORA Y EXPORTADORA NIMAR</v>
          </cell>
          <cell r="N2602">
            <v>86</v>
          </cell>
        </row>
        <row r="2603">
          <cell r="A2603" t="str">
            <v>IMPORTADORA Y EXPORTADORA NIMAR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50</v>
          </cell>
          <cell r="J2603" t="str">
            <v>IMPORTADORA Y EXPORTADORA NIMAR</v>
          </cell>
          <cell r="M2603">
            <v>201</v>
          </cell>
        </row>
        <row r="2604">
          <cell r="A2604" t="str">
            <v>IMPORTADORA Y EXPORTADORA NIMAR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86</v>
          </cell>
          <cell r="J2604" t="str">
            <v>IMPORTADORA Y EXPORTADORA NIMAR</v>
          </cell>
          <cell r="M2604">
            <v>150</v>
          </cell>
        </row>
        <row r="2605">
          <cell r="A2605" t="str">
            <v>IMPORTADORA Y EXPORTADORA NIMAR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201</v>
          </cell>
          <cell r="J2605" t="str">
            <v>IMPORTADORA Y EXPORTADORA NIMAR</v>
          </cell>
          <cell r="M2605">
            <v>390</v>
          </cell>
        </row>
        <row r="2606">
          <cell r="A2606" t="str">
            <v>IMPORTADORA Y EXPORTADORA NIMAR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>
            <v>150</v>
          </cell>
          <cell r="J2606" t="str">
            <v>IMPORTADORA Y EXPORTADORA NIMAR</v>
          </cell>
          <cell r="N2606">
            <v>120</v>
          </cell>
        </row>
        <row r="2607">
          <cell r="A2607" t="str">
            <v>IMPORTADORA Y EXPORTADORA NIMAR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>
            <v>390</v>
          </cell>
          <cell r="J2607" t="str">
            <v>IMPORTADORA Y EXPORTADORA NIMAR</v>
          </cell>
          <cell r="N2607">
            <v>90</v>
          </cell>
        </row>
        <row r="2608">
          <cell r="A2608" t="str">
            <v>IMPORTADORA Y EXPORTADORA NIMAR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>
            <v>120</v>
          </cell>
          <cell r="J2608" t="str">
            <v>IMPORTADORA Y EXPORTADORA NIMAR</v>
          </cell>
          <cell r="N2608">
            <v>456</v>
          </cell>
        </row>
        <row r="2609">
          <cell r="A2609" t="str">
            <v>IMPORTADORA Y EXPORTADORA NIMAR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>
            <v>90</v>
          </cell>
          <cell r="J2609" t="str">
            <v>IMPORTADORA Y EXPORTADORA NIMAR</v>
          </cell>
          <cell r="N2609">
            <v>60</v>
          </cell>
        </row>
        <row r="2610">
          <cell r="A2610" t="str">
            <v>IMPORTADORA Y EXPORTADORA NIMAR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456</v>
          </cell>
          <cell r="J2610" t="str">
            <v>IMPORTADORA Y EXPORTADORA NIMAR</v>
          </cell>
          <cell r="N2610">
            <v>75</v>
          </cell>
        </row>
        <row r="2611">
          <cell r="A2611" t="str">
            <v>IMPORTADORA Y EXPORTADORA NIMAR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60</v>
          </cell>
          <cell r="J2611" t="str">
            <v>IMPORTADORA Y EXPORTADORA NIMAR</v>
          </cell>
          <cell r="Q2611">
            <v>60</v>
          </cell>
        </row>
        <row r="2612">
          <cell r="A2612" t="str">
            <v>IMPORTADORA Y EXPORTADORA NIMAR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>
            <v>75</v>
          </cell>
          <cell r="J2612" t="str">
            <v>IMPORTADORA Y EXPORTADORA NIMAR</v>
          </cell>
          <cell r="M2612">
            <v>400</v>
          </cell>
        </row>
        <row r="2613">
          <cell r="A2613" t="str">
            <v>IMPORTADORA Y EXPORTADORA NIMAR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>
            <v>60</v>
          </cell>
          <cell r="J2613" t="str">
            <v>IMPORTADORA Y EXPORTADORA NIMAR</v>
          </cell>
          <cell r="O2613">
            <v>34</v>
          </cell>
        </row>
        <row r="2614">
          <cell r="A2614" t="str">
            <v>IMPORTADORA Y EXPORTADORA NIMAR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400</v>
          </cell>
          <cell r="J2614" t="str">
            <v>IMPORTADORA Y EXPORTADORA NIMAR</v>
          </cell>
          <cell r="S2614">
            <v>96</v>
          </cell>
        </row>
        <row r="2615">
          <cell r="A2615" t="str">
            <v>IMPORTADORA Y EXPORTADORA NIMAR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34</v>
          </cell>
          <cell r="J2615" t="str">
            <v>IMPORTADORA Y EXPORTADORA NIMAR</v>
          </cell>
          <cell r="N2615">
            <v>230</v>
          </cell>
        </row>
        <row r="2616">
          <cell r="A2616" t="str">
            <v>IMPORTADORA Y EXPORTADORA NIMAR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96</v>
          </cell>
          <cell r="J2616" t="str">
            <v>IMPORTADORA Y EXPORTADORA NIMAR</v>
          </cell>
          <cell r="M2616">
            <v>1350</v>
          </cell>
        </row>
        <row r="2617">
          <cell r="A2617" t="str">
            <v>IMPORTADORA Y EXPORTADORA NIMAR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>
            <v>230</v>
          </cell>
          <cell r="J2617" t="str">
            <v>IMPORTADORA Y EXPORTADORA NIMAR</v>
          </cell>
          <cell r="R2617">
            <v>130</v>
          </cell>
        </row>
        <row r="2618">
          <cell r="A2618" t="str">
            <v>IMPORTADORA Y EXPORTADORA NIMAR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>
            <v>1350</v>
          </cell>
          <cell r="J2618" t="str">
            <v>IMPORTADORA Y EXPORTADORA NIMAR</v>
          </cell>
          <cell r="M2618">
            <v>125</v>
          </cell>
        </row>
        <row r="2619">
          <cell r="A2619" t="str">
            <v>IMPORTADORA Y EXPORTADORA NIMAR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130</v>
          </cell>
          <cell r="J2619" t="str">
            <v>IMPORTADORA Y EXPORTADORA NIMAR</v>
          </cell>
          <cell r="N2619">
            <v>6</v>
          </cell>
        </row>
        <row r="2620">
          <cell r="A2620" t="str">
            <v>IMPORTADORA Y EXPORTADORA NIMAR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125</v>
          </cell>
          <cell r="J2620" t="str">
            <v>IMPORTADORA Y EXPORTADORA NIMAR</v>
          </cell>
          <cell r="M2620">
            <v>265</v>
          </cell>
        </row>
        <row r="2621">
          <cell r="A2621" t="str">
            <v>IMPORTADORA Y EXPORTADORA NIMAR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6</v>
          </cell>
          <cell r="J2621" t="str">
            <v>IMPORTADORA Y EXPORTADORA NIMAR</v>
          </cell>
          <cell r="M2621">
            <v>600</v>
          </cell>
        </row>
        <row r="2622">
          <cell r="A2622" t="str">
            <v>IMPORTADORA Y EXPORTADORA NIMAR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265</v>
          </cell>
          <cell r="J2622" t="str">
            <v>IMPORTADORA Y EXPORTADORA NIMAR</v>
          </cell>
          <cell r="O2622">
            <v>480</v>
          </cell>
        </row>
        <row r="2623">
          <cell r="A2623" t="str">
            <v>IMPORTADORA Y EXPORTADORA NIMAR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600</v>
          </cell>
          <cell r="J2623" t="str">
            <v>IMPORTADORA Y EXPORTADORA NIMAR</v>
          </cell>
          <cell r="M2623">
            <v>740</v>
          </cell>
        </row>
        <row r="2624">
          <cell r="A2624" t="str">
            <v>IMPORTADORA Y EXPORTADORA NIMAR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>
            <v>480</v>
          </cell>
          <cell r="J2624" t="str">
            <v>IMPORTADORA Y EXPORTADORA NIMAR</v>
          </cell>
          <cell r="O2624">
            <v>346</v>
          </cell>
        </row>
        <row r="2625">
          <cell r="A2625" t="str">
            <v>IMPORTADORA Y EXPORTADORA NIMAR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740</v>
          </cell>
          <cell r="J2625" t="str">
            <v>IMPORTADORA Y EXPORTADORA NIMAR</v>
          </cell>
          <cell r="M2625">
            <v>0</v>
          </cell>
        </row>
        <row r="2626">
          <cell r="A2626" t="str">
            <v>IMPORTADORA Y EXPORTADORA NIMAR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>
            <v>346</v>
          </cell>
          <cell r="J2626" t="str">
            <v>KERRY PANAMA, S.A.</v>
          </cell>
        </row>
        <row r="2627">
          <cell r="A2627" t="str">
            <v>IMPORTADORA Y EXPORTADORA NIMAR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J2627" t="str">
            <v>KERRY PANAMA, S.A.</v>
          </cell>
          <cell r="M2627">
            <v>400</v>
          </cell>
        </row>
        <row r="2628">
          <cell r="A2628" t="str">
            <v>KERRY PANAMA, S.A.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J2628" t="str">
            <v>CENTRAL AZUCARERO LA VICTORIA</v>
          </cell>
          <cell r="T2628">
            <v>115</v>
          </cell>
        </row>
        <row r="2629">
          <cell r="A2629" t="str">
            <v>KERRY PANAMA, S.A.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400</v>
          </cell>
          <cell r="J2629" t="str">
            <v>CENTRAL AZUCARERO LA VICTORIA</v>
          </cell>
          <cell r="T2629">
            <v>73</v>
          </cell>
        </row>
        <row r="2630">
          <cell r="A2630" t="str">
            <v>CENTRAL AZUCARERO LA VICTORIA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115</v>
          </cell>
          <cell r="J2630" t="str">
            <v>CENTRAL AZUCARERO LA VICTORIA</v>
          </cell>
          <cell r="T2630">
            <v>635</v>
          </cell>
        </row>
        <row r="2631">
          <cell r="A2631" t="str">
            <v>CENTRAL AZUCARERO LA VICTORIA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>
            <v>73</v>
          </cell>
          <cell r="J2631" t="str">
            <v>CENTRAL AZUCARERO LA VICTORIA</v>
          </cell>
          <cell r="T2631">
            <v>0</v>
          </cell>
        </row>
        <row r="2632">
          <cell r="A2632" t="str">
            <v>CENTRAL AZUCARERO LA VICTORIA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>
            <v>635</v>
          </cell>
          <cell r="J2632" t="str">
            <v>Agro Export Pacific, S.A</v>
          </cell>
          <cell r="Q2632">
            <v>1060</v>
          </cell>
        </row>
        <row r="2633">
          <cell r="A2633" t="str">
            <v>CENTRAL AZUCARERO LA VICTORIA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J2633" t="str">
            <v>Agro Export Pacific, S.A</v>
          </cell>
          <cell r="N2633">
            <v>250</v>
          </cell>
        </row>
        <row r="2634">
          <cell r="A2634" t="str">
            <v>Agro Export Pacific, S.A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>
            <v>1060</v>
          </cell>
          <cell r="J2634" t="str">
            <v>Agro Export Pacific, S.A</v>
          </cell>
          <cell r="R2634">
            <v>180</v>
          </cell>
        </row>
        <row r="2635">
          <cell r="A2635" t="str">
            <v>Agro Export Pacific, S.A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250</v>
          </cell>
          <cell r="J2635" t="str">
            <v>Agro Export Pacific, S.A</v>
          </cell>
          <cell r="R2635">
            <v>40</v>
          </cell>
        </row>
        <row r="2636">
          <cell r="A2636" t="str">
            <v>Agro Export Pacific, S.A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>
            <v>180</v>
          </cell>
          <cell r="J2636" t="str">
            <v>Agro Export Pacific, S.A</v>
          </cell>
          <cell r="S2636">
            <v>73</v>
          </cell>
        </row>
        <row r="2637">
          <cell r="A2637" t="str">
            <v>Agro Export Pacific, S.A</v>
          </cell>
          <cell r="C2637">
            <v>40</v>
          </cell>
          <cell r="D2637">
            <v>0</v>
          </cell>
          <cell r="E2637">
            <v>0</v>
          </cell>
          <cell r="F2637">
            <v>0</v>
          </cell>
          <cell r="G2637">
            <v>40</v>
          </cell>
          <cell r="J2637" t="str">
            <v>Agro Export Pacific, S.A</v>
          </cell>
          <cell r="O2637">
            <v>65</v>
          </cell>
        </row>
        <row r="2638">
          <cell r="A2638" t="str">
            <v>Agro Export Pacific, S.A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>
            <v>73</v>
          </cell>
          <cell r="J2638" t="str">
            <v>Agro Export Pacific, S.A</v>
          </cell>
          <cell r="O2638">
            <v>1090</v>
          </cell>
        </row>
        <row r="2639">
          <cell r="A2639" t="str">
            <v>Agro Export Pacific, S.A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>
            <v>65</v>
          </cell>
          <cell r="J2639" t="str">
            <v>Agro Export Pacific, S.A</v>
          </cell>
          <cell r="M2639">
            <v>0</v>
          </cell>
        </row>
        <row r="2640">
          <cell r="A2640" t="str">
            <v>Agro Export Pacific, S.A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1090</v>
          </cell>
          <cell r="J2640" t="str">
            <v>Agro Export Pacific, S.A</v>
          </cell>
          <cell r="N2640">
            <v>282</v>
          </cell>
        </row>
        <row r="2641">
          <cell r="A2641" t="str">
            <v>Agro Export Pacific, S.A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J2641" t="str">
            <v>Agro Export Pacific, S.A</v>
          </cell>
          <cell r="N2641">
            <v>467</v>
          </cell>
        </row>
        <row r="2642">
          <cell r="A2642" t="str">
            <v>Agro Export Pacific, S.A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282</v>
          </cell>
          <cell r="J2642" t="str">
            <v>Agro Export Pacific, S.A</v>
          </cell>
          <cell r="T2642">
            <v>82</v>
          </cell>
        </row>
        <row r="2643">
          <cell r="A2643" t="str">
            <v>Agro Export Pacific, S.A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467</v>
          </cell>
          <cell r="J2643" t="str">
            <v>Agro Export Pacific, S.A</v>
          </cell>
          <cell r="N2643">
            <v>38</v>
          </cell>
        </row>
        <row r="2644">
          <cell r="A2644" t="str">
            <v>Agro Export Pacific, S.A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82</v>
          </cell>
          <cell r="J2644" t="str">
            <v>Agro Export Pacific, S.A</v>
          </cell>
          <cell r="N2644">
            <v>70</v>
          </cell>
        </row>
        <row r="2645">
          <cell r="A2645" t="str">
            <v>Agro Export Pacific, S.A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38</v>
          </cell>
          <cell r="J2645" t="str">
            <v>Agro Export Pacific, S.A</v>
          </cell>
          <cell r="N2645">
            <v>62</v>
          </cell>
        </row>
        <row r="2646">
          <cell r="A2646" t="str">
            <v>Agro Export Pacific, S.A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70</v>
          </cell>
          <cell r="J2646" t="str">
            <v>Agro Export Pacific, S.A</v>
          </cell>
          <cell r="O2646">
            <v>116</v>
          </cell>
        </row>
        <row r="2647">
          <cell r="A2647" t="str">
            <v>Agro Export Pacific, S.A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62</v>
          </cell>
          <cell r="J2647" t="str">
            <v>Agro Export Pacific, S.A</v>
          </cell>
          <cell r="N2647">
            <v>542</v>
          </cell>
        </row>
        <row r="2648">
          <cell r="A2648" t="str">
            <v>Agro Export Pacific, S.A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>
            <v>116</v>
          </cell>
          <cell r="J2648" t="str">
            <v>Agro Export Pacific, S.A</v>
          </cell>
          <cell r="N2648">
            <v>147</v>
          </cell>
        </row>
        <row r="2649">
          <cell r="A2649" t="str">
            <v>Agro Export Pacific, S.A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>
            <v>542</v>
          </cell>
          <cell r="J2649" t="str">
            <v>Agro Export Pacific, S.A</v>
          </cell>
          <cell r="M2649">
            <v>500</v>
          </cell>
        </row>
        <row r="2650">
          <cell r="A2650" t="str">
            <v>Agro Export Pacific, S.A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>
            <v>147</v>
          </cell>
          <cell r="J2650" t="str">
            <v>Agro Export Pacific, S.A</v>
          </cell>
          <cell r="T2650">
            <v>84</v>
          </cell>
        </row>
        <row r="2651">
          <cell r="A2651" t="str">
            <v>Agro Export Pacific, S.A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>
            <v>500</v>
          </cell>
          <cell r="J2651" t="str">
            <v>Agro Export Pacific, S.A</v>
          </cell>
          <cell r="M2651">
            <v>100</v>
          </cell>
        </row>
        <row r="2652">
          <cell r="A2652" t="str">
            <v>Agro Export Pacific, S.A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>
            <v>84</v>
          </cell>
          <cell r="J2652" t="str">
            <v>Agro Export Pacific, S.A</v>
          </cell>
          <cell r="O2652">
            <v>60</v>
          </cell>
        </row>
        <row r="2653">
          <cell r="A2653" t="str">
            <v>Agro Export Pacific, S.A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>
            <v>100</v>
          </cell>
          <cell r="J2653" t="str">
            <v>Agro Export Pacific, S.A</v>
          </cell>
          <cell r="T2653">
            <v>115</v>
          </cell>
        </row>
        <row r="2654">
          <cell r="A2654" t="str">
            <v>Agro Export Pacific, S.A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>
            <v>60</v>
          </cell>
          <cell r="J2654" t="str">
            <v>Agro Export Pacific, S.A</v>
          </cell>
          <cell r="N2654">
            <v>86</v>
          </cell>
        </row>
        <row r="2655">
          <cell r="A2655" t="str">
            <v>Agro Export Pacific, S.A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>
            <v>115</v>
          </cell>
          <cell r="J2655" t="str">
            <v>Agro Export Pacific, S.A</v>
          </cell>
          <cell r="M2655">
            <v>201</v>
          </cell>
        </row>
        <row r="2656">
          <cell r="A2656" t="str">
            <v>Agro Export Pacific, S.A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86</v>
          </cell>
          <cell r="J2656" t="str">
            <v>Agro Export Pacific, S.A</v>
          </cell>
          <cell r="T2656">
            <v>73</v>
          </cell>
        </row>
        <row r="2657">
          <cell r="A2657" t="str">
            <v>Agro Export Pacific, S.A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201</v>
          </cell>
          <cell r="J2657" t="str">
            <v>Agro Export Pacific, S.A</v>
          </cell>
          <cell r="R2657">
            <v>181</v>
          </cell>
        </row>
        <row r="2658">
          <cell r="A2658" t="str">
            <v>Agro Export Pacific, S.A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73</v>
          </cell>
          <cell r="J2658" t="str">
            <v>Agro Export Pacific, S.A</v>
          </cell>
          <cell r="N2658">
            <v>0</v>
          </cell>
        </row>
        <row r="2659">
          <cell r="A2659" t="str">
            <v>Agro Export Pacific, S.A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181</v>
          </cell>
          <cell r="J2659" t="str">
            <v>Agro Export Pacific, S.A</v>
          </cell>
          <cell r="M2659">
            <v>150</v>
          </cell>
        </row>
        <row r="2660">
          <cell r="A2660" t="str">
            <v>Agro Export Pacific, S.A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J2660" t="str">
            <v>Agro Export Pacific, S.A</v>
          </cell>
          <cell r="N2660">
            <v>250</v>
          </cell>
        </row>
        <row r="2661">
          <cell r="A2661" t="str">
            <v>Agro Export Pacific, S.A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150</v>
          </cell>
          <cell r="J2661" t="str">
            <v>Agro Export Pacific, S.A</v>
          </cell>
          <cell r="O2661">
            <v>1200</v>
          </cell>
        </row>
        <row r="2662">
          <cell r="A2662" t="str">
            <v>Agro Export Pacific, S.A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250</v>
          </cell>
          <cell r="J2662" t="str">
            <v>Agro Export Pacific, S.A</v>
          </cell>
          <cell r="N2662">
            <v>356</v>
          </cell>
        </row>
        <row r="2663">
          <cell r="A2663" t="str">
            <v>Agro Export Pacific, S.A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1200</v>
          </cell>
          <cell r="J2663" t="str">
            <v>Agro Export Pacific, S.A</v>
          </cell>
          <cell r="N2663">
            <v>90</v>
          </cell>
        </row>
        <row r="2664">
          <cell r="A2664" t="str">
            <v>Agro Export Pacific, S.A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356</v>
          </cell>
          <cell r="J2664" t="str">
            <v>Agro Export Pacific, S.A</v>
          </cell>
          <cell r="N2664">
            <v>22</v>
          </cell>
        </row>
        <row r="2665">
          <cell r="A2665" t="str">
            <v>Agro Export Pacific, S.A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>
            <v>90</v>
          </cell>
          <cell r="J2665" t="str">
            <v>Agro Export Pacific, S.A</v>
          </cell>
          <cell r="N2665">
            <v>230</v>
          </cell>
        </row>
        <row r="2666">
          <cell r="A2666" t="str">
            <v>Agro Export Pacific, S.A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>
            <v>22</v>
          </cell>
          <cell r="J2666" t="str">
            <v>Agro Export Pacific, S.A</v>
          </cell>
          <cell r="N2666">
            <v>103</v>
          </cell>
        </row>
        <row r="2667">
          <cell r="A2667" t="str">
            <v>Agro Export Pacific, S.A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>
            <v>230</v>
          </cell>
          <cell r="J2667" t="str">
            <v>Agro Export Pacific, S.A</v>
          </cell>
          <cell r="N2667">
            <v>165</v>
          </cell>
        </row>
        <row r="2668">
          <cell r="A2668" t="str">
            <v>Agro Export Pacific, S.A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103</v>
          </cell>
          <cell r="J2668" t="str">
            <v>Agro Export Pacific, S.A</v>
          </cell>
          <cell r="N2668">
            <v>456</v>
          </cell>
        </row>
        <row r="2669">
          <cell r="A2669" t="str">
            <v>Agro Export Pacific, S.A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165</v>
          </cell>
          <cell r="J2669" t="str">
            <v>Agro Export Pacific, S.A</v>
          </cell>
          <cell r="N2669">
            <v>251</v>
          </cell>
        </row>
        <row r="2670">
          <cell r="A2670" t="str">
            <v>Agro Export Pacific, S.A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456</v>
          </cell>
          <cell r="J2670" t="str">
            <v>Agro Export Pacific, S.A</v>
          </cell>
          <cell r="N2670">
            <v>75</v>
          </cell>
        </row>
        <row r="2671">
          <cell r="A2671" t="str">
            <v>Agro Export Pacific, S.A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>
            <v>251</v>
          </cell>
          <cell r="J2671" t="str">
            <v>Agro Export Pacific, S.A</v>
          </cell>
          <cell r="T2671">
            <v>37</v>
          </cell>
        </row>
        <row r="2672">
          <cell r="A2672" t="str">
            <v>Agro Export Pacific, S.A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75</v>
          </cell>
          <cell r="J2672" t="str">
            <v>Agro Export Pacific, S.A</v>
          </cell>
        </row>
        <row r="2673">
          <cell r="A2673" t="str">
            <v>Agro Export Pacific, S.A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37</v>
          </cell>
          <cell r="J2673" t="str">
            <v>Agro Export Pacific, S.A</v>
          </cell>
          <cell r="U2673">
            <v>305</v>
          </cell>
        </row>
        <row r="2674">
          <cell r="A2674" t="str">
            <v>Agro Export Pacific, S.A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J2674" t="str">
            <v>Agro Export Pacific, S.A</v>
          </cell>
          <cell r="M2674">
            <v>175</v>
          </cell>
        </row>
        <row r="2675">
          <cell r="A2675" t="str">
            <v>Agro Export Pacific, S.A</v>
          </cell>
          <cell r="C2675">
            <v>0</v>
          </cell>
          <cell r="D2675">
            <v>40</v>
          </cell>
          <cell r="E2675">
            <v>60</v>
          </cell>
          <cell r="F2675">
            <v>40</v>
          </cell>
          <cell r="G2675">
            <v>305</v>
          </cell>
          <cell r="J2675" t="str">
            <v>Agro Export Pacific, S.A</v>
          </cell>
          <cell r="Q2675">
            <v>496</v>
          </cell>
        </row>
        <row r="2676">
          <cell r="A2676" t="str">
            <v>Agro Export Pacific, S.A</v>
          </cell>
          <cell r="C2676">
            <v>0</v>
          </cell>
          <cell r="D2676">
            <v>10</v>
          </cell>
          <cell r="E2676">
            <v>20</v>
          </cell>
          <cell r="F2676">
            <v>25</v>
          </cell>
          <cell r="G2676">
            <v>175</v>
          </cell>
          <cell r="J2676" t="str">
            <v>Agro Export Pacific, S.A</v>
          </cell>
          <cell r="T2676">
            <v>30</v>
          </cell>
        </row>
        <row r="2677">
          <cell r="A2677" t="str">
            <v>Agro Export Pacific, S.A</v>
          </cell>
          <cell r="C2677">
            <v>73</v>
          </cell>
          <cell r="D2677">
            <v>0</v>
          </cell>
          <cell r="E2677">
            <v>0</v>
          </cell>
          <cell r="F2677">
            <v>0</v>
          </cell>
          <cell r="G2677">
            <v>496</v>
          </cell>
          <cell r="J2677" t="str">
            <v>Agro Export Pacific, S.A</v>
          </cell>
          <cell r="Q2677">
            <v>4560</v>
          </cell>
        </row>
        <row r="2678">
          <cell r="A2678" t="str">
            <v>Agro Export Pacific, S.A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30</v>
          </cell>
          <cell r="J2678" t="str">
            <v>Agro Export Pacific, S.A</v>
          </cell>
          <cell r="W2678">
            <v>0</v>
          </cell>
        </row>
        <row r="2679">
          <cell r="A2679" t="str">
            <v>Agro Export Pacific, S.A</v>
          </cell>
          <cell r="C2679">
            <v>0</v>
          </cell>
          <cell r="D2679">
            <v>680</v>
          </cell>
          <cell r="E2679">
            <v>450</v>
          </cell>
          <cell r="F2679">
            <v>450</v>
          </cell>
          <cell r="G2679">
            <v>4560</v>
          </cell>
          <cell r="J2679" t="str">
            <v>Agro Export Pacific, S.A</v>
          </cell>
          <cell r="M2679">
            <v>400</v>
          </cell>
        </row>
        <row r="2680">
          <cell r="A2680" t="str">
            <v>Agro Export Pacific, S.A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J2680" t="str">
            <v>Agro Export Pacific, S.A</v>
          </cell>
          <cell r="N2680">
            <v>230</v>
          </cell>
        </row>
        <row r="2681">
          <cell r="A2681" t="str">
            <v>Agro Export Pacific, S.A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400</v>
          </cell>
          <cell r="J2681" t="str">
            <v>Agro Export Pacific, S.A</v>
          </cell>
          <cell r="W2681">
            <v>628</v>
          </cell>
        </row>
        <row r="2682">
          <cell r="A2682" t="str">
            <v>Agro Export Pacific, S.A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230</v>
          </cell>
          <cell r="J2682" t="str">
            <v>Agro Export Pacific, S.A</v>
          </cell>
          <cell r="T2682">
            <v>50</v>
          </cell>
        </row>
        <row r="2683">
          <cell r="A2683" t="str">
            <v>Agro Export Pacific, S.A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>
            <v>628</v>
          </cell>
          <cell r="J2683" t="str">
            <v>Agro Export Pacific, S.A</v>
          </cell>
          <cell r="T2683">
            <v>192</v>
          </cell>
        </row>
        <row r="2684">
          <cell r="A2684" t="str">
            <v>Agro Export Pacific, S.A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50</v>
          </cell>
          <cell r="J2684" t="str">
            <v>Agro Export Pacific, S.A</v>
          </cell>
          <cell r="N2684">
            <v>97</v>
          </cell>
        </row>
        <row r="2685">
          <cell r="A2685" t="str">
            <v>Agro Export Pacific, S.A</v>
          </cell>
          <cell r="C2685">
            <v>85</v>
          </cell>
          <cell r="D2685">
            <v>22</v>
          </cell>
          <cell r="E2685">
            <v>25</v>
          </cell>
          <cell r="F2685">
            <v>29</v>
          </cell>
          <cell r="G2685">
            <v>192</v>
          </cell>
          <cell r="J2685" t="str">
            <v>Agro Export Pacific, S.A</v>
          </cell>
          <cell r="M2685">
            <v>40</v>
          </cell>
        </row>
        <row r="2686">
          <cell r="A2686" t="str">
            <v>Agro Export Pacific, S.A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97</v>
          </cell>
          <cell r="J2686" t="str">
            <v>Agro Export Pacific, S.A</v>
          </cell>
          <cell r="N2686">
            <v>130</v>
          </cell>
        </row>
        <row r="2687">
          <cell r="A2687" t="str">
            <v>Agro Export Pacific, S.A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40</v>
          </cell>
          <cell r="J2687" t="str">
            <v>Agro Export Pacific, S.A</v>
          </cell>
          <cell r="W2687">
            <v>0</v>
          </cell>
        </row>
        <row r="2688">
          <cell r="A2688" t="str">
            <v>Agro Export Pacific, S.A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>
            <v>130</v>
          </cell>
          <cell r="J2688" t="str">
            <v>Agro Export Pacific, S.A</v>
          </cell>
          <cell r="U2688">
            <v>251</v>
          </cell>
        </row>
        <row r="2689">
          <cell r="A2689" t="str">
            <v>Agro Export Pacific, S.A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J2689" t="str">
            <v>Agro Export Pacific, S.A</v>
          </cell>
          <cell r="M2689">
            <v>125</v>
          </cell>
        </row>
        <row r="2690">
          <cell r="A2690" t="str">
            <v>Agro Export Pacific, S.A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251</v>
          </cell>
          <cell r="J2690" t="str">
            <v>Agro Export Pacific, S.A</v>
          </cell>
          <cell r="S2690">
            <v>50</v>
          </cell>
        </row>
        <row r="2691">
          <cell r="A2691" t="str">
            <v>Agro Export Pacific, S.A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125</v>
          </cell>
          <cell r="J2691" t="str">
            <v>Agro Export Pacific, S.A</v>
          </cell>
          <cell r="V2691">
            <v>0</v>
          </cell>
        </row>
        <row r="2692">
          <cell r="A2692" t="str">
            <v>Agro Export Pacific, S.A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50</v>
          </cell>
          <cell r="J2692" t="str">
            <v>Agro Export Pacific, S.A</v>
          </cell>
          <cell r="M2692">
            <v>209</v>
          </cell>
        </row>
        <row r="2693">
          <cell r="A2693" t="str">
            <v>Agro Export Pacific, S.A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J2693" t="str">
            <v>Agro Export Pacific, S.A</v>
          </cell>
          <cell r="M2693">
            <v>0</v>
          </cell>
        </row>
        <row r="2694">
          <cell r="A2694" t="str">
            <v>Agro Export Pacific, S.A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>
            <v>209</v>
          </cell>
          <cell r="J2694" t="str">
            <v>Agro Export Pacific, S.A</v>
          </cell>
        </row>
        <row r="2695">
          <cell r="A2695" t="str">
            <v>Agro Export Pacific, S.A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J2695" t="str">
            <v>Agro Export Pacific, S.A</v>
          </cell>
          <cell r="V2695">
            <v>200</v>
          </cell>
        </row>
        <row r="2696">
          <cell r="A2696" t="str">
            <v>Agro Export Pacific, S.A</v>
          </cell>
          <cell r="C2696">
            <v>0</v>
          </cell>
          <cell r="D2696">
            <v>10</v>
          </cell>
          <cell r="E2696">
            <v>20</v>
          </cell>
          <cell r="F2696">
            <v>32</v>
          </cell>
          <cell r="G2696">
            <v>83</v>
          </cell>
          <cell r="J2696" t="str">
            <v>Agro Export Pacific, S.A</v>
          </cell>
          <cell r="M2696">
            <v>265</v>
          </cell>
        </row>
        <row r="2697">
          <cell r="A2697" t="str">
            <v>Agro Export Pacific, S.A</v>
          </cell>
          <cell r="C2697">
            <v>200</v>
          </cell>
          <cell r="D2697">
            <v>0</v>
          </cell>
          <cell r="E2697">
            <v>0</v>
          </cell>
          <cell r="F2697">
            <v>0</v>
          </cell>
          <cell r="G2697">
            <v>200</v>
          </cell>
          <cell r="J2697" t="str">
            <v>Agro Export Pacific, S.A</v>
          </cell>
          <cell r="N2697">
            <v>110</v>
          </cell>
        </row>
        <row r="2698">
          <cell r="A2698" t="str">
            <v>Agro Export Pacific, S.A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265</v>
          </cell>
          <cell r="J2698" t="str">
            <v>Agro Export Pacific, S.A</v>
          </cell>
          <cell r="P2698">
            <v>150</v>
          </cell>
        </row>
        <row r="2699">
          <cell r="A2699" t="str">
            <v>Agro Export Pacific, S.A</v>
          </cell>
          <cell r="C2699">
            <v>0</v>
          </cell>
          <cell r="D2699">
            <v>35</v>
          </cell>
          <cell r="E2699">
            <v>0</v>
          </cell>
          <cell r="F2699">
            <v>0</v>
          </cell>
          <cell r="G2699">
            <v>110</v>
          </cell>
          <cell r="J2699" t="str">
            <v>Agro Export Pacific, S.A</v>
          </cell>
          <cell r="S2699">
            <v>40</v>
          </cell>
        </row>
        <row r="2700">
          <cell r="A2700" t="str">
            <v>Agro Export Pacific, S.A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>
            <v>150</v>
          </cell>
          <cell r="J2700" t="str">
            <v>Agro Export Pacific, S.A</v>
          </cell>
          <cell r="O2700">
            <v>105</v>
          </cell>
        </row>
        <row r="2701">
          <cell r="A2701" t="str">
            <v>Agro Export Pacific, S.A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40</v>
          </cell>
          <cell r="J2701" t="str">
            <v>Agro Export Pacific, S.A</v>
          </cell>
          <cell r="T2701">
            <v>0</v>
          </cell>
        </row>
        <row r="2702">
          <cell r="A2702" t="str">
            <v>Agro Export Pacific, S.A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>
            <v>105</v>
          </cell>
          <cell r="J2702" t="str">
            <v>Agro Export Pacific, S.A</v>
          </cell>
          <cell r="T2702">
            <v>1800</v>
          </cell>
        </row>
        <row r="2703">
          <cell r="A2703" t="str">
            <v>Agro Export Pacific, S.A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J2703" t="str">
            <v>Agro Export Pacific, S.A</v>
          </cell>
          <cell r="U2703">
            <v>80</v>
          </cell>
        </row>
        <row r="2704">
          <cell r="A2704" t="str">
            <v>Agro Export Pacific, S.A</v>
          </cell>
          <cell r="C2704">
            <v>1200</v>
          </cell>
          <cell r="D2704">
            <v>0</v>
          </cell>
          <cell r="E2704">
            <v>0</v>
          </cell>
          <cell r="F2704">
            <v>0</v>
          </cell>
          <cell r="G2704">
            <v>1800</v>
          </cell>
          <cell r="J2704" t="str">
            <v>Agro Export Pacific, S.A</v>
          </cell>
          <cell r="U2704">
            <v>0</v>
          </cell>
        </row>
        <row r="2705">
          <cell r="A2705" t="str">
            <v>Agro Export Pacific, S.A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>
            <v>80</v>
          </cell>
          <cell r="J2705" t="str">
            <v>Agro Export Pacific, S.A</v>
          </cell>
          <cell r="W2705">
            <v>200</v>
          </cell>
        </row>
        <row r="2706">
          <cell r="A2706" t="str">
            <v>Agro Export Pacific, S.A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J2706" t="str">
            <v>Agro Export Pacific, S.A</v>
          </cell>
          <cell r="N2706">
            <v>0</v>
          </cell>
        </row>
        <row r="2707">
          <cell r="A2707" t="str">
            <v>Agro Export Pacific, S.A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>
            <v>200</v>
          </cell>
          <cell r="J2707" t="str">
            <v>MELO FARMA, S.A.</v>
          </cell>
          <cell r="O2707">
            <v>180</v>
          </cell>
        </row>
        <row r="2708">
          <cell r="A2708" t="str">
            <v>Agro Export Pacific, S.A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J2708" t="str">
            <v>MELO FARMA, S.A.</v>
          </cell>
          <cell r="R2708">
            <v>180</v>
          </cell>
        </row>
        <row r="2709">
          <cell r="A2709" t="str">
            <v>MELO FARMA, S.A.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>
            <v>180</v>
          </cell>
          <cell r="J2709" t="str">
            <v>MELO FARMA, S.A.</v>
          </cell>
          <cell r="S2709">
            <v>73</v>
          </cell>
        </row>
        <row r="2710">
          <cell r="A2710" t="str">
            <v>MELO FARMA, S.A.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180</v>
          </cell>
          <cell r="J2710" t="str">
            <v>MELO FARMA, S.A.</v>
          </cell>
          <cell r="O2710">
            <v>65</v>
          </cell>
        </row>
        <row r="2711">
          <cell r="A2711" t="str">
            <v>MELO FARMA, S.A.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>
            <v>73</v>
          </cell>
          <cell r="J2711" t="str">
            <v>MELO FARMA, S.A.</v>
          </cell>
          <cell r="M2711">
            <v>0</v>
          </cell>
        </row>
        <row r="2712">
          <cell r="A2712" t="str">
            <v>MELO FARMA, S.A.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65</v>
          </cell>
          <cell r="J2712" t="str">
            <v>MELO FARMA, S.A.</v>
          </cell>
          <cell r="N2712">
            <v>282</v>
          </cell>
        </row>
        <row r="2713">
          <cell r="A2713" t="str">
            <v>MELO FARMA, S.A.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>
            <v>0</v>
          </cell>
          <cell r="J2713" t="str">
            <v>MELO FARMA, S.A.</v>
          </cell>
          <cell r="N2713">
            <v>70</v>
          </cell>
        </row>
        <row r="2714">
          <cell r="A2714" t="str">
            <v>MELO FARMA, S.A.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282</v>
          </cell>
          <cell r="J2714" t="str">
            <v>MELO FARMA, S.A.</v>
          </cell>
          <cell r="N2714">
            <v>62</v>
          </cell>
        </row>
        <row r="2715">
          <cell r="A2715" t="str">
            <v>MELO FARMA, S.A.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70</v>
          </cell>
          <cell r="J2715" t="str">
            <v>MELO FARMA, S.A.</v>
          </cell>
          <cell r="M2715">
            <v>150</v>
          </cell>
        </row>
        <row r="2716">
          <cell r="A2716" t="str">
            <v>MELO FARMA, S.A.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62</v>
          </cell>
          <cell r="J2716" t="str">
            <v>MELO FARMA, S.A.</v>
          </cell>
          <cell r="M2716">
            <v>390</v>
          </cell>
        </row>
        <row r="2717">
          <cell r="A2717" t="str">
            <v>MELO FARMA, S.A.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>
            <v>150</v>
          </cell>
          <cell r="J2717" t="str">
            <v>MELO FARMA, S.A.</v>
          </cell>
          <cell r="N2717">
            <v>456</v>
          </cell>
        </row>
        <row r="2718">
          <cell r="A2718" t="str">
            <v>MELO FARMA, S.A.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390</v>
          </cell>
          <cell r="J2718" t="str">
            <v>MELO FARMA, S.A.</v>
          </cell>
          <cell r="S2718">
            <v>305</v>
          </cell>
        </row>
        <row r="2719">
          <cell r="A2719" t="str">
            <v>MELO FARMA, S.A.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>
            <v>456</v>
          </cell>
          <cell r="J2719" t="str">
            <v>MELO FARMA, S.A.</v>
          </cell>
          <cell r="M2719">
            <v>400</v>
          </cell>
        </row>
        <row r="2720">
          <cell r="A2720" t="str">
            <v>MELO FARMA, S.A.</v>
          </cell>
          <cell r="C2720">
            <v>100</v>
          </cell>
          <cell r="D2720">
            <v>0</v>
          </cell>
          <cell r="E2720">
            <v>0</v>
          </cell>
          <cell r="F2720">
            <v>0</v>
          </cell>
          <cell r="G2720">
            <v>305</v>
          </cell>
          <cell r="J2720" t="str">
            <v>MELO FARMA, S.A.</v>
          </cell>
          <cell r="M2720">
            <v>350</v>
          </cell>
        </row>
        <row r="2721">
          <cell r="A2721" t="str">
            <v>MELO FARMA, S.A.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400</v>
          </cell>
          <cell r="J2721" t="str">
            <v>MELO FARMA, S.A.</v>
          </cell>
          <cell r="N2721">
            <v>510</v>
          </cell>
        </row>
        <row r="2722">
          <cell r="A2722" t="str">
            <v>MELO FARMA, S.A.</v>
          </cell>
          <cell r="C2722">
            <v>200</v>
          </cell>
          <cell r="D2722">
            <v>25</v>
          </cell>
          <cell r="E2722">
            <v>100</v>
          </cell>
          <cell r="F2722">
            <v>25</v>
          </cell>
          <cell r="G2722">
            <v>350</v>
          </cell>
          <cell r="J2722" t="str">
            <v>MELO FARMA, S.A.</v>
          </cell>
          <cell r="M2722">
            <v>25</v>
          </cell>
        </row>
        <row r="2723">
          <cell r="A2723" t="str">
            <v>MELO FARMA, S.A.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510</v>
          </cell>
          <cell r="J2723" t="str">
            <v>MELO FARMA, S.A.</v>
          </cell>
          <cell r="O2723">
            <v>0</v>
          </cell>
        </row>
        <row r="2724">
          <cell r="A2724" t="str">
            <v>MELO FARMA, S.A.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>
            <v>25</v>
          </cell>
          <cell r="J2724" t="str">
            <v>MELO FARMA, S.A.</v>
          </cell>
          <cell r="M2724">
            <v>209</v>
          </cell>
        </row>
        <row r="2725">
          <cell r="A2725" t="str">
            <v>MELO FARMA, S.A.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J2725" t="str">
            <v>MELO FARMA, S.A.</v>
          </cell>
          <cell r="S2725">
            <v>40</v>
          </cell>
        </row>
        <row r="2726">
          <cell r="A2726" t="str">
            <v>MELO FARMA, S.A.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>
            <v>209</v>
          </cell>
          <cell r="J2726" t="str">
            <v>NEGOCIOS CENTROAMERICANOS, S.A</v>
          </cell>
          <cell r="Q2726">
            <v>1060</v>
          </cell>
        </row>
        <row r="2727">
          <cell r="A2727" t="str">
            <v>MELO FARMA, S.A.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>
            <v>40</v>
          </cell>
          <cell r="J2727" t="str">
            <v>NEGOCIOS CENTROAMERICANOS, S.A</v>
          </cell>
          <cell r="N2727">
            <v>100</v>
          </cell>
        </row>
        <row r="2728">
          <cell r="A2728" t="str">
            <v>NEGOCIOS CENTROAMERICANOS, S.A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1060</v>
          </cell>
          <cell r="J2728" t="str">
            <v>NEGOCIOS CENTROAMERICANOS, S.A</v>
          </cell>
          <cell r="R2728">
            <v>180</v>
          </cell>
        </row>
        <row r="2729">
          <cell r="A2729" t="str">
            <v>NEGOCIOS CENTROAMERICANOS, S.A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100</v>
          </cell>
          <cell r="J2729" t="str">
            <v>NEGOCIOS CENTROAMERICANOS, S.A</v>
          </cell>
          <cell r="N2729">
            <v>70</v>
          </cell>
        </row>
        <row r="2730">
          <cell r="A2730" t="str">
            <v>NEGOCIOS CENTROAMERICANOS, S.A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180</v>
          </cell>
          <cell r="J2730" t="str">
            <v>NEGOCIOS CENTROAMERICANOS, S.A</v>
          </cell>
          <cell r="O2730">
            <v>1090</v>
          </cell>
        </row>
        <row r="2731">
          <cell r="A2731" t="str">
            <v>NEGOCIOS CENTROAMERICANOS, S.A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70</v>
          </cell>
          <cell r="J2731" t="str">
            <v>NEGOCIOS CENTROAMERICANOS, S.A</v>
          </cell>
          <cell r="M2731">
            <v>0</v>
          </cell>
        </row>
        <row r="2732">
          <cell r="A2732" t="str">
            <v>NEGOCIOS CENTROAMERICANOS, S.A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1090</v>
          </cell>
          <cell r="J2732" t="str">
            <v>NEGOCIOS CENTROAMERICANOS, S.A</v>
          </cell>
          <cell r="N2732">
            <v>282</v>
          </cell>
        </row>
        <row r="2733">
          <cell r="A2733" t="str">
            <v>NEGOCIOS CENTROAMERICANOS, S.A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J2733" t="str">
            <v>NEGOCIOS CENTROAMERICANOS, S.A</v>
          </cell>
          <cell r="N2733">
            <v>467</v>
          </cell>
        </row>
        <row r="2734">
          <cell r="A2734" t="str">
            <v>NEGOCIOS CENTROAMERICANOS, S.A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282</v>
          </cell>
          <cell r="J2734" t="str">
            <v>NEGOCIOS CENTROAMERICANOS, S.A</v>
          </cell>
          <cell r="N2734">
            <v>70</v>
          </cell>
        </row>
        <row r="2735">
          <cell r="A2735" t="str">
            <v>NEGOCIOS CENTROAMERICANOS, S.A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467</v>
          </cell>
          <cell r="J2735" t="str">
            <v>NEGOCIOS CENTROAMERICANOS, S.A</v>
          </cell>
          <cell r="N2735">
            <v>62</v>
          </cell>
        </row>
        <row r="2736">
          <cell r="A2736" t="str">
            <v>NEGOCIOS CENTROAMERICANOS, S.A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70</v>
          </cell>
          <cell r="J2736" t="str">
            <v>NEGOCIOS CENTROAMERICANOS, S.A</v>
          </cell>
          <cell r="O2736">
            <v>116</v>
          </cell>
        </row>
        <row r="2737">
          <cell r="A2737" t="str">
            <v>NEGOCIOS CENTROAMERICANOS, S.A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62</v>
          </cell>
          <cell r="J2737" t="str">
            <v>NEGOCIOS CENTROAMERICANOS, S.A</v>
          </cell>
          <cell r="N2737">
            <v>542</v>
          </cell>
        </row>
        <row r="2738">
          <cell r="A2738" t="str">
            <v>NEGOCIOS CENTROAMERICANOS, S.A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>
            <v>116</v>
          </cell>
          <cell r="J2738" t="str">
            <v>NEGOCIOS CENTROAMERICANOS, S.A</v>
          </cell>
          <cell r="S2738">
            <v>211</v>
          </cell>
        </row>
        <row r="2739">
          <cell r="A2739" t="str">
            <v>NEGOCIOS CENTROAMERICANOS, S.A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542</v>
          </cell>
          <cell r="J2739" t="str">
            <v>NEGOCIOS CENTROAMERICANOS, S.A</v>
          </cell>
          <cell r="N2739">
            <v>264</v>
          </cell>
        </row>
        <row r="2740">
          <cell r="A2740" t="str">
            <v>NEGOCIOS CENTROAMERICANOS, S.A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>
            <v>211</v>
          </cell>
          <cell r="J2740" t="str">
            <v>NEGOCIOS CENTROAMERICANOS, S.A</v>
          </cell>
          <cell r="Q2740">
            <v>57</v>
          </cell>
        </row>
        <row r="2741">
          <cell r="A2741" t="str">
            <v>NEGOCIOS CENTROAMERICANOS, S.A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264</v>
          </cell>
          <cell r="J2741" t="str">
            <v>NEGOCIOS CENTROAMERICANOS, S.A</v>
          </cell>
          <cell r="M2741">
            <v>201</v>
          </cell>
        </row>
        <row r="2742">
          <cell r="A2742" t="str">
            <v>NEGOCIOS CENTROAMERICANOS, S.A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57</v>
          </cell>
          <cell r="J2742" t="str">
            <v>NEGOCIOS CENTROAMERICANOS, S.A</v>
          </cell>
          <cell r="M2742">
            <v>150</v>
          </cell>
        </row>
        <row r="2743">
          <cell r="A2743" t="str">
            <v>NEGOCIOS CENTROAMERICANOS, S.A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>
            <v>201</v>
          </cell>
          <cell r="J2743" t="str">
            <v>NEGOCIOS CENTROAMERICANOS, S.A</v>
          </cell>
          <cell r="N2743">
            <v>250</v>
          </cell>
        </row>
        <row r="2744">
          <cell r="A2744" t="str">
            <v>NEGOCIOS CENTROAMERICANOS, S.A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150</v>
          </cell>
          <cell r="J2744" t="str">
            <v>NEGOCIOS CENTROAMERICANOS, S.A</v>
          </cell>
          <cell r="N2744">
            <v>90</v>
          </cell>
        </row>
        <row r="2745">
          <cell r="A2745" t="str">
            <v>NEGOCIOS CENTROAMERICANOS, S.A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250</v>
          </cell>
          <cell r="J2745" t="str">
            <v>NEGOCIOS CENTROAMERICANOS, S.A</v>
          </cell>
          <cell r="N2745">
            <v>0</v>
          </cell>
        </row>
        <row r="2746">
          <cell r="A2746" t="str">
            <v>NEGOCIOS CENTROAMERICANOS, S.A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90</v>
          </cell>
          <cell r="J2746" t="str">
            <v>NEGOCIOS CENTROAMERICANOS, S.A</v>
          </cell>
          <cell r="N2746">
            <v>456</v>
          </cell>
        </row>
        <row r="2747">
          <cell r="A2747" t="str">
            <v>NEGOCIOS CENTROAMERICANOS, S.A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J2747" t="str">
            <v>NEGOCIOS CENTROAMERICANOS, S.A</v>
          </cell>
          <cell r="N2747">
            <v>75</v>
          </cell>
        </row>
        <row r="2748">
          <cell r="A2748" t="str">
            <v>NEGOCIOS CENTROAMERICANOS, S.A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456</v>
          </cell>
          <cell r="J2748" t="str">
            <v>NEGOCIOS CENTROAMERICANOS, S.A</v>
          </cell>
          <cell r="O2748">
            <v>219</v>
          </cell>
        </row>
        <row r="2749">
          <cell r="A2749" t="str">
            <v>NEGOCIOS CENTROAMERICANOS, S.A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75</v>
          </cell>
          <cell r="J2749" t="str">
            <v>NEGOCIOS CENTROAMERICANOS, S.A</v>
          </cell>
          <cell r="S2749">
            <v>152</v>
          </cell>
        </row>
        <row r="2750">
          <cell r="A2750" t="str">
            <v>NEGOCIOS CENTROAMERICANOS, S.A</v>
          </cell>
          <cell r="C2750">
            <v>0</v>
          </cell>
          <cell r="D2750">
            <v>16</v>
          </cell>
          <cell r="E2750">
            <v>19</v>
          </cell>
          <cell r="F2750">
            <v>19</v>
          </cell>
          <cell r="G2750">
            <v>219</v>
          </cell>
          <cell r="J2750" t="str">
            <v>NEGOCIOS CENTROAMERICANOS, S.A</v>
          </cell>
          <cell r="Q2750">
            <v>496</v>
          </cell>
        </row>
        <row r="2751">
          <cell r="A2751" t="str">
            <v>NEGOCIOS CENTROAMERICANOS, S.A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152</v>
          </cell>
          <cell r="J2751" t="str">
            <v>NEGOCIOS CENTROAMERICANOS, S.A</v>
          </cell>
          <cell r="M2751">
            <v>400</v>
          </cell>
        </row>
        <row r="2752">
          <cell r="A2752" t="str">
            <v>NEGOCIOS CENTROAMERICANOS, S.A</v>
          </cell>
          <cell r="C2752">
            <v>73</v>
          </cell>
          <cell r="D2752">
            <v>0</v>
          </cell>
          <cell r="E2752">
            <v>0</v>
          </cell>
          <cell r="F2752">
            <v>0</v>
          </cell>
          <cell r="G2752">
            <v>496</v>
          </cell>
          <cell r="J2752" t="str">
            <v>NEGOCIOS CENTROAMERICANOS, S.A</v>
          </cell>
          <cell r="N2752">
            <v>230</v>
          </cell>
        </row>
        <row r="2753">
          <cell r="A2753" t="str">
            <v>NEGOCIOS CENTROAMERICANOS, S.A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400</v>
          </cell>
          <cell r="J2753" t="str">
            <v>NEGOCIOS CENTROAMERICANOS, S.A</v>
          </cell>
          <cell r="N2753">
            <v>510</v>
          </cell>
        </row>
        <row r="2754">
          <cell r="A2754" t="str">
            <v>NEGOCIOS CENTROAMERICANOS, S.A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230</v>
          </cell>
          <cell r="J2754" t="str">
            <v>NEGOCIOS CENTROAMERICANOS, S.A</v>
          </cell>
          <cell r="S2754">
            <v>40</v>
          </cell>
        </row>
        <row r="2755">
          <cell r="A2755" t="str">
            <v>NEGOCIOS CENTROAMERICANOS, S.A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510</v>
          </cell>
          <cell r="J2755" t="str">
            <v>NEGOCIOS CENTROAMERICANOS, S.A</v>
          </cell>
          <cell r="R2755">
            <v>130</v>
          </cell>
        </row>
        <row r="2756">
          <cell r="A2756" t="str">
            <v>NEGOCIOS CENTROAMERICANOS, S.A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>
            <v>40</v>
          </cell>
          <cell r="J2756" t="str">
            <v>NEGOCIOS CENTROAMERICANOS, S.A</v>
          </cell>
          <cell r="M2756">
            <v>25</v>
          </cell>
        </row>
        <row r="2757">
          <cell r="A2757" t="str">
            <v>NEGOCIOS CENTROAMERICANOS, S.A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>
            <v>130</v>
          </cell>
          <cell r="J2757" t="str">
            <v>NEGOCIOS CENTROAMERICANOS, S.A</v>
          </cell>
          <cell r="O2757">
            <v>0</v>
          </cell>
        </row>
        <row r="2758">
          <cell r="A2758" t="str">
            <v>NEGOCIOS CENTROAMERICANOS, S.A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>
            <v>25</v>
          </cell>
          <cell r="J2758" t="str">
            <v>NEGOCIOS CENTROAMERICANOS, S.A</v>
          </cell>
          <cell r="N2758">
            <v>0</v>
          </cell>
        </row>
        <row r="2759">
          <cell r="A2759" t="str">
            <v>NEGOCIOS CENTROAMERICANOS, S.A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J2759" t="str">
            <v>NEGOCIOS CENTROAMERICANOS, S.A</v>
          </cell>
          <cell r="M2759">
            <v>265</v>
          </cell>
        </row>
        <row r="2760">
          <cell r="A2760" t="str">
            <v>NEGOCIOS CENTROAMERICANOS, S.A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J2760" t="str">
            <v>COOLBOX FRESIA CORP.</v>
          </cell>
          <cell r="O2760">
            <v>1090</v>
          </cell>
        </row>
        <row r="2761">
          <cell r="A2761" t="str">
            <v>NEGOCIOS CENTROAMERICANOS, S.A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>
            <v>265</v>
          </cell>
          <cell r="J2761" t="str">
            <v>COOLBOX FRESIA CORP.</v>
          </cell>
          <cell r="N2761">
            <v>50</v>
          </cell>
        </row>
        <row r="2762">
          <cell r="A2762" t="str">
            <v>COOLBOX FRESIA CORP.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1090</v>
          </cell>
          <cell r="J2762" t="str">
            <v>COOLBOX FRESIA CORP.</v>
          </cell>
          <cell r="O2762">
            <v>219</v>
          </cell>
        </row>
        <row r="2763">
          <cell r="A2763" t="str">
            <v>COOLBOX FRESIA CORP.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50</v>
          </cell>
          <cell r="J2763" t="str">
            <v>COOLBOX FRESIA CORP.</v>
          </cell>
          <cell r="N2763">
            <v>130</v>
          </cell>
        </row>
        <row r="2764">
          <cell r="A2764" t="str">
            <v>COOLBOX FRESIA CORP.</v>
          </cell>
          <cell r="C2764">
            <v>0</v>
          </cell>
          <cell r="D2764">
            <v>16</v>
          </cell>
          <cell r="E2764">
            <v>19</v>
          </cell>
          <cell r="F2764">
            <v>19</v>
          </cell>
          <cell r="G2764">
            <v>219</v>
          </cell>
          <cell r="J2764" t="str">
            <v>GOLD MILLS</v>
          </cell>
          <cell r="N2764">
            <v>212</v>
          </cell>
        </row>
        <row r="2765">
          <cell r="A2765" t="str">
            <v>COOLBOX FRESIA CORP.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130</v>
          </cell>
          <cell r="J2765" t="str">
            <v>GOLD MILLS</v>
          </cell>
          <cell r="Q2765">
            <v>1060</v>
          </cell>
        </row>
        <row r="2766">
          <cell r="A2766" t="str">
            <v>GOLD MILLS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212</v>
          </cell>
          <cell r="J2766" t="str">
            <v>GOLD MILLS</v>
          </cell>
          <cell r="R2766">
            <v>180</v>
          </cell>
        </row>
        <row r="2767">
          <cell r="A2767" t="str">
            <v>GOLD MILLS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>
            <v>1060</v>
          </cell>
          <cell r="J2767" t="str">
            <v>GOLD MILLS</v>
          </cell>
          <cell r="S2767">
            <v>73</v>
          </cell>
        </row>
        <row r="2768">
          <cell r="A2768" t="str">
            <v>GOLD MILLS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180</v>
          </cell>
          <cell r="J2768" t="str">
            <v>GOLD MILLS</v>
          </cell>
          <cell r="O2768">
            <v>1090</v>
          </cell>
        </row>
        <row r="2769">
          <cell r="A2769" t="str">
            <v>GOLD MILLS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>
            <v>73</v>
          </cell>
          <cell r="J2769" t="str">
            <v>GOLD MILLS</v>
          </cell>
          <cell r="M2769">
            <v>0</v>
          </cell>
        </row>
        <row r="2770">
          <cell r="A2770" t="str">
            <v>GOLD MILLS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1090</v>
          </cell>
          <cell r="J2770" t="str">
            <v>GOLD MILLS</v>
          </cell>
          <cell r="N2770">
            <v>282</v>
          </cell>
        </row>
        <row r="2771">
          <cell r="A2771" t="str">
            <v>GOLD MILLS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J2771" t="str">
            <v>GOLD MILLS</v>
          </cell>
          <cell r="N2771">
            <v>467</v>
          </cell>
        </row>
        <row r="2772">
          <cell r="A2772" t="str">
            <v>GOLD MILLS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282</v>
          </cell>
          <cell r="J2772" t="str">
            <v>GOLD MILLS</v>
          </cell>
          <cell r="N2772">
            <v>38</v>
          </cell>
        </row>
        <row r="2773">
          <cell r="A2773" t="str">
            <v>GOLD MILLS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>
            <v>467</v>
          </cell>
          <cell r="J2773" t="str">
            <v>GOLD MILLS</v>
          </cell>
          <cell r="N2773">
            <v>70</v>
          </cell>
        </row>
        <row r="2774">
          <cell r="A2774" t="str">
            <v>GOLD MILLS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38</v>
          </cell>
          <cell r="J2774" t="str">
            <v>GOLD MILLS</v>
          </cell>
          <cell r="N2774">
            <v>62</v>
          </cell>
        </row>
        <row r="2775">
          <cell r="A2775" t="str">
            <v>GOLD MILLS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70</v>
          </cell>
          <cell r="J2775" t="str">
            <v>GOLD MILLS</v>
          </cell>
          <cell r="O2775">
            <v>116</v>
          </cell>
        </row>
        <row r="2776">
          <cell r="A2776" t="str">
            <v>GOLD MILLS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62</v>
          </cell>
          <cell r="J2776" t="str">
            <v>GOLD MILLS</v>
          </cell>
          <cell r="N2776">
            <v>542</v>
          </cell>
        </row>
        <row r="2777">
          <cell r="A2777" t="str">
            <v>GOLD MILLS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116</v>
          </cell>
          <cell r="J2777" t="str">
            <v>GOLD MILLS</v>
          </cell>
          <cell r="N2777">
            <v>62</v>
          </cell>
        </row>
        <row r="2778">
          <cell r="A2778" t="str">
            <v>GOLD MILLS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542</v>
          </cell>
          <cell r="J2778" t="str">
            <v>GOLD MILLS</v>
          </cell>
          <cell r="M2778">
            <v>100</v>
          </cell>
        </row>
        <row r="2779">
          <cell r="A2779" t="str">
            <v>GOLD MILLS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62</v>
          </cell>
          <cell r="J2779" t="str">
            <v>GOLD MILLS</v>
          </cell>
          <cell r="O2779">
            <v>60</v>
          </cell>
        </row>
        <row r="2780">
          <cell r="A2780" t="str">
            <v>GOLD MILLS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100</v>
          </cell>
          <cell r="J2780" t="str">
            <v>GOLD MILLS</v>
          </cell>
          <cell r="N2780">
            <v>86</v>
          </cell>
        </row>
        <row r="2781">
          <cell r="A2781" t="str">
            <v>GOLD MILLS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60</v>
          </cell>
          <cell r="J2781" t="str">
            <v>GOLD MILLS</v>
          </cell>
          <cell r="R2781">
            <v>181</v>
          </cell>
        </row>
        <row r="2782">
          <cell r="A2782" t="str">
            <v>GOLD MILLS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86</v>
          </cell>
          <cell r="J2782" t="str">
            <v>GOLD MILLS</v>
          </cell>
          <cell r="M2782">
            <v>150</v>
          </cell>
        </row>
        <row r="2783">
          <cell r="A2783" t="str">
            <v>GOLD MILLS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181</v>
          </cell>
          <cell r="J2783" t="str">
            <v>GOLD MILLS</v>
          </cell>
          <cell r="N2783">
            <v>356</v>
          </cell>
        </row>
        <row r="2784">
          <cell r="A2784" t="str">
            <v>GOLD MILLS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150</v>
          </cell>
          <cell r="J2784" t="str">
            <v>GOLD MILLS</v>
          </cell>
          <cell r="N2784">
            <v>22</v>
          </cell>
        </row>
        <row r="2785">
          <cell r="A2785" t="str">
            <v>GOLD MILLS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356</v>
          </cell>
          <cell r="J2785" t="str">
            <v>GOLD MILLS</v>
          </cell>
          <cell r="N2785">
            <v>75</v>
          </cell>
        </row>
        <row r="2786">
          <cell r="A2786" t="str">
            <v>GOLD MILLS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>
            <v>22</v>
          </cell>
          <cell r="J2786" t="str">
            <v>GOLD MILLS</v>
          </cell>
          <cell r="M2786">
            <v>175</v>
          </cell>
        </row>
        <row r="2787">
          <cell r="A2787" t="str">
            <v>GOLD MILLS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75</v>
          </cell>
          <cell r="J2787" t="str">
            <v>GOLD MILLS</v>
          </cell>
          <cell r="Q2787">
            <v>4560</v>
          </cell>
        </row>
        <row r="2788">
          <cell r="A2788" t="str">
            <v>GOLD MILLS</v>
          </cell>
          <cell r="C2788">
            <v>0</v>
          </cell>
          <cell r="D2788">
            <v>10</v>
          </cell>
          <cell r="E2788">
            <v>20</v>
          </cell>
          <cell r="F2788">
            <v>25</v>
          </cell>
          <cell r="G2788">
            <v>175</v>
          </cell>
          <cell r="J2788" t="str">
            <v>GOLD MILLS</v>
          </cell>
          <cell r="N2788">
            <v>0</v>
          </cell>
        </row>
        <row r="2789">
          <cell r="A2789" t="str">
            <v>GOLD MILLS</v>
          </cell>
          <cell r="C2789">
            <v>0</v>
          </cell>
          <cell r="D2789">
            <v>680</v>
          </cell>
          <cell r="E2789">
            <v>450</v>
          </cell>
          <cell r="F2789">
            <v>450</v>
          </cell>
          <cell r="G2789">
            <v>4560</v>
          </cell>
          <cell r="J2789" t="str">
            <v>GOLD MILLS</v>
          </cell>
          <cell r="M2789">
            <v>400</v>
          </cell>
        </row>
        <row r="2790">
          <cell r="A2790" t="str">
            <v>GOLD MILLS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>
            <v>0</v>
          </cell>
          <cell r="J2790" t="str">
            <v>GOLD MILLS</v>
          </cell>
          <cell r="N2790">
            <v>130</v>
          </cell>
        </row>
        <row r="2791">
          <cell r="A2791" t="str">
            <v>GOLD MILLS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400</v>
          </cell>
          <cell r="J2791" t="str">
            <v>GOLD MILLS</v>
          </cell>
          <cell r="M2791">
            <v>125</v>
          </cell>
        </row>
        <row r="2792">
          <cell r="A2792" t="str">
            <v>GOLD MILLS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130</v>
          </cell>
          <cell r="J2792" t="str">
            <v>GOLD MILLS</v>
          </cell>
          <cell r="M2792">
            <v>265</v>
          </cell>
        </row>
        <row r="2793">
          <cell r="A2793" t="str">
            <v>GOLD MILLS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125</v>
          </cell>
          <cell r="J2793" t="str">
            <v>GOLD MILLS</v>
          </cell>
          <cell r="O2793">
            <v>105</v>
          </cell>
        </row>
        <row r="2794">
          <cell r="A2794" t="str">
            <v>GOLD MILLS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265</v>
          </cell>
          <cell r="J2794" t="str">
            <v>CERRO PUNTA, S.A</v>
          </cell>
          <cell r="Q2794">
            <v>1060</v>
          </cell>
        </row>
        <row r="2795">
          <cell r="A2795" t="str">
            <v>GOLD MILLS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105</v>
          </cell>
          <cell r="J2795" t="str">
            <v>CERRO PUNTA, S.A</v>
          </cell>
          <cell r="R2795">
            <v>180</v>
          </cell>
        </row>
        <row r="2796">
          <cell r="A2796" t="str">
            <v>CERRO PUNTA, S.A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1060</v>
          </cell>
          <cell r="J2796" t="str">
            <v>CERRO PUNTA, S.A</v>
          </cell>
          <cell r="S2796">
            <v>73</v>
          </cell>
        </row>
        <row r="2797">
          <cell r="A2797" t="str">
            <v>CERRO PUNTA, S.A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180</v>
          </cell>
          <cell r="J2797" t="str">
            <v>CERRO PUNTA, S.A</v>
          </cell>
          <cell r="O2797">
            <v>65</v>
          </cell>
        </row>
        <row r="2798">
          <cell r="A2798" t="str">
            <v>CERRO PUNTA, S.A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73</v>
          </cell>
          <cell r="J2798" t="str">
            <v>CERRO PUNTA, S.A</v>
          </cell>
          <cell r="N2798">
            <v>70</v>
          </cell>
        </row>
        <row r="2799">
          <cell r="A2799" t="str">
            <v>CERRO PUNTA, S.A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65</v>
          </cell>
          <cell r="J2799" t="str">
            <v>CERRO PUNTA, S.A</v>
          </cell>
          <cell r="O2799">
            <v>1090</v>
          </cell>
        </row>
        <row r="2800">
          <cell r="A2800" t="str">
            <v>CERRO PUNTA, S.A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70</v>
          </cell>
          <cell r="J2800" t="str">
            <v>CERRO PUNTA, S.A</v>
          </cell>
          <cell r="M2800">
            <v>0</v>
          </cell>
        </row>
        <row r="2801">
          <cell r="A2801" t="str">
            <v>CERRO PUNTA, S.A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1090</v>
          </cell>
          <cell r="J2801" t="str">
            <v>CERRO PUNTA, S.A</v>
          </cell>
          <cell r="N2801">
            <v>282</v>
          </cell>
        </row>
        <row r="2802">
          <cell r="A2802" t="str">
            <v>CERRO PUNTA, S.A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J2802" t="str">
            <v>CERRO PUNTA, S.A</v>
          </cell>
          <cell r="N2802">
            <v>467</v>
          </cell>
        </row>
        <row r="2803">
          <cell r="A2803" t="str">
            <v>CERRO PUNTA, S.A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>
            <v>282</v>
          </cell>
          <cell r="J2803" t="str">
            <v>CERRO PUNTA, S.A</v>
          </cell>
          <cell r="N2803">
            <v>62</v>
          </cell>
        </row>
        <row r="2804">
          <cell r="A2804" t="str">
            <v>CERRO PUNTA, S.A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467</v>
          </cell>
          <cell r="J2804" t="str">
            <v>CERRO PUNTA, S.A</v>
          </cell>
          <cell r="O2804">
            <v>116</v>
          </cell>
        </row>
        <row r="2805">
          <cell r="A2805" t="str">
            <v>CERRO PUNTA, S.A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>
            <v>62</v>
          </cell>
          <cell r="J2805" t="str">
            <v>CERRO PUNTA, S.A</v>
          </cell>
          <cell r="O2805">
            <v>138</v>
          </cell>
        </row>
        <row r="2806">
          <cell r="A2806" t="str">
            <v>CERRO PUNTA, S.A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116</v>
          </cell>
          <cell r="J2806" t="str">
            <v>CERRO PUNTA, S.A</v>
          </cell>
          <cell r="N2806">
            <v>147</v>
          </cell>
        </row>
        <row r="2807">
          <cell r="A2807" t="str">
            <v>CERRO PUNTA, S.A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>
            <v>138</v>
          </cell>
          <cell r="J2807" t="str">
            <v>CERRO PUNTA, S.A</v>
          </cell>
          <cell r="T2807">
            <v>73</v>
          </cell>
        </row>
        <row r="2808">
          <cell r="A2808" t="str">
            <v>CERRO PUNTA, S.A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147</v>
          </cell>
          <cell r="J2808" t="str">
            <v>CERRO PUNTA, S.A</v>
          </cell>
          <cell r="M2808">
            <v>150</v>
          </cell>
        </row>
        <row r="2809">
          <cell r="A2809" t="str">
            <v>CERRO PUNTA, S.A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73</v>
          </cell>
          <cell r="J2809" t="str">
            <v>CERRO PUNTA, S.A</v>
          </cell>
          <cell r="N2809">
            <v>103</v>
          </cell>
        </row>
        <row r="2810">
          <cell r="A2810" t="str">
            <v>CERRO PUNTA, S.A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150</v>
          </cell>
          <cell r="J2810" t="str">
            <v>CERRO PUNTA, S.A</v>
          </cell>
          <cell r="N2810">
            <v>75</v>
          </cell>
        </row>
        <row r="2811">
          <cell r="A2811" t="str">
            <v>CERRO PUNTA, S.A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>
            <v>103</v>
          </cell>
          <cell r="J2811" t="str">
            <v>CERRO PUNTA, S.A</v>
          </cell>
          <cell r="S2811">
            <v>152</v>
          </cell>
        </row>
        <row r="2812">
          <cell r="A2812" t="str">
            <v>CERRO PUNTA, S.A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75</v>
          </cell>
          <cell r="J2812" t="str">
            <v>CERRO PUNTA, S.A</v>
          </cell>
          <cell r="M2812">
            <v>910</v>
          </cell>
        </row>
        <row r="2813">
          <cell r="A2813" t="str">
            <v>CERRO PUNTA, S.A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>
            <v>152</v>
          </cell>
          <cell r="J2813" t="str">
            <v>CERRO PUNTA, S.A</v>
          </cell>
          <cell r="M2813">
            <v>400</v>
          </cell>
        </row>
        <row r="2814">
          <cell r="A2814" t="str">
            <v>CERRO PUNTA, S.A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910</v>
          </cell>
          <cell r="J2814" t="str">
            <v>CERRO PUNTA, S.A</v>
          </cell>
          <cell r="N2814">
            <v>230</v>
          </cell>
        </row>
        <row r="2815">
          <cell r="A2815" t="str">
            <v>CERRO PUNTA, S.A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>
            <v>400</v>
          </cell>
          <cell r="J2815" t="str">
            <v>CERRO PUNTA, S.A</v>
          </cell>
          <cell r="N2815">
            <v>510</v>
          </cell>
        </row>
        <row r="2816">
          <cell r="A2816" t="str">
            <v>CERRO PUNTA, S.A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230</v>
          </cell>
          <cell r="J2816" t="str">
            <v>CERRO PUNTA, S.A</v>
          </cell>
          <cell r="N2816">
            <v>97</v>
          </cell>
        </row>
        <row r="2817">
          <cell r="A2817" t="str">
            <v>CERRO PUNTA, S.A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>
            <v>510</v>
          </cell>
          <cell r="J2817" t="str">
            <v>CERRO PUNTA, S.A</v>
          </cell>
          <cell r="M2817">
            <v>25</v>
          </cell>
        </row>
        <row r="2818">
          <cell r="A2818" t="str">
            <v>CERRO PUNTA, S.A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>
            <v>97</v>
          </cell>
          <cell r="J2818" t="str">
            <v>CERRO PUNTA, S.A</v>
          </cell>
          <cell r="O2818">
            <v>240</v>
          </cell>
        </row>
        <row r="2819">
          <cell r="A2819" t="str">
            <v>CERRO PUNTA, S.A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>
            <v>25</v>
          </cell>
          <cell r="J2819" t="str">
            <v>MARTIN BROWER</v>
          </cell>
          <cell r="N2819">
            <v>100</v>
          </cell>
        </row>
        <row r="2820">
          <cell r="A2820" t="str">
            <v>CERRO PUNTA, S.A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>
            <v>240</v>
          </cell>
          <cell r="J2820" t="str">
            <v>MARTIN BROWER</v>
          </cell>
          <cell r="Q2820">
            <v>1060</v>
          </cell>
        </row>
        <row r="2821">
          <cell r="A2821" t="str">
            <v>MARTIN BROWER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>
            <v>100</v>
          </cell>
          <cell r="J2821" t="str">
            <v>MARTIN BROWER</v>
          </cell>
          <cell r="N2821">
            <v>100</v>
          </cell>
        </row>
        <row r="2822">
          <cell r="A2822" t="str">
            <v>MARTIN BROWER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>
            <v>1060</v>
          </cell>
          <cell r="J2822" t="str">
            <v>MARTIN BROWER</v>
          </cell>
          <cell r="N2822">
            <v>250</v>
          </cell>
        </row>
        <row r="2823">
          <cell r="A2823" t="str">
            <v>MARTIN BROWER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100</v>
          </cell>
          <cell r="J2823" t="str">
            <v>MARTIN BROWER</v>
          </cell>
          <cell r="R2823">
            <v>180</v>
          </cell>
        </row>
        <row r="2824">
          <cell r="A2824" t="str">
            <v>MARTIN BROWER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250</v>
          </cell>
          <cell r="J2824" t="str">
            <v>MARTIN BROWER</v>
          </cell>
          <cell r="O2824">
            <v>65</v>
          </cell>
        </row>
        <row r="2825">
          <cell r="A2825" t="str">
            <v>MARTIN BROWER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180</v>
          </cell>
          <cell r="J2825" t="str">
            <v>MARTIN BROWER</v>
          </cell>
          <cell r="N2825">
            <v>70</v>
          </cell>
        </row>
        <row r="2826">
          <cell r="A2826" t="str">
            <v>MARTIN BROWER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>
            <v>65</v>
          </cell>
          <cell r="J2826" t="str">
            <v>MARTIN BROWER</v>
          </cell>
          <cell r="O2826">
            <v>1090</v>
          </cell>
        </row>
        <row r="2827">
          <cell r="A2827" t="str">
            <v>MARTIN BROWER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70</v>
          </cell>
          <cell r="J2827" t="str">
            <v>MARTIN BROWER</v>
          </cell>
          <cell r="M2827">
            <v>0</v>
          </cell>
        </row>
        <row r="2828">
          <cell r="A2828" t="str">
            <v>MARTIN BROWER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1090</v>
          </cell>
          <cell r="J2828" t="str">
            <v>MARTIN BROWER</v>
          </cell>
          <cell r="N2828">
            <v>282</v>
          </cell>
        </row>
        <row r="2829">
          <cell r="A2829" t="str">
            <v>MARTIN BROWER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J2829" t="str">
            <v>MARTIN BROWER</v>
          </cell>
          <cell r="N2829">
            <v>467</v>
          </cell>
        </row>
        <row r="2830">
          <cell r="A2830" t="str">
            <v>MARTIN BROWER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282</v>
          </cell>
          <cell r="J2830" t="str">
            <v>MARTIN BROWER</v>
          </cell>
          <cell r="N2830">
            <v>38</v>
          </cell>
        </row>
        <row r="2831">
          <cell r="A2831" t="str">
            <v>MARTIN BROWER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467</v>
          </cell>
          <cell r="J2831" t="str">
            <v>MARTIN BROWER</v>
          </cell>
          <cell r="N2831">
            <v>70</v>
          </cell>
        </row>
        <row r="2832">
          <cell r="A2832" t="str">
            <v>MARTIN BROWER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>
            <v>38</v>
          </cell>
          <cell r="J2832" t="str">
            <v>MARTIN BROWER</v>
          </cell>
          <cell r="N2832">
            <v>243</v>
          </cell>
        </row>
        <row r="2833">
          <cell r="A2833" t="str">
            <v>MARTIN BROWER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>
            <v>70</v>
          </cell>
          <cell r="J2833" t="str">
            <v>MARTIN BROWER</v>
          </cell>
          <cell r="N2833">
            <v>62</v>
          </cell>
        </row>
        <row r="2834">
          <cell r="A2834" t="str">
            <v>MARTIN BROWER</v>
          </cell>
          <cell r="C2834">
            <v>0</v>
          </cell>
          <cell r="D2834">
            <v>13</v>
          </cell>
          <cell r="E2834">
            <v>37</v>
          </cell>
          <cell r="F2834">
            <v>28</v>
          </cell>
          <cell r="G2834">
            <v>243</v>
          </cell>
          <cell r="J2834" t="str">
            <v>MARTIN BROWER</v>
          </cell>
          <cell r="O2834">
            <v>116</v>
          </cell>
        </row>
        <row r="2835">
          <cell r="A2835" t="str">
            <v>MARTIN BROWER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>
            <v>62</v>
          </cell>
          <cell r="J2835" t="str">
            <v>MARTIN BROWER</v>
          </cell>
          <cell r="N2835">
            <v>542</v>
          </cell>
        </row>
        <row r="2836">
          <cell r="A2836" t="str">
            <v>MARTIN BROWER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116</v>
          </cell>
          <cell r="J2836" t="str">
            <v>MARTIN BROWER</v>
          </cell>
          <cell r="S2836">
            <v>211</v>
          </cell>
        </row>
        <row r="2837">
          <cell r="A2837" t="str">
            <v>MARTIN BROWER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>
            <v>542</v>
          </cell>
          <cell r="J2837" t="str">
            <v>MARTIN BROWER</v>
          </cell>
          <cell r="N2837">
            <v>147</v>
          </cell>
        </row>
        <row r="2838">
          <cell r="A2838" t="str">
            <v>MARTIN BROWER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211</v>
          </cell>
          <cell r="J2838" t="str">
            <v>MARTIN BROWER</v>
          </cell>
          <cell r="M2838">
            <v>155</v>
          </cell>
        </row>
        <row r="2839">
          <cell r="A2839" t="str">
            <v>MARTIN BROWER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147</v>
          </cell>
          <cell r="J2839" t="str">
            <v>MARTIN BROWER</v>
          </cell>
          <cell r="M2839">
            <v>100</v>
          </cell>
        </row>
        <row r="2840">
          <cell r="A2840" t="str">
            <v>MARTIN BROWER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>
            <v>155</v>
          </cell>
          <cell r="J2840" t="str">
            <v>MARTIN BROWER</v>
          </cell>
          <cell r="Q2840">
            <v>57</v>
          </cell>
        </row>
        <row r="2841">
          <cell r="A2841" t="str">
            <v>MARTIN BROWER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>
            <v>100</v>
          </cell>
          <cell r="J2841" t="str">
            <v>MARTIN BROWER</v>
          </cell>
          <cell r="S2841">
            <v>179</v>
          </cell>
        </row>
        <row r="2842">
          <cell r="A2842" t="str">
            <v>MARTIN BROWER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57</v>
          </cell>
          <cell r="J2842" t="str">
            <v>MARTIN BROWER</v>
          </cell>
          <cell r="N2842">
            <v>50</v>
          </cell>
        </row>
        <row r="2843">
          <cell r="A2843" t="str">
            <v>MARTIN BROWER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179</v>
          </cell>
          <cell r="J2843" t="str">
            <v>MARTIN BROWER</v>
          </cell>
          <cell r="N2843">
            <v>86</v>
          </cell>
        </row>
        <row r="2844">
          <cell r="A2844" t="str">
            <v>MARTIN BROWER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50</v>
          </cell>
          <cell r="J2844" t="str">
            <v>MARTIN BROWER</v>
          </cell>
          <cell r="M2844">
            <v>201</v>
          </cell>
        </row>
        <row r="2845">
          <cell r="A2845" t="str">
            <v>MARTIN BROWER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86</v>
          </cell>
          <cell r="J2845" t="str">
            <v>MARTIN BROWER</v>
          </cell>
          <cell r="R2845">
            <v>181</v>
          </cell>
        </row>
        <row r="2846">
          <cell r="A2846" t="str">
            <v>MARTIN BROWER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201</v>
          </cell>
          <cell r="J2846" t="str">
            <v>MARTIN BROWER</v>
          </cell>
          <cell r="N2846">
            <v>201</v>
          </cell>
        </row>
        <row r="2847">
          <cell r="A2847" t="str">
            <v>MARTIN BROWER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>
            <v>181</v>
          </cell>
          <cell r="J2847" t="str">
            <v>MARTIN BROWER</v>
          </cell>
          <cell r="N2847">
            <v>0</v>
          </cell>
        </row>
        <row r="2848">
          <cell r="A2848" t="str">
            <v>MARTIN BROWER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201</v>
          </cell>
          <cell r="J2848" t="str">
            <v>MARTIN BROWER</v>
          </cell>
          <cell r="N2848">
            <v>284</v>
          </cell>
        </row>
        <row r="2849">
          <cell r="A2849" t="str">
            <v>MARTIN BROWER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J2849" t="str">
            <v>MARTIN BROWER</v>
          </cell>
          <cell r="M2849">
            <v>150</v>
          </cell>
        </row>
        <row r="2850">
          <cell r="A2850" t="str">
            <v>MARTIN BROWER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>
            <v>284</v>
          </cell>
          <cell r="J2850" t="str">
            <v>MARTIN BROWER</v>
          </cell>
          <cell r="O2850">
            <v>1200</v>
          </cell>
        </row>
        <row r="2851">
          <cell r="A2851" t="str">
            <v>MARTIN BROWER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150</v>
          </cell>
          <cell r="J2851" t="str">
            <v>MARTIN BROWER</v>
          </cell>
          <cell r="N2851">
            <v>20</v>
          </cell>
        </row>
        <row r="2852">
          <cell r="A2852" t="str">
            <v>MARTIN BROWER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1200</v>
          </cell>
          <cell r="J2852" t="str">
            <v>MARTIN BROWER</v>
          </cell>
          <cell r="M2852">
            <v>390</v>
          </cell>
        </row>
        <row r="2853">
          <cell r="A2853" t="str">
            <v>MARTIN BROWER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>
            <v>20</v>
          </cell>
          <cell r="J2853" t="str">
            <v>MARTIN BROWER</v>
          </cell>
          <cell r="N2853">
            <v>90</v>
          </cell>
        </row>
        <row r="2854">
          <cell r="A2854" t="str">
            <v>MARTIN BROWER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>
            <v>390</v>
          </cell>
          <cell r="J2854" t="str">
            <v>MARTIN BROWER</v>
          </cell>
          <cell r="N2854">
            <v>84</v>
          </cell>
        </row>
        <row r="2855">
          <cell r="A2855" t="str">
            <v>MARTIN BROWER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>
            <v>90</v>
          </cell>
          <cell r="J2855" t="str">
            <v>MARTIN BROWER</v>
          </cell>
          <cell r="N2855">
            <v>205</v>
          </cell>
        </row>
        <row r="2856">
          <cell r="A2856" t="str">
            <v>MARTIN BROWER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84</v>
          </cell>
          <cell r="J2856" t="str">
            <v>MARTIN BROWER</v>
          </cell>
          <cell r="N2856">
            <v>0</v>
          </cell>
        </row>
        <row r="2857">
          <cell r="A2857" t="str">
            <v>MARTIN BROWER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205</v>
          </cell>
          <cell r="J2857" t="str">
            <v>MARTIN BROWER</v>
          </cell>
          <cell r="N2857">
            <v>165</v>
          </cell>
        </row>
        <row r="2858">
          <cell r="A2858" t="str">
            <v>MARTIN BROWER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J2858" t="str">
            <v>MARTIN BROWER</v>
          </cell>
          <cell r="N2858">
            <v>60</v>
          </cell>
        </row>
        <row r="2859">
          <cell r="A2859" t="str">
            <v>MARTIN BROWER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165</v>
          </cell>
          <cell r="J2859" t="str">
            <v>MARTIN BROWER</v>
          </cell>
          <cell r="O2859">
            <v>219</v>
          </cell>
        </row>
        <row r="2860">
          <cell r="A2860" t="str">
            <v>MARTIN BROWER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60</v>
          </cell>
          <cell r="J2860" t="str">
            <v>MARTIN BROWER</v>
          </cell>
          <cell r="Q2860">
            <v>83</v>
          </cell>
        </row>
        <row r="2861">
          <cell r="A2861" t="str">
            <v>MARTIN BROWER</v>
          </cell>
          <cell r="C2861">
            <v>0</v>
          </cell>
          <cell r="D2861">
            <v>16</v>
          </cell>
          <cell r="E2861">
            <v>19</v>
          </cell>
          <cell r="F2861">
            <v>19</v>
          </cell>
          <cell r="G2861">
            <v>219</v>
          </cell>
          <cell r="J2861" t="str">
            <v>MARTIN BROWER</v>
          </cell>
          <cell r="Q2861">
            <v>60</v>
          </cell>
        </row>
        <row r="2862">
          <cell r="A2862" t="str">
            <v>MARTIN BROWER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83</v>
          </cell>
          <cell r="J2862" t="str">
            <v>MARTIN BROWER</v>
          </cell>
          <cell r="Q2862">
            <v>496</v>
          </cell>
        </row>
        <row r="2863">
          <cell r="A2863" t="str">
            <v>MARTIN BROWER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60</v>
          </cell>
          <cell r="J2863" t="str">
            <v>MARTIN BROWER</v>
          </cell>
          <cell r="M2863">
            <v>400</v>
          </cell>
        </row>
        <row r="2864">
          <cell r="A2864" t="str">
            <v>MARTIN BROWER</v>
          </cell>
          <cell r="C2864">
            <v>73</v>
          </cell>
          <cell r="D2864">
            <v>0</v>
          </cell>
          <cell r="E2864">
            <v>0</v>
          </cell>
          <cell r="F2864">
            <v>0</v>
          </cell>
          <cell r="G2864">
            <v>496</v>
          </cell>
          <cell r="J2864" t="str">
            <v>MARTIN BROWER</v>
          </cell>
          <cell r="O2864">
            <v>34</v>
          </cell>
        </row>
        <row r="2865">
          <cell r="A2865" t="str">
            <v>MARTIN BROWER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400</v>
          </cell>
          <cell r="J2865" t="str">
            <v>MARTIN BROWER</v>
          </cell>
          <cell r="N2865">
            <v>230</v>
          </cell>
        </row>
        <row r="2866">
          <cell r="A2866" t="str">
            <v>MARTIN BROWER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34</v>
          </cell>
          <cell r="J2866" t="str">
            <v>MARTIN BROWER</v>
          </cell>
          <cell r="M2866">
            <v>352</v>
          </cell>
        </row>
        <row r="2867">
          <cell r="A2867" t="str">
            <v>MARTIN BROWER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>
            <v>230</v>
          </cell>
          <cell r="J2867" t="str">
            <v>MARTIN BROWER</v>
          </cell>
          <cell r="N2867">
            <v>510</v>
          </cell>
        </row>
        <row r="2868">
          <cell r="A2868" t="str">
            <v>MARTIN BROWER</v>
          </cell>
          <cell r="C2868">
            <v>225</v>
          </cell>
          <cell r="D2868">
            <v>0</v>
          </cell>
          <cell r="E2868">
            <v>0</v>
          </cell>
          <cell r="F2868">
            <v>0</v>
          </cell>
          <cell r="G2868">
            <v>352</v>
          </cell>
          <cell r="J2868" t="str">
            <v>MARTIN BROWER</v>
          </cell>
          <cell r="N2868">
            <v>97</v>
          </cell>
        </row>
        <row r="2869">
          <cell r="A2869" t="str">
            <v>MARTIN BROWER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>
            <v>510</v>
          </cell>
          <cell r="J2869" t="str">
            <v>MARTIN BROWER</v>
          </cell>
          <cell r="M2869">
            <v>1350</v>
          </cell>
        </row>
        <row r="2870">
          <cell r="A2870" t="str">
            <v>MARTIN BROWER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>
            <v>97</v>
          </cell>
          <cell r="J2870" t="str">
            <v>MARTIN BROWER</v>
          </cell>
          <cell r="M2870">
            <v>77</v>
          </cell>
        </row>
        <row r="2871">
          <cell r="A2871" t="str">
            <v>MARTIN BROWER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>
            <v>1350</v>
          </cell>
          <cell r="J2871" t="str">
            <v>MARTIN BROWER</v>
          </cell>
          <cell r="N2871">
            <v>130</v>
          </cell>
        </row>
        <row r="2872">
          <cell r="A2872" t="str">
            <v>MARTIN BROWER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77</v>
          </cell>
          <cell r="J2872" t="str">
            <v>MARTIN BROWER</v>
          </cell>
          <cell r="M2872">
            <v>125</v>
          </cell>
        </row>
        <row r="2873">
          <cell r="A2873" t="str">
            <v>MARTIN BROWER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130</v>
          </cell>
          <cell r="J2873" t="str">
            <v>MARTIN BROWER</v>
          </cell>
          <cell r="O2873">
            <v>0</v>
          </cell>
        </row>
        <row r="2874">
          <cell r="A2874" t="str">
            <v>MARTIN BROWER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125</v>
          </cell>
          <cell r="J2874" t="str">
            <v>MARTIN BROWER</v>
          </cell>
          <cell r="M2874">
            <v>209</v>
          </cell>
        </row>
        <row r="2875">
          <cell r="A2875" t="str">
            <v>MARTIN BROWER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J2875" t="str">
            <v>MARTIN BROWER</v>
          </cell>
          <cell r="M2875">
            <v>0</v>
          </cell>
        </row>
        <row r="2876">
          <cell r="A2876" t="str">
            <v>MARTIN BROWER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209</v>
          </cell>
          <cell r="J2876" t="str">
            <v>MARTIN BROWER</v>
          </cell>
          <cell r="S2876">
            <v>150</v>
          </cell>
        </row>
        <row r="2877">
          <cell r="A2877" t="str">
            <v>MARTIN BROWER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J2877" t="str">
            <v>MARTIN BROWER</v>
          </cell>
          <cell r="N2877">
            <v>6</v>
          </cell>
        </row>
        <row r="2878">
          <cell r="A2878" t="str">
            <v>MARTIN BROWER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150</v>
          </cell>
          <cell r="J2878" t="str">
            <v>MARTIN BROWER</v>
          </cell>
          <cell r="R2878">
            <v>0</v>
          </cell>
        </row>
        <row r="2879">
          <cell r="A2879" t="str">
            <v>MARTIN BROWER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6</v>
          </cell>
          <cell r="J2879" t="str">
            <v>MARTIN BROWER</v>
          </cell>
          <cell r="P2879">
            <v>173</v>
          </cell>
        </row>
        <row r="2880">
          <cell r="A2880" t="str">
            <v>MARTIN BROWER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J2880" t="str">
            <v>MARTIN BROWER</v>
          </cell>
          <cell r="V2880">
            <v>0</v>
          </cell>
        </row>
        <row r="2881">
          <cell r="A2881" t="str">
            <v>MARTIN BROWER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173</v>
          </cell>
          <cell r="J2881" t="str">
            <v>MARTIN BROWER</v>
          </cell>
          <cell r="N2881">
            <v>110</v>
          </cell>
        </row>
        <row r="2882">
          <cell r="A2882" t="str">
            <v>MARTIN BROWER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J2882" t="str">
            <v>MARTIN BROWER</v>
          </cell>
          <cell r="M2882">
            <v>52</v>
          </cell>
        </row>
        <row r="2883">
          <cell r="A2883" t="str">
            <v>MARTIN BROWER</v>
          </cell>
          <cell r="C2883">
            <v>0</v>
          </cell>
          <cell r="D2883">
            <v>35</v>
          </cell>
          <cell r="E2883">
            <v>0</v>
          </cell>
          <cell r="F2883">
            <v>0</v>
          </cell>
          <cell r="G2883">
            <v>110</v>
          </cell>
          <cell r="J2883" t="str">
            <v>MERCALIMENTOS PANAMA, S.A</v>
          </cell>
          <cell r="M2883">
            <v>325</v>
          </cell>
        </row>
        <row r="2884">
          <cell r="A2884" t="str">
            <v>MARTIN BROWER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>
            <v>52</v>
          </cell>
          <cell r="J2884" t="str">
            <v>MERCALIMENTOS PANAMA, S.A</v>
          </cell>
          <cell r="O2884">
            <v>30</v>
          </cell>
        </row>
        <row r="2885">
          <cell r="A2885" t="str">
            <v>MERCALIMENTOS PANAMA, S.A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325</v>
          </cell>
          <cell r="J2885" t="str">
            <v>MERCALIMENTOS PANAMA, S.A</v>
          </cell>
          <cell r="P2885">
            <v>102</v>
          </cell>
        </row>
        <row r="2886">
          <cell r="A2886" t="str">
            <v>MERCALIMENTOS PANAMA, S.A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30</v>
          </cell>
          <cell r="J2886" t="str">
            <v>MERCALIMENTOS PANAMA, S.A</v>
          </cell>
          <cell r="O2886">
            <v>180</v>
          </cell>
        </row>
        <row r="2887">
          <cell r="A2887" t="str">
            <v>MERCALIMENTOS PANAMA, S.A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102</v>
          </cell>
          <cell r="J2887" t="str">
            <v>MERCALIMENTOS PANAMA, S.A</v>
          </cell>
          <cell r="N2887">
            <v>70</v>
          </cell>
        </row>
        <row r="2888">
          <cell r="A2888" t="str">
            <v>MERCALIMENTOS PANAMA, S.A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180</v>
          </cell>
          <cell r="J2888" t="str">
            <v>MERCALIMENTOS PANAMA, S.A</v>
          </cell>
          <cell r="Q2888">
            <v>1060</v>
          </cell>
        </row>
        <row r="2889">
          <cell r="A2889" t="str">
            <v>MERCALIMENTOS PANAMA, S.A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>
            <v>70</v>
          </cell>
          <cell r="J2889" t="str">
            <v>MERCALIMENTOS PANAMA, S.A</v>
          </cell>
          <cell r="N2889">
            <v>100</v>
          </cell>
        </row>
        <row r="2890">
          <cell r="A2890" t="str">
            <v>MERCALIMENTOS PANAMA, S.A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1060</v>
          </cell>
          <cell r="J2890" t="str">
            <v>MERCALIMENTOS PANAMA, S.A</v>
          </cell>
          <cell r="R2890">
            <v>180</v>
          </cell>
        </row>
        <row r="2891">
          <cell r="A2891" t="str">
            <v>MERCALIMENTOS PANAMA, S.A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100</v>
          </cell>
          <cell r="J2891" t="str">
            <v>MERCALIMENTOS PANAMA, S.A</v>
          </cell>
          <cell r="R2891">
            <v>40</v>
          </cell>
        </row>
        <row r="2892">
          <cell r="A2892" t="str">
            <v>MERCALIMENTOS PANAMA, S.A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180</v>
          </cell>
          <cell r="J2892" t="str">
            <v>MERCALIMENTOS PANAMA, S.A</v>
          </cell>
          <cell r="S2892">
            <v>73</v>
          </cell>
        </row>
        <row r="2893">
          <cell r="A2893" t="str">
            <v>MERCALIMENTOS PANAMA, S.A</v>
          </cell>
          <cell r="C2893">
            <v>40</v>
          </cell>
          <cell r="D2893">
            <v>0</v>
          </cell>
          <cell r="E2893">
            <v>0</v>
          </cell>
          <cell r="F2893">
            <v>0</v>
          </cell>
          <cell r="G2893">
            <v>40</v>
          </cell>
          <cell r="J2893" t="str">
            <v>MERCALIMENTOS PANAMA, S.A</v>
          </cell>
          <cell r="O2893">
            <v>65</v>
          </cell>
        </row>
        <row r="2894">
          <cell r="A2894" t="str">
            <v>MERCALIMENTOS PANAMA, S.A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73</v>
          </cell>
          <cell r="J2894" t="str">
            <v>MERCALIMENTOS PANAMA, S.A</v>
          </cell>
          <cell r="N2894">
            <v>70</v>
          </cell>
        </row>
        <row r="2895">
          <cell r="A2895" t="str">
            <v>MERCALIMENTOS PANAMA, S.A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65</v>
          </cell>
          <cell r="J2895" t="str">
            <v>MERCALIMENTOS PANAMA, S.A</v>
          </cell>
          <cell r="O2895">
            <v>1090</v>
          </cell>
        </row>
        <row r="2896">
          <cell r="A2896" t="str">
            <v>MERCALIMENTOS PANAMA, S.A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70</v>
          </cell>
          <cell r="J2896" t="str">
            <v>MERCALIMENTOS PANAMA, S.A</v>
          </cell>
          <cell r="M2896">
            <v>0</v>
          </cell>
        </row>
        <row r="2897">
          <cell r="A2897" t="str">
            <v>MERCALIMENTOS PANAMA, S.A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1090</v>
          </cell>
          <cell r="J2897" t="str">
            <v>MERCALIMENTOS PANAMA, S.A</v>
          </cell>
          <cell r="N2897">
            <v>282</v>
          </cell>
        </row>
        <row r="2898">
          <cell r="A2898" t="str">
            <v>MERCALIMENTOS PANAMA, S.A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J2898" t="str">
            <v>MERCALIMENTOS PANAMA, S.A</v>
          </cell>
          <cell r="N2898">
            <v>467</v>
          </cell>
        </row>
        <row r="2899">
          <cell r="A2899" t="str">
            <v>MERCALIMENTOS PANAMA, S.A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282</v>
          </cell>
          <cell r="J2899" t="str">
            <v>MERCALIMENTOS PANAMA, S.A</v>
          </cell>
          <cell r="N2899">
            <v>881</v>
          </cell>
        </row>
        <row r="2900">
          <cell r="A2900" t="str">
            <v>MERCALIMENTOS PANAMA, S.A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>
            <v>467</v>
          </cell>
          <cell r="J2900" t="str">
            <v>MERCALIMENTOS PANAMA, S.A</v>
          </cell>
          <cell r="N2900">
            <v>38</v>
          </cell>
        </row>
        <row r="2901">
          <cell r="A2901" t="str">
            <v>MERCALIMENTOS PANAMA, S.A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881</v>
          </cell>
          <cell r="J2901" t="str">
            <v>MERCALIMENTOS PANAMA, S.A</v>
          </cell>
          <cell r="N2901">
            <v>70</v>
          </cell>
        </row>
        <row r="2902">
          <cell r="A2902" t="str">
            <v>MERCALIMENTOS PANAMA, S.A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>
            <v>38</v>
          </cell>
          <cell r="J2902" t="str">
            <v>MERCALIMENTOS PANAMA, S.A</v>
          </cell>
          <cell r="N2902">
            <v>62</v>
          </cell>
        </row>
        <row r="2903">
          <cell r="A2903" t="str">
            <v>MERCALIMENTOS PANAMA, S.A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>
            <v>70</v>
          </cell>
          <cell r="J2903" t="str">
            <v>MERCALIMENTOS PANAMA, S.A</v>
          </cell>
          <cell r="O2903">
            <v>116</v>
          </cell>
        </row>
        <row r="2904">
          <cell r="A2904" t="str">
            <v>MERCALIMENTOS PANAMA, S.A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>
            <v>62</v>
          </cell>
          <cell r="J2904" t="str">
            <v>MERCALIMENTOS PANAMA, S.A</v>
          </cell>
          <cell r="N2904">
            <v>542</v>
          </cell>
        </row>
        <row r="2905">
          <cell r="A2905" t="str">
            <v>MERCALIMENTOS PANAMA, S.A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116</v>
          </cell>
          <cell r="J2905" t="str">
            <v>MERCALIMENTOS PANAMA, S.A</v>
          </cell>
          <cell r="S2905">
            <v>211</v>
          </cell>
        </row>
        <row r="2906">
          <cell r="A2906" t="str">
            <v>MERCALIMENTOS PANAMA, S.A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542</v>
          </cell>
          <cell r="J2906" t="str">
            <v>MERCALIMENTOS PANAMA, S.A</v>
          </cell>
          <cell r="O2906">
            <v>138</v>
          </cell>
        </row>
        <row r="2907">
          <cell r="A2907" t="str">
            <v>MERCALIMENTOS PANAMA, S.A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211</v>
          </cell>
          <cell r="J2907" t="str">
            <v>MERCALIMENTOS PANAMA, S.A</v>
          </cell>
          <cell r="N2907">
            <v>147</v>
          </cell>
        </row>
        <row r="2908">
          <cell r="A2908" t="str">
            <v>MERCALIMENTOS PANAMA, S.A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>
            <v>138</v>
          </cell>
          <cell r="J2908" t="str">
            <v>MERCALIMENTOS PANAMA, S.A</v>
          </cell>
          <cell r="N2908">
            <v>62</v>
          </cell>
        </row>
        <row r="2909">
          <cell r="A2909" t="str">
            <v>MERCALIMENTOS PANAMA, S.A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>
            <v>147</v>
          </cell>
          <cell r="J2909" t="str">
            <v>MERCALIMENTOS PANAMA, S.A</v>
          </cell>
          <cell r="T2909">
            <v>84</v>
          </cell>
        </row>
        <row r="2910">
          <cell r="A2910" t="str">
            <v>MERCALIMENTOS PANAMA, S.A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>
            <v>62</v>
          </cell>
          <cell r="J2910" t="str">
            <v>MERCALIMENTOS PANAMA, S.A</v>
          </cell>
          <cell r="M2910">
            <v>100</v>
          </cell>
        </row>
        <row r="2911">
          <cell r="A2911" t="str">
            <v>MERCALIMENTOS PANAMA, S.A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84</v>
          </cell>
          <cell r="J2911" t="str">
            <v>MERCALIMENTOS PANAMA, S.A</v>
          </cell>
          <cell r="N2911">
            <v>264</v>
          </cell>
        </row>
        <row r="2912">
          <cell r="A2912" t="str">
            <v>MERCALIMENTOS PANAMA, S.A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100</v>
          </cell>
          <cell r="J2912" t="str">
            <v>MERCALIMENTOS PANAMA, S.A</v>
          </cell>
          <cell r="O2912">
            <v>60</v>
          </cell>
        </row>
        <row r="2913">
          <cell r="A2913" t="str">
            <v>MERCALIMENTOS PANAMA, S.A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264</v>
          </cell>
          <cell r="J2913" t="str">
            <v>MERCALIMENTOS PANAMA, S.A</v>
          </cell>
          <cell r="N2913">
            <v>50</v>
          </cell>
        </row>
        <row r="2914">
          <cell r="A2914" t="str">
            <v>MERCALIMENTOS PANAMA, S.A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60</v>
          </cell>
          <cell r="J2914" t="str">
            <v>MERCALIMENTOS PANAMA, S.A</v>
          </cell>
          <cell r="N2914">
            <v>86</v>
          </cell>
        </row>
        <row r="2915">
          <cell r="A2915" t="str">
            <v>MERCALIMENTOS PANAMA, S.A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50</v>
          </cell>
          <cell r="J2915" t="str">
            <v>MERCALIMENTOS PANAMA, S.A</v>
          </cell>
          <cell r="M2915">
            <v>201</v>
          </cell>
        </row>
        <row r="2916">
          <cell r="A2916" t="str">
            <v>MERCALIMENTOS PANAMA, S.A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86</v>
          </cell>
          <cell r="J2916" t="str">
            <v>MERCALIMENTOS PANAMA, S.A</v>
          </cell>
          <cell r="R2916">
            <v>181</v>
          </cell>
        </row>
        <row r="2917">
          <cell r="A2917" t="str">
            <v>MERCALIMENTOS PANAMA, S.A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201</v>
          </cell>
          <cell r="J2917" t="str">
            <v>MERCALIMENTOS PANAMA, S.A</v>
          </cell>
          <cell r="T2917">
            <v>635</v>
          </cell>
        </row>
        <row r="2918">
          <cell r="A2918" t="str">
            <v>MERCALIMENTOS PANAMA, S.A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181</v>
          </cell>
          <cell r="J2918" t="str">
            <v>MERCALIMENTOS PANAMA, S.A</v>
          </cell>
          <cell r="N2918">
            <v>201</v>
          </cell>
        </row>
        <row r="2919">
          <cell r="A2919" t="str">
            <v>MERCALIMENTOS PANAMA, S.A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635</v>
          </cell>
          <cell r="J2919" t="str">
            <v>MERCALIMENTOS PANAMA, S.A</v>
          </cell>
          <cell r="N2919">
            <v>0</v>
          </cell>
        </row>
        <row r="2920">
          <cell r="A2920" t="str">
            <v>MERCALIMENTOS PANAMA, S.A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201</v>
          </cell>
          <cell r="J2920" t="str">
            <v>MERCALIMENTOS PANAMA, S.A</v>
          </cell>
          <cell r="N2920">
            <v>284</v>
          </cell>
        </row>
        <row r="2921">
          <cell r="A2921" t="str">
            <v>MERCALIMENTOS PANAMA, S.A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J2921" t="str">
            <v>MERCALIMENTOS PANAMA, S.A</v>
          </cell>
          <cell r="M2921">
            <v>150</v>
          </cell>
        </row>
        <row r="2922">
          <cell r="A2922" t="str">
            <v>MERCALIMENTOS PANAMA, S.A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284</v>
          </cell>
          <cell r="J2922" t="str">
            <v>MERCALIMENTOS PANAMA, S.A</v>
          </cell>
          <cell r="O2922">
            <v>1200</v>
          </cell>
        </row>
        <row r="2923">
          <cell r="A2923" t="str">
            <v>MERCALIMENTOS PANAMA, S.A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>
            <v>150</v>
          </cell>
          <cell r="J2923" t="str">
            <v>MERCALIMENTOS PANAMA, S.A</v>
          </cell>
          <cell r="N2923">
            <v>20</v>
          </cell>
        </row>
        <row r="2924">
          <cell r="A2924" t="str">
            <v>MERCALIMENTOS PANAMA, S.A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>
            <v>1200</v>
          </cell>
          <cell r="J2924" t="str">
            <v>MERCALIMENTOS PANAMA, S.A</v>
          </cell>
          <cell r="M2924">
            <v>390</v>
          </cell>
        </row>
        <row r="2925">
          <cell r="A2925" t="str">
            <v>MERCALIMENTOS PANAMA, S.A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>
            <v>20</v>
          </cell>
          <cell r="J2925" t="str">
            <v>MERCALIMENTOS PANAMA, S.A</v>
          </cell>
          <cell r="N2925">
            <v>250</v>
          </cell>
        </row>
        <row r="2926">
          <cell r="A2926" t="str">
            <v>MERCALIMENTOS PANAMA, S.A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390</v>
          </cell>
          <cell r="J2926" t="str">
            <v>MERCALIMENTOS PANAMA, S.A</v>
          </cell>
          <cell r="N2926">
            <v>356</v>
          </cell>
        </row>
        <row r="2927">
          <cell r="A2927" t="str">
            <v>MERCALIMENTOS PANAMA, S.A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250</v>
          </cell>
          <cell r="J2927" t="str">
            <v>MERCALIMENTOS PANAMA, S.A</v>
          </cell>
          <cell r="N2927">
            <v>90</v>
          </cell>
        </row>
        <row r="2928">
          <cell r="A2928" t="str">
            <v>MERCALIMENTOS PANAMA, S.A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356</v>
          </cell>
          <cell r="J2928" t="str">
            <v>MERCALIMENTOS PANAMA, S.A</v>
          </cell>
          <cell r="N2928">
            <v>84</v>
          </cell>
        </row>
        <row r="2929">
          <cell r="A2929" t="str">
            <v>MERCALIMENTOS PANAMA, S.A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90</v>
          </cell>
          <cell r="J2929" t="str">
            <v>MERCALIMENTOS PANAMA, S.A</v>
          </cell>
          <cell r="N2929">
            <v>22</v>
          </cell>
        </row>
        <row r="2930">
          <cell r="A2930" t="str">
            <v>MERCALIMENTOS PANAMA, S.A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84</v>
          </cell>
          <cell r="J2930" t="str">
            <v>MERCALIMENTOS PANAMA, S.A</v>
          </cell>
          <cell r="N2930">
            <v>456</v>
          </cell>
        </row>
        <row r="2931">
          <cell r="A2931" t="str">
            <v>MERCALIMENTOS PANAMA, S.A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22</v>
          </cell>
          <cell r="J2931" t="str">
            <v>MERCALIMENTOS PANAMA, S.A</v>
          </cell>
          <cell r="N2931">
            <v>251</v>
          </cell>
        </row>
        <row r="2932">
          <cell r="A2932" t="str">
            <v>MERCALIMENTOS PANAMA, S.A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456</v>
          </cell>
          <cell r="J2932" t="str">
            <v>MERCALIMENTOS PANAMA, S.A</v>
          </cell>
          <cell r="N2932">
            <v>60</v>
          </cell>
        </row>
        <row r="2933">
          <cell r="A2933" t="str">
            <v>MERCALIMENTOS PANAMA, S.A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251</v>
          </cell>
          <cell r="J2933" t="str">
            <v>MERCALIMENTOS PANAMA, S.A</v>
          </cell>
          <cell r="N2933">
            <v>75</v>
          </cell>
        </row>
        <row r="2934">
          <cell r="A2934" t="str">
            <v>MERCALIMENTOS PANAMA, S.A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60</v>
          </cell>
          <cell r="J2934" t="str">
            <v>MERCALIMENTOS PANAMA, S.A</v>
          </cell>
          <cell r="O2934">
            <v>1017</v>
          </cell>
        </row>
        <row r="2935">
          <cell r="A2935" t="str">
            <v>MERCALIMENTOS PANAMA, S.A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75</v>
          </cell>
          <cell r="J2935" t="str">
            <v>MERCALIMENTOS PANAMA, S.A</v>
          </cell>
          <cell r="N2935">
            <v>107</v>
          </cell>
        </row>
        <row r="2936">
          <cell r="A2936" t="str">
            <v>MERCALIMENTOS PANAMA, S.A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1017</v>
          </cell>
          <cell r="J2936" t="str">
            <v>MERCALIMENTOS PANAMA, S.A</v>
          </cell>
          <cell r="N2936">
            <v>50</v>
          </cell>
        </row>
        <row r="2937">
          <cell r="A2937" t="str">
            <v>MERCALIMENTOS PANAMA, S.A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107</v>
          </cell>
          <cell r="J2937" t="str">
            <v>MERCALIMENTOS PANAMA, S.A</v>
          </cell>
          <cell r="Q2937">
            <v>60</v>
          </cell>
        </row>
        <row r="2938">
          <cell r="A2938" t="str">
            <v>MERCALIMENTOS PANAMA, S.A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50</v>
          </cell>
          <cell r="J2938" t="str">
            <v>MERCALIMENTOS PANAMA, S.A</v>
          </cell>
          <cell r="M2938">
            <v>910</v>
          </cell>
        </row>
        <row r="2939">
          <cell r="A2939" t="str">
            <v>MERCALIMENTOS PANAMA, S.A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60</v>
          </cell>
          <cell r="J2939" t="str">
            <v>MERCALIMENTOS PANAMA, S.A</v>
          </cell>
          <cell r="M2939">
            <v>400</v>
          </cell>
        </row>
        <row r="2940">
          <cell r="A2940" t="str">
            <v>MERCALIMENTOS PANAMA, S.A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910</v>
          </cell>
          <cell r="J2940" t="str">
            <v>MERCALIMENTOS PANAMA, S.A</v>
          </cell>
          <cell r="O2940">
            <v>256</v>
          </cell>
        </row>
        <row r="2941">
          <cell r="A2941" t="str">
            <v>MERCALIMENTOS PANAMA, S.A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400</v>
          </cell>
          <cell r="J2941" t="str">
            <v>MERCALIMENTOS PANAMA, S.A</v>
          </cell>
          <cell r="Q2941">
            <v>496</v>
          </cell>
        </row>
        <row r="2942">
          <cell r="A2942" t="str">
            <v>MERCALIMENTOS PANAMA, S.A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256</v>
          </cell>
          <cell r="J2942" t="str">
            <v>MERCALIMENTOS PANAMA, S.A</v>
          </cell>
          <cell r="Q2942">
            <v>4560</v>
          </cell>
        </row>
        <row r="2943">
          <cell r="A2943" t="str">
            <v>MERCALIMENTOS PANAMA, S.A</v>
          </cell>
          <cell r="C2943">
            <v>73</v>
          </cell>
          <cell r="D2943">
            <v>0</v>
          </cell>
          <cell r="E2943">
            <v>0</v>
          </cell>
          <cell r="F2943">
            <v>0</v>
          </cell>
          <cell r="G2943">
            <v>496</v>
          </cell>
          <cell r="J2943" t="str">
            <v>MERCALIMENTOS PANAMA, S.A</v>
          </cell>
          <cell r="M2943">
            <v>400</v>
          </cell>
        </row>
        <row r="2944">
          <cell r="A2944" t="str">
            <v>MERCALIMENTOS PANAMA, S.A</v>
          </cell>
          <cell r="C2944">
            <v>0</v>
          </cell>
          <cell r="D2944">
            <v>680</v>
          </cell>
          <cell r="E2944">
            <v>450</v>
          </cell>
          <cell r="F2944">
            <v>450</v>
          </cell>
          <cell r="G2944">
            <v>4560</v>
          </cell>
          <cell r="J2944" t="str">
            <v>MERCALIMENTOS PANAMA, S.A</v>
          </cell>
          <cell r="O2944">
            <v>34</v>
          </cell>
        </row>
        <row r="2945">
          <cell r="A2945" t="str">
            <v>MERCALIMENTOS PANAMA, S.A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400</v>
          </cell>
          <cell r="J2945" t="str">
            <v>MERCALIMENTOS PANAMA, S.A</v>
          </cell>
          <cell r="N2945">
            <v>230</v>
          </cell>
        </row>
        <row r="2946">
          <cell r="A2946" t="str">
            <v>MERCALIMENTOS PANAMA, S.A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34</v>
          </cell>
          <cell r="J2946" t="str">
            <v>MERCALIMENTOS PANAMA, S.A</v>
          </cell>
          <cell r="M2946">
            <v>350</v>
          </cell>
        </row>
        <row r="2947">
          <cell r="A2947" t="str">
            <v>MERCALIMENTOS PANAMA, S.A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>
            <v>230</v>
          </cell>
          <cell r="J2947" t="str">
            <v>MERCALIMENTOS PANAMA, S.A</v>
          </cell>
          <cell r="T2947">
            <v>50</v>
          </cell>
        </row>
        <row r="2948">
          <cell r="A2948" t="str">
            <v>MERCALIMENTOS PANAMA, S.A</v>
          </cell>
          <cell r="C2948">
            <v>200</v>
          </cell>
          <cell r="D2948">
            <v>25</v>
          </cell>
          <cell r="E2948">
            <v>100</v>
          </cell>
          <cell r="F2948">
            <v>25</v>
          </cell>
          <cell r="G2948">
            <v>350</v>
          </cell>
          <cell r="J2948" t="str">
            <v>MERCALIMENTOS PANAMA, S.A</v>
          </cell>
          <cell r="T2948">
            <v>192</v>
          </cell>
        </row>
        <row r="2949">
          <cell r="A2949" t="str">
            <v>MERCALIMENTOS PANAMA, S.A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50</v>
          </cell>
          <cell r="J2949" t="str">
            <v>MERCALIMENTOS PANAMA, S.A</v>
          </cell>
          <cell r="N2949">
            <v>510</v>
          </cell>
        </row>
        <row r="2950">
          <cell r="A2950" t="str">
            <v>MERCALIMENTOS PANAMA, S.A</v>
          </cell>
          <cell r="C2950">
            <v>85</v>
          </cell>
          <cell r="D2950">
            <v>22</v>
          </cell>
          <cell r="E2950">
            <v>25</v>
          </cell>
          <cell r="F2950">
            <v>29</v>
          </cell>
          <cell r="G2950">
            <v>192</v>
          </cell>
          <cell r="J2950" t="str">
            <v>MERCALIMENTOS PANAMA, S.A</v>
          </cell>
          <cell r="N2950">
            <v>97</v>
          </cell>
        </row>
        <row r="2951">
          <cell r="A2951" t="str">
            <v>MERCALIMENTOS PANAMA, S.A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510</v>
          </cell>
          <cell r="J2951" t="str">
            <v>MERCALIMENTOS PANAMA, S.A</v>
          </cell>
          <cell r="M2951">
            <v>40</v>
          </cell>
        </row>
        <row r="2952">
          <cell r="A2952" t="str">
            <v>MERCALIMENTOS PANAMA, S.A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97</v>
          </cell>
          <cell r="J2952" t="str">
            <v>MERCALIMENTOS PANAMA, S.A</v>
          </cell>
          <cell r="M2952">
            <v>1350</v>
          </cell>
        </row>
        <row r="2953">
          <cell r="A2953" t="str">
            <v>MERCALIMENTOS PANAMA, S.A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>
            <v>40</v>
          </cell>
          <cell r="J2953" t="str">
            <v>MERCALIMENTOS PANAMA, S.A</v>
          </cell>
          <cell r="R2953">
            <v>130</v>
          </cell>
        </row>
        <row r="2954">
          <cell r="A2954" t="str">
            <v>MERCALIMENTOS PANAMA, S.A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1350</v>
          </cell>
          <cell r="J2954" t="str">
            <v>MERCALIMENTOS PANAMA, S.A</v>
          </cell>
          <cell r="M2954">
            <v>125</v>
          </cell>
        </row>
        <row r="2955">
          <cell r="A2955" t="str">
            <v>MERCALIMENTOS PANAMA, S.A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130</v>
          </cell>
          <cell r="J2955" t="str">
            <v>MERCALIMENTOS PANAMA, S.A</v>
          </cell>
          <cell r="V2955">
            <v>0</v>
          </cell>
        </row>
        <row r="2956">
          <cell r="A2956" t="str">
            <v>MERCALIMENTOS PANAMA, S.A</v>
          </cell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G2956">
            <v>125</v>
          </cell>
          <cell r="J2956" t="str">
            <v>MERCALIMENTOS PANAMA, S.A</v>
          </cell>
          <cell r="S2956">
            <v>50</v>
          </cell>
        </row>
        <row r="2957">
          <cell r="A2957" t="str">
            <v>MERCALIMENTOS PANAMA, S.A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J2957" t="str">
            <v>MERCALIMENTOS PANAMA, S.A</v>
          </cell>
          <cell r="M2957">
            <v>25</v>
          </cell>
        </row>
        <row r="2958">
          <cell r="A2958" t="str">
            <v>MERCALIMENTOS PANAMA, S.A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50</v>
          </cell>
          <cell r="J2958" t="str">
            <v>MERCALIMENTOS PANAMA, S.A</v>
          </cell>
          <cell r="V2958">
            <v>0</v>
          </cell>
        </row>
        <row r="2959">
          <cell r="A2959" t="str">
            <v>MERCALIMENTOS PANAMA, S.A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25</v>
          </cell>
          <cell r="J2959" t="str">
            <v>MERCALIMENTOS PANAMA, S.A</v>
          </cell>
          <cell r="Y2959">
            <v>0</v>
          </cell>
        </row>
        <row r="2960">
          <cell r="A2960" t="str">
            <v>MERCALIMENTOS PANAMA, S.A</v>
          </cell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J2960" t="str">
            <v>MERCALIMENTOS PANAMA, S.A</v>
          </cell>
          <cell r="M2960">
            <v>209</v>
          </cell>
        </row>
        <row r="2961">
          <cell r="A2961" t="str">
            <v>MERCALIMENTOS PANAMA, S.A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>
            <v>0</v>
          </cell>
          <cell r="J2961" t="str">
            <v>MERCALIMENTOS PANAMA, S.A</v>
          </cell>
          <cell r="M2961">
            <v>0</v>
          </cell>
        </row>
        <row r="2962">
          <cell r="A2962" t="str">
            <v>MERCALIMENTOS PANAMA, S.A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>
            <v>209</v>
          </cell>
          <cell r="J2962" t="str">
            <v>MERCALIMENTOS PANAMA, S.A</v>
          </cell>
          <cell r="S2962">
            <v>150</v>
          </cell>
        </row>
        <row r="2963">
          <cell r="A2963" t="str">
            <v>MERCALIMENTOS PANAMA, S.A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>
            <v>0</v>
          </cell>
          <cell r="J2963" t="str">
            <v>MERCALIMENTOS PANAMA, S.A</v>
          </cell>
          <cell r="M2963">
            <v>200</v>
          </cell>
        </row>
        <row r="2964">
          <cell r="A2964" t="str">
            <v>MERCALIMENTOS PANAMA, S.A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150</v>
          </cell>
          <cell r="J2964" t="str">
            <v>MERCALIMENTOS PANAMA, S.A</v>
          </cell>
          <cell r="R2964">
            <v>0</v>
          </cell>
        </row>
        <row r="2965">
          <cell r="A2965" t="str">
            <v>MERCALIMENTOS PANAMA, S.A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200</v>
          </cell>
          <cell r="J2965" t="str">
            <v>MERCALIMENTOS PANAMA, S.A</v>
          </cell>
          <cell r="O2965">
            <v>421</v>
          </cell>
        </row>
        <row r="2966">
          <cell r="A2966" t="str">
            <v>MERCALIMENTOS PANAMA, S.A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J2966" t="str">
            <v>MERCALIMENTOS PANAMA, S.A</v>
          </cell>
          <cell r="S2966">
            <v>1190</v>
          </cell>
        </row>
        <row r="2967">
          <cell r="A2967" t="str">
            <v>MERCALIMENTOS PANAMA, S.A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421</v>
          </cell>
          <cell r="J2967" t="str">
            <v>MERCALIMENTOS PANAMA, S.A</v>
          </cell>
          <cell r="M2967">
            <v>265</v>
          </cell>
        </row>
        <row r="2968">
          <cell r="A2968" t="str">
            <v>MERCALIMENTOS PANAMA, S.A</v>
          </cell>
          <cell r="C2968">
            <v>1190</v>
          </cell>
          <cell r="D2968">
            <v>0</v>
          </cell>
          <cell r="E2968">
            <v>0</v>
          </cell>
          <cell r="F2968">
            <v>0</v>
          </cell>
          <cell r="G2968">
            <v>1190</v>
          </cell>
          <cell r="J2968" t="str">
            <v>MERCALIMENTOS PANAMA, S.A</v>
          </cell>
          <cell r="N2968">
            <v>110</v>
          </cell>
        </row>
        <row r="2969">
          <cell r="A2969" t="str">
            <v>MERCALIMENTOS PANAMA, S.A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265</v>
          </cell>
          <cell r="J2969" t="str">
            <v>MERCALIMENTOS PANAMA, S.A</v>
          </cell>
          <cell r="N2969">
            <v>130</v>
          </cell>
        </row>
        <row r="2970">
          <cell r="A2970" t="str">
            <v>MERCALIMENTOS PANAMA, S.A</v>
          </cell>
          <cell r="C2970">
            <v>0</v>
          </cell>
          <cell r="D2970">
            <v>35</v>
          </cell>
          <cell r="E2970">
            <v>0</v>
          </cell>
          <cell r="F2970">
            <v>0</v>
          </cell>
          <cell r="G2970">
            <v>110</v>
          </cell>
          <cell r="J2970" t="str">
            <v>MERCALIMENTOS PANAMA, S.A</v>
          </cell>
          <cell r="M2970">
            <v>1300</v>
          </cell>
        </row>
        <row r="2971">
          <cell r="A2971" t="str">
            <v>MERCALIMENTOS PANAMA, S.A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130</v>
          </cell>
          <cell r="J2971" t="str">
            <v>MERCALIMENTOS PANAMA, S.A</v>
          </cell>
          <cell r="M2971">
            <v>52</v>
          </cell>
        </row>
        <row r="2972">
          <cell r="A2972" t="str">
            <v>MERCALIMENTOS PANAMA, S.A</v>
          </cell>
          <cell r="C2972">
            <v>100</v>
          </cell>
          <cell r="D2972">
            <v>0</v>
          </cell>
          <cell r="E2972">
            <v>0</v>
          </cell>
          <cell r="F2972">
            <v>0</v>
          </cell>
          <cell r="G2972">
            <v>1300</v>
          </cell>
          <cell r="J2972" t="str">
            <v>MERCALIMENTOS PANAMA, S.A</v>
          </cell>
          <cell r="P2972">
            <v>150</v>
          </cell>
        </row>
        <row r="2973">
          <cell r="A2973" t="str">
            <v>MERCALIMENTOS PANAMA, S.A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52</v>
          </cell>
          <cell r="J2973" t="str">
            <v>MERCALIMENTOS PANAMA, S.A</v>
          </cell>
          <cell r="M2973">
            <v>600</v>
          </cell>
        </row>
        <row r="2974">
          <cell r="A2974" t="str">
            <v>MERCALIMENTOS PANAMA, S.A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150</v>
          </cell>
          <cell r="J2974" t="str">
            <v>MERCALIMENTOS PANAMA, S.A</v>
          </cell>
          <cell r="O2974">
            <v>105</v>
          </cell>
        </row>
        <row r="2975">
          <cell r="A2975" t="str">
            <v>MERCALIMENTOS PANAMA, S.A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600</v>
          </cell>
          <cell r="J2975" t="str">
            <v>MERCALIMENTOS PANAMA, S.A</v>
          </cell>
          <cell r="N2975">
            <v>490</v>
          </cell>
        </row>
        <row r="2976">
          <cell r="A2976" t="str">
            <v>MERCALIMENTOS PANAMA, S.A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105</v>
          </cell>
          <cell r="J2976" t="str">
            <v>MERCALIMENTOS PANAMA, S.A</v>
          </cell>
          <cell r="O2976">
            <v>480</v>
          </cell>
        </row>
        <row r="2977">
          <cell r="A2977" t="str">
            <v>MERCALIMENTOS PANAMA, S.A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490</v>
          </cell>
          <cell r="J2977" t="str">
            <v>MERCALIMENTOS PANAMA, S.A</v>
          </cell>
          <cell r="M2977">
            <v>740</v>
          </cell>
        </row>
        <row r="2978">
          <cell r="A2978" t="str">
            <v>MERCALIMENTOS PANAMA, S.A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480</v>
          </cell>
          <cell r="J2978" t="str">
            <v>MERCALIMENTOS PANAMA, S.A</v>
          </cell>
          <cell r="Y2978">
            <v>50</v>
          </cell>
        </row>
        <row r="2979">
          <cell r="A2979" t="str">
            <v>MERCALIMENTOS PANAMA, S.A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740</v>
          </cell>
          <cell r="J2979" t="str">
            <v>MERCALIMENTOS PANAMA, S.A</v>
          </cell>
          <cell r="M2979">
            <v>0</v>
          </cell>
        </row>
        <row r="2980">
          <cell r="A2980" t="str">
            <v>MERCALIMENTOS PANAMA, S.A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50</v>
          </cell>
          <cell r="J2980" t="str">
            <v>FRESCAFHISH, S.A</v>
          </cell>
          <cell r="S2980">
            <v>73</v>
          </cell>
        </row>
        <row r="2981">
          <cell r="A2981" t="str">
            <v>MERCALIMENTOS PANAMA, S.A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J2981" t="str">
            <v>FRESCAFHISH, S.A</v>
          </cell>
          <cell r="O2981">
            <v>65</v>
          </cell>
        </row>
        <row r="2982">
          <cell r="A2982" t="str">
            <v>FRESCAFHISH, S.A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73</v>
          </cell>
          <cell r="J2982" t="str">
            <v>FRESCAFHISH, S.A</v>
          </cell>
          <cell r="M2982">
            <v>0</v>
          </cell>
        </row>
        <row r="2983">
          <cell r="A2983" t="str">
            <v>FRESCAFHISH, S.A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>
            <v>65</v>
          </cell>
          <cell r="J2983" t="str">
            <v>FRESCAFHISH, S.A</v>
          </cell>
          <cell r="N2983">
            <v>282</v>
          </cell>
        </row>
        <row r="2984">
          <cell r="A2984" t="str">
            <v>FRESCAFHISH, S.A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J2984" t="str">
            <v>FRESCAFHISH, S.A</v>
          </cell>
          <cell r="O2984">
            <v>138</v>
          </cell>
        </row>
        <row r="2985">
          <cell r="A2985" t="str">
            <v>FRESCAFHISH, S.A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>
            <v>282</v>
          </cell>
          <cell r="J2985" t="str">
            <v>FRESCAFHISH, S.A</v>
          </cell>
          <cell r="N2985">
            <v>62</v>
          </cell>
        </row>
        <row r="2986">
          <cell r="A2986" t="str">
            <v>FRESCAFHISH, S.A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138</v>
          </cell>
          <cell r="J2986" t="str">
            <v>FRESCAFHISH, S.A</v>
          </cell>
          <cell r="T2986">
            <v>84</v>
          </cell>
        </row>
        <row r="2987">
          <cell r="A2987" t="str">
            <v>FRESCAFHISH, S.A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62</v>
          </cell>
          <cell r="J2987" t="str">
            <v>FRESCAFHISH, S.A</v>
          </cell>
          <cell r="T2987">
            <v>73</v>
          </cell>
        </row>
        <row r="2988">
          <cell r="A2988" t="str">
            <v>FRESCAFHISH, S.A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84</v>
          </cell>
          <cell r="J2988" t="str">
            <v>FRESCAFHISH, S.A</v>
          </cell>
          <cell r="T2988">
            <v>635</v>
          </cell>
        </row>
        <row r="2989">
          <cell r="A2989" t="str">
            <v>FRESCAFHISH, S.A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73</v>
          </cell>
          <cell r="J2989" t="str">
            <v>FRESCAFHISH, S.A</v>
          </cell>
          <cell r="N2989">
            <v>0</v>
          </cell>
        </row>
        <row r="2990">
          <cell r="A2990" t="str">
            <v>FRESCAFHISH, S.A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635</v>
          </cell>
          <cell r="J2990" t="str">
            <v>FRESCAFHISH, S.A</v>
          </cell>
          <cell r="T2990">
            <v>30</v>
          </cell>
        </row>
        <row r="2991">
          <cell r="A2991" t="str">
            <v>FRESCAFHISH, S.A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J2991" t="str">
            <v>FRESCAFHISH, S.A</v>
          </cell>
          <cell r="W2991">
            <v>0</v>
          </cell>
        </row>
        <row r="2992">
          <cell r="A2992" t="str">
            <v>FRESCAFHISH, S.A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30</v>
          </cell>
          <cell r="J2992" t="str">
            <v>FRESCAFHISH, S.A</v>
          </cell>
          <cell r="U2992">
            <v>251</v>
          </cell>
        </row>
        <row r="2993">
          <cell r="A2993" t="str">
            <v>FRESCAFHISH, S.A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J2993" t="str">
            <v>FRESCAFHISH, S.A</v>
          </cell>
          <cell r="Y2993">
            <v>0</v>
          </cell>
        </row>
        <row r="2994">
          <cell r="A2994" t="str">
            <v>FRESCAFHISH, S.A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>
            <v>251</v>
          </cell>
          <cell r="J2994" t="str">
            <v>FRESCAFHISH, S.A</v>
          </cell>
          <cell r="S2994">
            <v>40</v>
          </cell>
        </row>
        <row r="2995">
          <cell r="A2995" t="str">
            <v>FRESCAFHISH, S.A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J2995" t="str">
            <v>FRESCAFHISH, S.A</v>
          </cell>
          <cell r="Y2995">
            <v>50</v>
          </cell>
        </row>
        <row r="2996">
          <cell r="A2996" t="str">
            <v>FRESCAFHISH, S.A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40</v>
          </cell>
          <cell r="J2996" t="str">
            <v>FRESCAFHISH, S.A</v>
          </cell>
          <cell r="W2996">
            <v>200</v>
          </cell>
        </row>
        <row r="2997">
          <cell r="A2997" t="str">
            <v>FRESCAFHISH, S.A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50</v>
          </cell>
          <cell r="J2997" t="str">
            <v>FRESCAFHISH, S.A</v>
          </cell>
          <cell r="V2997">
            <v>39</v>
          </cell>
        </row>
        <row r="2998">
          <cell r="A2998" t="str">
            <v>FRESCAFHISH, S.A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200</v>
          </cell>
          <cell r="J2998" t="str">
            <v>Federación Nacional de Cooperativas Salineras de Panamá (FENCOSPA, R.L.)</v>
          </cell>
          <cell r="Y2998">
            <v>0</v>
          </cell>
        </row>
        <row r="2999">
          <cell r="A2999" t="str">
            <v>FRESCAFHISH, S.A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39</v>
          </cell>
          <cell r="J2999" t="str">
            <v>IMPORTADORA RICAMAR - SUPER 99</v>
          </cell>
          <cell r="M2999">
            <v>325</v>
          </cell>
        </row>
        <row r="3000">
          <cell r="A3000" t="str">
            <v>Federación Nacional de Cooperativas Salineras de Panamá (FENCOSPA, R.L.)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J3000" t="str">
            <v>IMPORTADORA RICAMAR - SUPER 99</v>
          </cell>
          <cell r="O3000">
            <v>180</v>
          </cell>
        </row>
        <row r="3001">
          <cell r="A3001" t="str">
            <v>IMPORTADORA RICAMAR - SUPER 99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325</v>
          </cell>
          <cell r="J3001" t="str">
            <v>IMPORTADORA RICAMAR - SUPER 99</v>
          </cell>
          <cell r="O3001">
            <v>325</v>
          </cell>
        </row>
        <row r="3002">
          <cell r="A3002" t="str">
            <v>IMPORTADORA RICAMAR - SUPER 99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180</v>
          </cell>
          <cell r="J3002" t="str">
            <v>IMPORTADORA RICAMAR - SUPER 99</v>
          </cell>
          <cell r="N3002">
            <v>38</v>
          </cell>
        </row>
        <row r="3003">
          <cell r="A3003" t="str">
            <v>IMPORTADORA RICAMAR - SUPER 99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325</v>
          </cell>
          <cell r="J3003" t="str">
            <v>IMPORTADORA RICAMAR - SUPER 99</v>
          </cell>
          <cell r="N3003">
            <v>243</v>
          </cell>
        </row>
        <row r="3004">
          <cell r="A3004" t="str">
            <v>IMPORTADORA RICAMAR - SUPER 99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38</v>
          </cell>
          <cell r="J3004" t="str">
            <v>IMPORTADORA RICAMAR - SUPER 99</v>
          </cell>
          <cell r="N3004">
            <v>542</v>
          </cell>
        </row>
        <row r="3005">
          <cell r="A3005" t="str">
            <v>IMPORTADORA RICAMAR - SUPER 99</v>
          </cell>
          <cell r="C3005">
            <v>0</v>
          </cell>
          <cell r="D3005">
            <v>13</v>
          </cell>
          <cell r="E3005">
            <v>37</v>
          </cell>
          <cell r="F3005">
            <v>28</v>
          </cell>
          <cell r="G3005">
            <v>243</v>
          </cell>
          <cell r="J3005" t="str">
            <v>IMPORTADORA RICAMAR - SUPER 99</v>
          </cell>
          <cell r="S3005">
            <v>211</v>
          </cell>
        </row>
        <row r="3006">
          <cell r="A3006" t="str">
            <v>IMPORTADORA RICAMAR - SUPER 99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542</v>
          </cell>
          <cell r="J3006" t="str">
            <v>IMPORTADORA RICAMAR - SUPER 99</v>
          </cell>
          <cell r="N3006">
            <v>264</v>
          </cell>
        </row>
        <row r="3007">
          <cell r="A3007" t="str">
            <v>IMPORTADORA RICAMAR - SUPER 99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211</v>
          </cell>
          <cell r="J3007" t="str">
            <v>IMPORTADORA RICAMAR - SUPER 99</v>
          </cell>
          <cell r="S3007">
            <v>179</v>
          </cell>
        </row>
        <row r="3008">
          <cell r="A3008" t="str">
            <v>IMPORTADORA RICAMAR - SUPER 99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264</v>
          </cell>
          <cell r="J3008" t="str">
            <v>IMPORTADORA RICAMAR - SUPER 99</v>
          </cell>
          <cell r="N3008">
            <v>162</v>
          </cell>
        </row>
        <row r="3009">
          <cell r="A3009" t="str">
            <v>IMPORTADORA RICAMAR - SUPER 99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179</v>
          </cell>
          <cell r="J3009" t="str">
            <v>IMPORTADORA RICAMAR - SUPER 99</v>
          </cell>
          <cell r="M3009">
            <v>201</v>
          </cell>
        </row>
        <row r="3010">
          <cell r="A3010" t="str">
            <v>IMPORTADORA RICAMAR - SUPER 99</v>
          </cell>
          <cell r="C3010">
            <v>162</v>
          </cell>
          <cell r="D3010">
            <v>0</v>
          </cell>
          <cell r="E3010">
            <v>0</v>
          </cell>
          <cell r="F3010">
            <v>0</v>
          </cell>
          <cell r="G3010">
            <v>162</v>
          </cell>
          <cell r="J3010" t="str">
            <v>IMPORTADORA RICAMAR - SUPER 99</v>
          </cell>
          <cell r="O3010">
            <v>1200</v>
          </cell>
        </row>
        <row r="3011">
          <cell r="A3011" t="str">
            <v>IMPORTADORA RICAMAR - SUPER 99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201</v>
          </cell>
          <cell r="J3011" t="str">
            <v>IMPORTADORA RICAMAR - SUPER 99</v>
          </cell>
          <cell r="N3011">
            <v>60</v>
          </cell>
        </row>
        <row r="3012">
          <cell r="A3012" t="str">
            <v>IMPORTADORA RICAMAR - SUPER 99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1200</v>
          </cell>
          <cell r="J3012" t="str">
            <v>IMPORTADORA RICAMAR - SUPER 99</v>
          </cell>
          <cell r="O3012">
            <v>219</v>
          </cell>
        </row>
        <row r="3013">
          <cell r="A3013" t="str">
            <v>IMPORTADORA RICAMAR - SUPER 99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60</v>
          </cell>
          <cell r="J3013" t="str">
            <v>IMPORTADORA RICAMAR - SUPER 99</v>
          </cell>
          <cell r="Q3013">
            <v>60</v>
          </cell>
        </row>
        <row r="3014">
          <cell r="A3014" t="str">
            <v>IMPORTADORA RICAMAR - SUPER 99</v>
          </cell>
          <cell r="C3014">
            <v>0</v>
          </cell>
          <cell r="D3014">
            <v>16</v>
          </cell>
          <cell r="E3014">
            <v>19</v>
          </cell>
          <cell r="F3014">
            <v>19</v>
          </cell>
          <cell r="G3014">
            <v>219</v>
          </cell>
          <cell r="J3014" t="str">
            <v>IMPORTADORA RICAMAR - SUPER 99</v>
          </cell>
          <cell r="M3014">
            <v>400</v>
          </cell>
        </row>
        <row r="3015">
          <cell r="A3015" t="str">
            <v>IMPORTADORA RICAMAR - SUPER 99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60</v>
          </cell>
          <cell r="J3015" t="str">
            <v>IMPORTADORA RICAMAR - SUPER 99</v>
          </cell>
          <cell r="Q3015">
            <v>496</v>
          </cell>
        </row>
        <row r="3016">
          <cell r="A3016" t="str">
            <v>IMPORTADORA RICAMAR - SUPER 99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400</v>
          </cell>
          <cell r="J3016" t="str">
            <v>IMPORTADORA RICAMAR - SUPER 99</v>
          </cell>
          <cell r="O3016">
            <v>34</v>
          </cell>
        </row>
        <row r="3017">
          <cell r="A3017" t="str">
            <v>IMPORTADORA RICAMAR - SUPER 99</v>
          </cell>
          <cell r="C3017">
            <v>73</v>
          </cell>
          <cell r="D3017">
            <v>0</v>
          </cell>
          <cell r="E3017">
            <v>0</v>
          </cell>
          <cell r="F3017">
            <v>0</v>
          </cell>
          <cell r="G3017">
            <v>496</v>
          </cell>
          <cell r="J3017" t="str">
            <v>IMPORTADORA RICAMAR - SUPER 99</v>
          </cell>
          <cell r="M3017">
            <v>352</v>
          </cell>
        </row>
        <row r="3018">
          <cell r="A3018" t="str">
            <v>IMPORTADORA RICAMAR - SUPER 99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34</v>
          </cell>
          <cell r="J3018" t="str">
            <v>IMPORTADORA RICAMAR - SUPER 99</v>
          </cell>
          <cell r="N3018">
            <v>97</v>
          </cell>
        </row>
        <row r="3019">
          <cell r="A3019" t="str">
            <v>IMPORTADORA RICAMAR - SUPER 99</v>
          </cell>
          <cell r="C3019">
            <v>225</v>
          </cell>
          <cell r="D3019">
            <v>0</v>
          </cell>
          <cell r="E3019">
            <v>0</v>
          </cell>
          <cell r="F3019">
            <v>0</v>
          </cell>
          <cell r="G3019">
            <v>352</v>
          </cell>
          <cell r="J3019" t="str">
            <v>IMPORTADORA RICAMAR - SUPER 99</v>
          </cell>
          <cell r="M3019">
            <v>77</v>
          </cell>
        </row>
        <row r="3020">
          <cell r="A3020" t="str">
            <v>IMPORTADORA RICAMAR - SUPER 99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97</v>
          </cell>
          <cell r="J3020" t="str">
            <v>IMPORTADORA RICAMAR - SUPER 99</v>
          </cell>
          <cell r="M3020">
            <v>0</v>
          </cell>
        </row>
        <row r="3021">
          <cell r="A3021" t="str">
            <v>IMPORTADORA RICAMAR - SUPER 99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77</v>
          </cell>
          <cell r="J3021" t="str">
            <v>IMPORTADORA RICAMAR - SUPER 99</v>
          </cell>
          <cell r="O3021">
            <v>421</v>
          </cell>
        </row>
        <row r="3022">
          <cell r="A3022" t="str">
            <v>IMPORTADORA RICAMAR - SUPER 99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J3022" t="str">
            <v>IMPORTADORA RICAMAR - SUPER 99</v>
          </cell>
          <cell r="P3022">
            <v>173</v>
          </cell>
        </row>
        <row r="3023">
          <cell r="A3023" t="str">
            <v>IMPORTADORA RICAMAR - SUPER 99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421</v>
          </cell>
          <cell r="J3023" t="str">
            <v>AGENCIAS ESCOFFERY, S.A</v>
          </cell>
          <cell r="N3023">
            <v>100</v>
          </cell>
        </row>
        <row r="3024">
          <cell r="A3024" t="str">
            <v>IMPORTADORA RICAMAR - SUPER 99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173</v>
          </cell>
          <cell r="J3024" t="str">
            <v>AGENCIAS ESCOFFERY, S.A</v>
          </cell>
          <cell r="R3024">
            <v>180</v>
          </cell>
        </row>
        <row r="3025">
          <cell r="A3025" t="str">
            <v>AGENCIAS ESCOFFERY, S.A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100</v>
          </cell>
          <cell r="J3025" t="str">
            <v>AGENCIAS ESCOFFERY, S.A</v>
          </cell>
          <cell r="M3025">
            <v>0</v>
          </cell>
        </row>
        <row r="3026">
          <cell r="A3026" t="str">
            <v>AGENCIAS ESCOFFERY, S.A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180</v>
          </cell>
          <cell r="J3026" t="str">
            <v>AGENCIAS ESCOFFERY, S.A</v>
          </cell>
          <cell r="N3026">
            <v>282</v>
          </cell>
        </row>
        <row r="3027">
          <cell r="A3027" t="str">
            <v>AGENCIAS ESCOFFERY, S.A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J3027" t="str">
            <v>AGENCIAS ESCOFFERY, S.A</v>
          </cell>
          <cell r="N3027">
            <v>38</v>
          </cell>
        </row>
        <row r="3028">
          <cell r="A3028" t="str">
            <v>AGENCIAS ESCOFFERY, S.A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282</v>
          </cell>
          <cell r="J3028" t="str">
            <v>AGENCIAS ESCOFFERY, S.A</v>
          </cell>
          <cell r="N3028">
            <v>62</v>
          </cell>
        </row>
        <row r="3029">
          <cell r="A3029" t="str">
            <v>AGENCIAS ESCOFFERY, S.A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38</v>
          </cell>
          <cell r="J3029" t="str">
            <v>AGENCIAS ESCOFFERY, S.A</v>
          </cell>
          <cell r="N3029">
            <v>542</v>
          </cell>
        </row>
        <row r="3030">
          <cell r="A3030" t="str">
            <v>AGENCIAS ESCOFFERY, S.A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62</v>
          </cell>
          <cell r="J3030" t="str">
            <v>AGENCIAS ESCOFFERY, S.A</v>
          </cell>
          <cell r="O3030">
            <v>138</v>
          </cell>
        </row>
        <row r="3031">
          <cell r="A3031" t="str">
            <v>AGENCIAS ESCOFFERY, S.A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542</v>
          </cell>
          <cell r="J3031" t="str">
            <v>AGENCIAS ESCOFFERY, S.A</v>
          </cell>
          <cell r="N3031">
            <v>62</v>
          </cell>
        </row>
        <row r="3032">
          <cell r="A3032" t="str">
            <v>AGENCIAS ESCOFFERY, S.A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138</v>
          </cell>
          <cell r="J3032" t="str">
            <v>AGENCIAS ESCOFFERY, S.A</v>
          </cell>
          <cell r="N3032">
            <v>86</v>
          </cell>
        </row>
        <row r="3033">
          <cell r="A3033" t="str">
            <v>AGENCIAS ESCOFFERY, S.A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62</v>
          </cell>
          <cell r="J3033" t="str">
            <v>AGENCIAS ESCOFFERY, S.A</v>
          </cell>
          <cell r="N3033">
            <v>0</v>
          </cell>
        </row>
        <row r="3034">
          <cell r="A3034" t="str">
            <v>AGENCIAS ESCOFFERY, S.A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86</v>
          </cell>
          <cell r="J3034" t="str">
            <v>AGENCIAS ESCOFFERY, S.A</v>
          </cell>
          <cell r="M3034">
            <v>150</v>
          </cell>
        </row>
        <row r="3035">
          <cell r="A3035" t="str">
            <v>AGENCIAS ESCOFFERY, S.A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J3035" t="str">
            <v>AGENCIAS ESCOFFERY, S.A</v>
          </cell>
          <cell r="O3035">
            <v>1200</v>
          </cell>
        </row>
        <row r="3036">
          <cell r="A3036" t="str">
            <v>AGENCIAS ESCOFFERY, S.A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150</v>
          </cell>
          <cell r="J3036" t="str">
            <v>AGENCIAS ESCOFFERY, S.A</v>
          </cell>
          <cell r="N3036">
            <v>120</v>
          </cell>
        </row>
        <row r="3037">
          <cell r="A3037" t="str">
            <v>AGENCIAS ESCOFFERY, S.A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1200</v>
          </cell>
          <cell r="J3037" t="str">
            <v>AGENCIAS ESCOFFERY, S.A</v>
          </cell>
          <cell r="N3037">
            <v>90</v>
          </cell>
        </row>
        <row r="3038">
          <cell r="A3038" t="str">
            <v>AGENCIAS ESCOFFERY, S.A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>
            <v>120</v>
          </cell>
          <cell r="J3038" t="str">
            <v>AGENCIAS ESCOFFERY, S.A</v>
          </cell>
          <cell r="N3038">
            <v>165</v>
          </cell>
        </row>
        <row r="3039">
          <cell r="A3039" t="str">
            <v>AGENCIAS ESCOFFERY, S.A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90</v>
          </cell>
          <cell r="J3039" t="str">
            <v>AGENCIAS ESCOFFERY, S.A</v>
          </cell>
          <cell r="N3039">
            <v>456</v>
          </cell>
        </row>
        <row r="3040">
          <cell r="A3040" t="str">
            <v>AGENCIAS ESCOFFERY, S.A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165</v>
          </cell>
          <cell r="J3040" t="str">
            <v>AGENCIAS ESCOFFERY, S.A</v>
          </cell>
          <cell r="N3040">
            <v>75</v>
          </cell>
        </row>
        <row r="3041">
          <cell r="A3041" t="str">
            <v>AGENCIAS ESCOFFERY, S.A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456</v>
          </cell>
          <cell r="J3041" t="str">
            <v>AGENCIAS ESCOFFERY, S.A</v>
          </cell>
          <cell r="O3041">
            <v>219</v>
          </cell>
        </row>
        <row r="3042">
          <cell r="A3042" t="str">
            <v>AGENCIAS ESCOFFERY, S.A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>
            <v>75</v>
          </cell>
          <cell r="J3042" t="str">
            <v>AGENCIAS ESCOFFERY, S.A</v>
          </cell>
          <cell r="M3042">
            <v>400</v>
          </cell>
        </row>
        <row r="3043">
          <cell r="A3043" t="str">
            <v>AGENCIAS ESCOFFERY, S.A</v>
          </cell>
          <cell r="C3043">
            <v>0</v>
          </cell>
          <cell r="D3043">
            <v>16</v>
          </cell>
          <cell r="E3043">
            <v>19</v>
          </cell>
          <cell r="F3043">
            <v>19</v>
          </cell>
          <cell r="G3043">
            <v>219</v>
          </cell>
          <cell r="J3043" t="str">
            <v>AGENCIAS ESCOFFERY, S.A</v>
          </cell>
          <cell r="N3043">
            <v>230</v>
          </cell>
        </row>
        <row r="3044">
          <cell r="A3044" t="str">
            <v>AGENCIAS ESCOFFERY, S.A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>
            <v>400</v>
          </cell>
          <cell r="J3044" t="str">
            <v>AGENCIAS ESCOFFERY, S.A</v>
          </cell>
          <cell r="R3044">
            <v>130</v>
          </cell>
        </row>
        <row r="3045">
          <cell r="A3045" t="str">
            <v>AGENCIAS ESCOFFERY, S.A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230</v>
          </cell>
          <cell r="J3045" t="str">
            <v>AGENCIAS ESCOFFERY, S.A</v>
          </cell>
          <cell r="M3045">
            <v>125</v>
          </cell>
        </row>
        <row r="3046">
          <cell r="A3046" t="str">
            <v>AGENCIAS ESCOFFERY, S.A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130</v>
          </cell>
          <cell r="J3046" t="str">
            <v>AGENCIAS ESCOFFERY, S.A</v>
          </cell>
          <cell r="M3046">
            <v>209</v>
          </cell>
        </row>
        <row r="3047">
          <cell r="A3047" t="str">
            <v>AGENCIAS ESCOFFERY, S.A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>
            <v>125</v>
          </cell>
          <cell r="J3047" t="str">
            <v>AGENCIAS ESCOFFERY, S.A</v>
          </cell>
          <cell r="M3047">
            <v>265</v>
          </cell>
        </row>
        <row r="3048">
          <cell r="A3048" t="str">
            <v>AGENCIAS ESCOFFERY, S.A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>
            <v>209</v>
          </cell>
          <cell r="J3048" t="str">
            <v>AGENCIAS ESCOFFERY, S.A</v>
          </cell>
          <cell r="M3048">
            <v>600</v>
          </cell>
        </row>
        <row r="3049">
          <cell r="A3049" t="str">
            <v>AGENCIAS ESCOFFERY, S.A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265</v>
          </cell>
          <cell r="J3049" t="str">
            <v>AGENCIAS ESCOFFERY, S.A</v>
          </cell>
          <cell r="O3049">
            <v>480</v>
          </cell>
        </row>
        <row r="3050">
          <cell r="A3050" t="str">
            <v>AGENCIAS ESCOFFERY, S.A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600</v>
          </cell>
          <cell r="J3050" t="str">
            <v>AGENCIAS ESCOFFERY, S.A</v>
          </cell>
          <cell r="M3050">
            <v>740</v>
          </cell>
        </row>
        <row r="3051">
          <cell r="A3051" t="str">
            <v>AGENCIAS ESCOFFERY, S.A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480</v>
          </cell>
          <cell r="J3051" t="str">
            <v>AGENCIAS ESCOFFERY, S.A</v>
          </cell>
          <cell r="O3051">
            <v>346</v>
          </cell>
        </row>
        <row r="3052">
          <cell r="A3052" t="str">
            <v>AGENCIAS ESCOFFERY, S.A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740</v>
          </cell>
        </row>
        <row r="3053">
          <cell r="A3053" t="str">
            <v>AGENCIAS ESCOFFERY, S.A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346</v>
          </cell>
        </row>
      </sheetData>
      <sheetData sheetId="10"/>
      <sheetData sheetId="11">
        <row r="1">
          <cell r="A1" t="str">
            <v>DONORS</v>
          </cell>
          <cell r="B1" t="str">
            <v>Search OB</v>
          </cell>
          <cell r="C1" t="str">
            <v>OB_Ene</v>
          </cell>
          <cell r="D1" t="str">
            <v>OB_Feb</v>
          </cell>
          <cell r="E1" t="str">
            <v>OB_Mar</v>
          </cell>
          <cell r="F1" t="str">
            <v>OB_Apr</v>
          </cell>
          <cell r="G1" t="str">
            <v>OB_May</v>
          </cell>
          <cell r="H1" t="str">
            <v>OB_Jun</v>
          </cell>
          <cell r="I1" t="str">
            <v>OB_Jul</v>
          </cell>
          <cell r="J1" t="str">
            <v>OB_Ago</v>
          </cell>
          <cell r="K1" t="str">
            <v>OB_Sep</v>
          </cell>
          <cell r="L1" t="str">
            <v>OB_Oct</v>
          </cell>
          <cell r="M1" t="str">
            <v>OB_Nov</v>
          </cell>
          <cell r="N1" t="str">
            <v>OB_Dic</v>
          </cell>
          <cell r="O1" t="str">
            <v>OB_Total</v>
          </cell>
          <cell r="P1" t="str">
            <v>Search Kilos</v>
          </cell>
          <cell r="Q1" t="str">
            <v>Kilos_Ene</v>
          </cell>
          <cell r="R1" t="str">
            <v>Kilos_Feb</v>
          </cell>
          <cell r="S1" t="str">
            <v>Kilos_Mar</v>
          </cell>
          <cell r="T1" t="str">
            <v>Kilos_Abr</v>
          </cell>
          <cell r="U1" t="str">
            <v>Kilos_May</v>
          </cell>
          <cell r="V1" t="str">
            <v>Kilos_Jun</v>
          </cell>
          <cell r="W1" t="str">
            <v>Kilos_Jul</v>
          </cell>
          <cell r="X1" t="str">
            <v>Kilos_Ago</v>
          </cell>
          <cell r="Y1" t="str">
            <v>Kilos_Sep</v>
          </cell>
          <cell r="Z1" t="str">
            <v>Kilos_Oct</v>
          </cell>
          <cell r="AA1" t="str">
            <v>Kilos_Nov</v>
          </cell>
          <cell r="AB1" t="str">
            <v>Kilos_Dic</v>
          </cell>
          <cell r="AC1" t="str">
            <v>Kilos_Total</v>
          </cell>
          <cell r="AD1" t="str">
            <v>Search for Population</v>
          </cell>
          <cell r="AE1" t="str">
            <v>Poblacion_Ene</v>
          </cell>
          <cell r="AF1" t="str">
            <v>Poblacion_Feb</v>
          </cell>
          <cell r="AG1" t="str">
            <v>Poblacion_Mar</v>
          </cell>
          <cell r="AH1" t="str">
            <v>Poblacion_Abr</v>
          </cell>
          <cell r="AI1" t="str">
            <v>Poblacion_May</v>
          </cell>
          <cell r="AJ1" t="str">
            <v>Poblacion_Jun</v>
          </cell>
          <cell r="AK1" t="str">
            <v>Poblacion_Jul</v>
          </cell>
          <cell r="AL1" t="str">
            <v>Poblacion_Ago</v>
          </cell>
          <cell r="AM1" t="str">
            <v>Poblacion_Sep</v>
          </cell>
          <cell r="AN1" t="str">
            <v>Poblacion_Oct</v>
          </cell>
          <cell r="AO1" t="str">
            <v>Poblacion_Nov</v>
          </cell>
          <cell r="AP1" t="str">
            <v>Population_Dic</v>
          </cell>
          <cell r="AQ1" t="str">
            <v>Population_Total</v>
          </cell>
        </row>
        <row r="2">
          <cell r="A2" t="str">
            <v>FEDURO AGENCIES</v>
          </cell>
          <cell r="B2">
            <v>0</v>
          </cell>
          <cell r="C2">
            <v>60</v>
          </cell>
          <cell r="D2">
            <v>53</v>
          </cell>
          <cell r="E2">
            <v>88</v>
          </cell>
          <cell r="P2">
            <v>0</v>
          </cell>
          <cell r="Q2">
            <v>6112</v>
          </cell>
          <cell r="R2">
            <v>752</v>
          </cell>
          <cell r="S2">
            <v>2508</v>
          </cell>
          <cell r="AD2">
            <v>0</v>
          </cell>
          <cell r="AE2">
            <v>19341</v>
          </cell>
          <cell r="AF2">
            <v>16959</v>
          </cell>
          <cell r="AG2">
            <v>26002</v>
          </cell>
          <cell r="AQ2">
            <v>62302</v>
          </cell>
        </row>
        <row r="3">
          <cell r="A3" t="str">
            <v>Agrícola La Lomita, S.A.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Q3">
            <v>0</v>
          </cell>
        </row>
        <row r="4">
          <cell r="A4" t="str">
            <v>ALIMENTOS CÁRNICOS DE PANAMA, S.A</v>
          </cell>
          <cell r="B4">
            <v>0</v>
          </cell>
          <cell r="C4">
            <v>34</v>
          </cell>
          <cell r="D4">
            <v>0</v>
          </cell>
          <cell r="E4">
            <v>13</v>
          </cell>
          <cell r="P4">
            <v>0</v>
          </cell>
          <cell r="Q4">
            <v>1045</v>
          </cell>
          <cell r="R4">
            <v>0</v>
          </cell>
          <cell r="S4">
            <v>108</v>
          </cell>
          <cell r="AD4">
            <v>0</v>
          </cell>
          <cell r="AE4">
            <v>11762</v>
          </cell>
          <cell r="AF4">
            <v>0</v>
          </cell>
          <cell r="AG4">
            <v>3455</v>
          </cell>
          <cell r="AQ4">
            <v>15217</v>
          </cell>
        </row>
        <row r="5">
          <cell r="A5" t="str">
            <v>Bienes y Raices Metalicas S.A.</v>
          </cell>
          <cell r="B5">
            <v>2</v>
          </cell>
          <cell r="C5">
            <v>0</v>
          </cell>
          <cell r="D5">
            <v>3</v>
          </cell>
          <cell r="E5">
            <v>2</v>
          </cell>
          <cell r="P5">
            <v>45</v>
          </cell>
          <cell r="Q5">
            <v>45</v>
          </cell>
          <cell r="R5">
            <v>45</v>
          </cell>
          <cell r="S5">
            <v>45</v>
          </cell>
          <cell r="AD5">
            <v>340</v>
          </cell>
          <cell r="AE5">
            <v>0</v>
          </cell>
          <cell r="AF5">
            <v>333</v>
          </cell>
          <cell r="AG5">
            <v>340</v>
          </cell>
          <cell r="AQ5">
            <v>673</v>
          </cell>
        </row>
        <row r="6">
          <cell r="A6" t="str">
            <v>NOURISHING LIVES CAMPAIGN</v>
          </cell>
          <cell r="B6">
            <v>0</v>
          </cell>
          <cell r="C6">
            <v>33</v>
          </cell>
          <cell r="D6">
            <v>34</v>
          </cell>
          <cell r="E6">
            <v>36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AD6">
            <v>0</v>
          </cell>
          <cell r="AE6">
            <v>1635</v>
          </cell>
          <cell r="AF6">
            <v>1635</v>
          </cell>
          <cell r="AG6">
            <v>1830</v>
          </cell>
          <cell r="AQ6">
            <v>5100</v>
          </cell>
        </row>
        <row r="7">
          <cell r="A7" t="str">
            <v>CERRO PUNTA, S.A</v>
          </cell>
          <cell r="B7">
            <v>25</v>
          </cell>
          <cell r="C7">
            <v>0</v>
          </cell>
          <cell r="D7">
            <v>22</v>
          </cell>
          <cell r="E7">
            <v>25</v>
          </cell>
          <cell r="P7">
            <v>738</v>
          </cell>
          <cell r="Q7">
            <v>0</v>
          </cell>
          <cell r="R7">
            <v>710</v>
          </cell>
          <cell r="S7">
            <v>738</v>
          </cell>
          <cell r="AD7">
            <v>6715</v>
          </cell>
          <cell r="AE7">
            <v>0</v>
          </cell>
          <cell r="AF7">
            <v>5335</v>
          </cell>
          <cell r="AG7">
            <v>6715</v>
          </cell>
          <cell r="AQ7">
            <v>12050</v>
          </cell>
        </row>
        <row r="8">
          <cell r="A8" t="str">
            <v>NATIONAL BREWERY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Q8">
            <v>0</v>
          </cell>
        </row>
        <row r="9">
          <cell r="A9" t="str">
            <v>Colgate Palmolive (CENTRAL AMERICA) INC</v>
          </cell>
          <cell r="B9">
            <v>66</v>
          </cell>
          <cell r="C9">
            <v>92</v>
          </cell>
          <cell r="D9">
            <v>88</v>
          </cell>
          <cell r="E9">
            <v>66</v>
          </cell>
          <cell r="P9">
            <v>2464</v>
          </cell>
          <cell r="Q9">
            <v>4741</v>
          </cell>
          <cell r="R9">
            <v>1030</v>
          </cell>
          <cell r="S9">
            <v>2464</v>
          </cell>
          <cell r="AD9">
            <v>16281</v>
          </cell>
          <cell r="AE9">
            <v>24800</v>
          </cell>
          <cell r="AF9">
            <v>24370</v>
          </cell>
          <cell r="AG9">
            <v>16281</v>
          </cell>
          <cell r="AQ9">
            <v>65451</v>
          </cell>
        </row>
        <row r="10">
          <cell r="A10" t="str">
            <v>COMPAÑIA LEVAPAN DE PANAMA, S.A.</v>
          </cell>
          <cell r="B10">
            <v>0</v>
          </cell>
          <cell r="C10">
            <v>8</v>
          </cell>
          <cell r="D10">
            <v>15</v>
          </cell>
          <cell r="E10">
            <v>0</v>
          </cell>
          <cell r="P10">
            <v>0</v>
          </cell>
          <cell r="Q10">
            <v>785</v>
          </cell>
          <cell r="R10">
            <v>1175</v>
          </cell>
          <cell r="S10">
            <v>0</v>
          </cell>
          <cell r="AD10">
            <v>0</v>
          </cell>
          <cell r="AE10">
            <v>1218</v>
          </cell>
          <cell r="AF10">
            <v>3066</v>
          </cell>
          <cell r="AG10">
            <v>0</v>
          </cell>
          <cell r="AQ10">
            <v>4284</v>
          </cell>
        </row>
        <row r="11">
          <cell r="A11" t="str">
            <v>KOL SHEARITH ISRAEL BROTHERHOOD CONGREGATION</v>
          </cell>
          <cell r="B11">
            <v>0</v>
          </cell>
          <cell r="C11">
            <v>33</v>
          </cell>
          <cell r="D11">
            <v>33</v>
          </cell>
          <cell r="E11">
            <v>23</v>
          </cell>
          <cell r="P11">
            <v>0</v>
          </cell>
          <cell r="Q11">
            <v>678</v>
          </cell>
          <cell r="R11">
            <v>663</v>
          </cell>
          <cell r="S11">
            <v>663</v>
          </cell>
          <cell r="AD11">
            <v>0</v>
          </cell>
          <cell r="AE11">
            <v>14845</v>
          </cell>
          <cell r="AF11">
            <v>8298</v>
          </cell>
          <cell r="AG11">
            <v>6241</v>
          </cell>
          <cell r="AQ11">
            <v>29384</v>
          </cell>
        </row>
        <row r="12">
          <cell r="A12" t="str">
            <v>CORPORACIÓN INTERNACIONAL DE ALIMENTOS, S.A.</v>
          </cell>
          <cell r="B12">
            <v>0</v>
          </cell>
          <cell r="C12">
            <v>100</v>
          </cell>
          <cell r="D12">
            <v>117</v>
          </cell>
          <cell r="E12">
            <v>148</v>
          </cell>
          <cell r="P12">
            <v>0</v>
          </cell>
          <cell r="Q12">
            <v>26159</v>
          </cell>
          <cell r="R12">
            <v>21470</v>
          </cell>
          <cell r="S12">
            <v>60995</v>
          </cell>
          <cell r="AD12">
            <v>0</v>
          </cell>
          <cell r="AE12">
            <v>33000</v>
          </cell>
          <cell r="AF12">
            <v>35637</v>
          </cell>
          <cell r="AG12">
            <v>44724</v>
          </cell>
          <cell r="AQ12">
            <v>113361</v>
          </cell>
        </row>
        <row r="13">
          <cell r="A13" t="str">
            <v>DICSA PANAMA</v>
          </cell>
          <cell r="B13">
            <v>27</v>
          </cell>
          <cell r="C13">
            <v>25</v>
          </cell>
          <cell r="D13">
            <v>50</v>
          </cell>
          <cell r="E13">
            <v>27</v>
          </cell>
          <cell r="P13">
            <v>442</v>
          </cell>
          <cell r="Q13">
            <v>800</v>
          </cell>
          <cell r="R13">
            <v>2216</v>
          </cell>
          <cell r="S13">
            <v>442</v>
          </cell>
          <cell r="AD13">
            <v>7073</v>
          </cell>
          <cell r="AE13">
            <v>4183</v>
          </cell>
          <cell r="AF13">
            <v>17751</v>
          </cell>
          <cell r="AG13">
            <v>7073</v>
          </cell>
          <cell r="AQ13">
            <v>29007</v>
          </cell>
        </row>
        <row r="14">
          <cell r="A14" t="str">
            <v>Empresa Panamaniña de Alimentos, S. A.</v>
          </cell>
          <cell r="B14">
            <v>0</v>
          </cell>
          <cell r="C14">
            <v>42</v>
          </cell>
          <cell r="D14">
            <v>87</v>
          </cell>
          <cell r="E14">
            <v>111</v>
          </cell>
          <cell r="P14">
            <v>0</v>
          </cell>
          <cell r="Q14">
            <v>6842</v>
          </cell>
          <cell r="R14">
            <v>5690</v>
          </cell>
          <cell r="S14">
            <v>6413</v>
          </cell>
          <cell r="AD14">
            <v>0</v>
          </cell>
          <cell r="AE14">
            <v>14846</v>
          </cell>
          <cell r="AF14">
            <v>24125</v>
          </cell>
          <cell r="AG14">
            <v>31867</v>
          </cell>
          <cell r="AQ14">
            <v>70838</v>
          </cell>
        </row>
        <row r="15">
          <cell r="A15" t="str">
            <v>FELIPE MOTTA, S.A</v>
          </cell>
          <cell r="B15">
            <v>33</v>
          </cell>
          <cell r="C15">
            <v>41</v>
          </cell>
          <cell r="D15">
            <v>33</v>
          </cell>
          <cell r="E15">
            <v>33</v>
          </cell>
          <cell r="P15">
            <v>388</v>
          </cell>
          <cell r="Q15">
            <v>650</v>
          </cell>
          <cell r="R15">
            <v>1596</v>
          </cell>
          <cell r="S15">
            <v>388</v>
          </cell>
          <cell r="AD15">
            <v>13490</v>
          </cell>
          <cell r="AE15">
            <v>10195</v>
          </cell>
          <cell r="AF15">
            <v>11526</v>
          </cell>
          <cell r="AG15">
            <v>13490</v>
          </cell>
          <cell r="AQ15">
            <v>35211</v>
          </cell>
        </row>
        <row r="16">
          <cell r="A16" t="str">
            <v>PANAMEAN FRANCHISES</v>
          </cell>
          <cell r="B16">
            <v>0</v>
          </cell>
          <cell r="C16">
            <v>77</v>
          </cell>
          <cell r="D16">
            <v>62</v>
          </cell>
          <cell r="E16">
            <v>64</v>
          </cell>
          <cell r="P16">
            <v>0</v>
          </cell>
          <cell r="Q16">
            <v>492</v>
          </cell>
          <cell r="R16">
            <v>340</v>
          </cell>
          <cell r="S16">
            <v>446</v>
          </cell>
          <cell r="AD16">
            <v>0</v>
          </cell>
          <cell r="AE16">
            <v>22206</v>
          </cell>
          <cell r="AF16">
            <v>14083</v>
          </cell>
          <cell r="AG16">
            <v>21155</v>
          </cell>
          <cell r="AQ16">
            <v>57444</v>
          </cell>
        </row>
        <row r="17">
          <cell r="A17" t="str">
            <v>GC DEV, S.A.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Q17">
            <v>0</v>
          </cell>
        </row>
        <row r="18">
          <cell r="A18" t="str">
            <v>GENTILE - G &amp; H. S.A.</v>
          </cell>
          <cell r="B18">
            <v>3</v>
          </cell>
          <cell r="C18">
            <v>6</v>
          </cell>
          <cell r="D18">
            <v>4</v>
          </cell>
          <cell r="E18">
            <v>3</v>
          </cell>
          <cell r="P18">
            <v>15</v>
          </cell>
          <cell r="Q18">
            <v>11</v>
          </cell>
          <cell r="R18">
            <v>9</v>
          </cell>
          <cell r="S18">
            <v>15</v>
          </cell>
          <cell r="AD18">
            <v>1205</v>
          </cell>
          <cell r="AE18">
            <v>756</v>
          </cell>
          <cell r="AF18">
            <v>782</v>
          </cell>
          <cell r="AG18">
            <v>1205</v>
          </cell>
          <cell r="AQ18">
            <v>2743</v>
          </cell>
        </row>
        <row r="19">
          <cell r="A19" t="str">
            <v>Calesa Group</v>
          </cell>
          <cell r="B19">
            <v>0</v>
          </cell>
          <cell r="C19">
            <v>2</v>
          </cell>
          <cell r="D19">
            <v>20</v>
          </cell>
          <cell r="E19">
            <v>28</v>
          </cell>
          <cell r="P19">
            <v>0</v>
          </cell>
          <cell r="Q19">
            <v>124</v>
          </cell>
          <cell r="R19">
            <v>0</v>
          </cell>
          <cell r="S19">
            <v>125</v>
          </cell>
          <cell r="AD19">
            <v>0</v>
          </cell>
          <cell r="AE19">
            <v>1892</v>
          </cell>
          <cell r="AF19">
            <v>7708</v>
          </cell>
          <cell r="AG19">
            <v>7178</v>
          </cell>
          <cell r="AQ19">
            <v>16778</v>
          </cell>
        </row>
        <row r="20">
          <cell r="A20" t="str">
            <v>Grupo Denis, S.A.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Q20">
            <v>0</v>
          </cell>
        </row>
        <row r="21">
          <cell r="A21" t="str">
            <v>GRUPO REY</v>
          </cell>
          <cell r="B21">
            <v>119</v>
          </cell>
          <cell r="C21">
            <v>110</v>
          </cell>
          <cell r="D21">
            <v>102</v>
          </cell>
          <cell r="E21">
            <v>119</v>
          </cell>
          <cell r="P21">
            <v>6400</v>
          </cell>
          <cell r="Q21">
            <v>8400</v>
          </cell>
          <cell r="R21">
            <v>4255</v>
          </cell>
          <cell r="S21">
            <v>6400</v>
          </cell>
          <cell r="AD21">
            <v>34777.71428571429</v>
          </cell>
          <cell r="AE21">
            <v>35737</v>
          </cell>
          <cell r="AF21">
            <v>30269</v>
          </cell>
          <cell r="AG21">
            <v>34778</v>
          </cell>
          <cell r="AQ21">
            <v>100784</v>
          </cell>
        </row>
        <row r="22">
          <cell r="A22" t="str">
            <v>HT ZANETATO INC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Q22">
            <v>0</v>
          </cell>
        </row>
        <row r="23">
          <cell r="A23" t="str">
            <v>IMPORTADORA FRUTA INTERNACIONAL PANAMÁ, S.A.</v>
          </cell>
          <cell r="B23">
            <v>41</v>
          </cell>
          <cell r="C23">
            <v>7</v>
          </cell>
          <cell r="D23">
            <v>7</v>
          </cell>
          <cell r="E23">
            <v>41</v>
          </cell>
          <cell r="P23">
            <v>3940</v>
          </cell>
          <cell r="Q23">
            <v>560</v>
          </cell>
          <cell r="R23">
            <v>168</v>
          </cell>
          <cell r="S23">
            <v>3940</v>
          </cell>
          <cell r="AD23">
            <v>10535</v>
          </cell>
          <cell r="AE23">
            <v>1207</v>
          </cell>
          <cell r="AF23">
            <v>2068</v>
          </cell>
          <cell r="AG23">
            <v>10535</v>
          </cell>
          <cell r="AQ23">
            <v>13810</v>
          </cell>
        </row>
        <row r="24">
          <cell r="A24" t="str">
            <v>IMPORTADORA TRANSMUNDI, S.A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Q24">
            <v>0</v>
          </cell>
        </row>
        <row r="25">
          <cell r="A25" t="str">
            <v>IMPORTER AND EXPORTER NIMAR</v>
          </cell>
          <cell r="B25">
            <v>0</v>
          </cell>
          <cell r="C25">
            <v>0</v>
          </cell>
          <cell r="D25">
            <v>43</v>
          </cell>
          <cell r="E25">
            <v>34</v>
          </cell>
          <cell r="P25">
            <v>0</v>
          </cell>
          <cell r="Q25">
            <v>0</v>
          </cell>
          <cell r="R25">
            <v>335</v>
          </cell>
          <cell r="S25">
            <v>189</v>
          </cell>
          <cell r="AD25">
            <v>0</v>
          </cell>
          <cell r="AE25">
            <v>0</v>
          </cell>
          <cell r="AF25">
            <v>14862</v>
          </cell>
          <cell r="AG25">
            <v>9224</v>
          </cell>
          <cell r="AQ25">
            <v>24086</v>
          </cell>
        </row>
        <row r="26">
          <cell r="A26" t="str">
            <v>INVERSIONES MAKAPANA, S.A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Q26">
            <v>0</v>
          </cell>
        </row>
        <row r="27">
          <cell r="A27" t="str">
            <v>KERRY PANAMA, S.A.</v>
          </cell>
          <cell r="B27">
            <v>1</v>
          </cell>
          <cell r="C27">
            <v>0</v>
          </cell>
          <cell r="D27">
            <v>42</v>
          </cell>
          <cell r="E27">
            <v>1</v>
          </cell>
          <cell r="P27">
            <v>833</v>
          </cell>
          <cell r="Q27">
            <v>0</v>
          </cell>
          <cell r="R27">
            <v>559</v>
          </cell>
          <cell r="S27">
            <v>833</v>
          </cell>
          <cell r="AD27">
            <v>400</v>
          </cell>
          <cell r="AE27">
            <v>0</v>
          </cell>
          <cell r="AF27">
            <v>13212</v>
          </cell>
          <cell r="AG27">
            <v>400</v>
          </cell>
          <cell r="AQ27">
            <v>13612</v>
          </cell>
        </row>
        <row r="28">
          <cell r="A28" t="str">
            <v>LINA CORPORATION INC (LINA)</v>
          </cell>
          <cell r="B28">
            <v>0</v>
          </cell>
          <cell r="C28">
            <v>2</v>
          </cell>
          <cell r="D28">
            <v>0</v>
          </cell>
          <cell r="E28">
            <v>0</v>
          </cell>
          <cell r="P28">
            <v>0</v>
          </cell>
          <cell r="Q28">
            <v>63</v>
          </cell>
          <cell r="R28">
            <v>0</v>
          </cell>
          <cell r="S28">
            <v>0</v>
          </cell>
          <cell r="AD28">
            <v>0</v>
          </cell>
          <cell r="AE28">
            <v>251</v>
          </cell>
          <cell r="AF28">
            <v>0</v>
          </cell>
          <cell r="AG28">
            <v>0</v>
          </cell>
          <cell r="AQ28">
            <v>251</v>
          </cell>
        </row>
        <row r="29">
          <cell r="A29" t="str">
            <v>MARTIN BROWER</v>
          </cell>
          <cell r="B29">
            <v>60</v>
          </cell>
          <cell r="C29">
            <v>0</v>
          </cell>
          <cell r="D29">
            <v>0</v>
          </cell>
          <cell r="E29">
            <v>0</v>
          </cell>
          <cell r="P29">
            <v>826</v>
          </cell>
          <cell r="Q29">
            <v>0</v>
          </cell>
          <cell r="R29">
            <v>0</v>
          </cell>
          <cell r="S29">
            <v>0</v>
          </cell>
          <cell r="AD29">
            <v>13814</v>
          </cell>
          <cell r="AE29">
            <v>0</v>
          </cell>
          <cell r="AF29">
            <v>0</v>
          </cell>
          <cell r="AG29">
            <v>0</v>
          </cell>
          <cell r="AQ29">
            <v>0</v>
          </cell>
        </row>
        <row r="30">
          <cell r="A30" t="str">
            <v>MEDIA ITEMS, INC</v>
          </cell>
          <cell r="B30">
            <v>0</v>
          </cell>
          <cell r="C30">
            <v>35</v>
          </cell>
          <cell r="D30">
            <v>1</v>
          </cell>
          <cell r="E30">
            <v>0</v>
          </cell>
          <cell r="P30">
            <v>0</v>
          </cell>
          <cell r="Q30">
            <v>950</v>
          </cell>
          <cell r="R30">
            <v>0</v>
          </cell>
          <cell r="S30">
            <v>0</v>
          </cell>
          <cell r="AD30">
            <v>0</v>
          </cell>
          <cell r="AE30">
            <v>12637</v>
          </cell>
          <cell r="AF30">
            <v>400</v>
          </cell>
          <cell r="AG30">
            <v>0</v>
          </cell>
          <cell r="AQ30">
            <v>13037</v>
          </cell>
        </row>
        <row r="31">
          <cell r="A31" t="str">
            <v>MELO FARMA, S.A.</v>
          </cell>
          <cell r="B31">
            <v>19</v>
          </cell>
          <cell r="C31">
            <v>0</v>
          </cell>
          <cell r="D31">
            <v>0</v>
          </cell>
          <cell r="E31">
            <v>19</v>
          </cell>
          <cell r="P31">
            <v>64</v>
          </cell>
          <cell r="Q31">
            <v>0</v>
          </cell>
          <cell r="R31">
            <v>61</v>
          </cell>
          <cell r="S31">
            <v>64</v>
          </cell>
          <cell r="AD31">
            <v>3747</v>
          </cell>
          <cell r="AE31">
            <v>0</v>
          </cell>
          <cell r="AF31">
            <v>0</v>
          </cell>
          <cell r="AG31">
            <v>3747</v>
          </cell>
          <cell r="AQ31">
            <v>3747</v>
          </cell>
        </row>
        <row r="32">
          <cell r="A32" t="str">
            <v>MERCA PANAMA</v>
          </cell>
          <cell r="B32">
            <v>58</v>
          </cell>
          <cell r="C32">
            <v>57</v>
          </cell>
          <cell r="D32">
            <v>63</v>
          </cell>
          <cell r="E32">
            <v>58</v>
          </cell>
          <cell r="P32">
            <v>13264</v>
          </cell>
          <cell r="Q32">
            <v>6710</v>
          </cell>
          <cell r="R32">
            <v>7498</v>
          </cell>
          <cell r="S32">
            <v>13264</v>
          </cell>
          <cell r="AD32">
            <v>14825</v>
          </cell>
          <cell r="AE32">
            <v>18178</v>
          </cell>
          <cell r="AF32">
            <v>23417</v>
          </cell>
          <cell r="AG32">
            <v>14825</v>
          </cell>
          <cell r="AQ32">
            <v>56420</v>
          </cell>
        </row>
        <row r="33">
          <cell r="A33" t="str">
            <v>MERCALIMENTOS PANAMA, S.A</v>
          </cell>
          <cell r="B33">
            <v>87</v>
          </cell>
          <cell r="C33">
            <v>0</v>
          </cell>
          <cell r="D33">
            <v>0</v>
          </cell>
          <cell r="E33">
            <v>87</v>
          </cell>
          <cell r="P33">
            <v>3483</v>
          </cell>
          <cell r="Q33">
            <v>0</v>
          </cell>
          <cell r="R33">
            <v>0</v>
          </cell>
          <cell r="S33">
            <v>3483</v>
          </cell>
          <cell r="AD33">
            <v>30032</v>
          </cell>
          <cell r="AE33">
            <v>0</v>
          </cell>
          <cell r="AF33">
            <v>0</v>
          </cell>
          <cell r="AG33">
            <v>30032</v>
          </cell>
          <cell r="AQ33">
            <v>30032</v>
          </cell>
        </row>
        <row r="34">
          <cell r="A34" t="str">
            <v>NATHAN FOODS CORPORATION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Q34">
            <v>0</v>
          </cell>
        </row>
        <row r="35">
          <cell r="A35" t="str">
            <v>NEGOCIOS CENTROAMERICANOS, S.A</v>
          </cell>
          <cell r="B35">
            <v>32</v>
          </cell>
          <cell r="C35">
            <v>0</v>
          </cell>
          <cell r="D35">
            <v>15</v>
          </cell>
          <cell r="E35">
            <v>32</v>
          </cell>
          <cell r="P35">
            <v>195</v>
          </cell>
          <cell r="Q35">
            <v>0</v>
          </cell>
          <cell r="R35">
            <v>163</v>
          </cell>
          <cell r="S35">
            <v>195</v>
          </cell>
          <cell r="AD35">
            <v>8260</v>
          </cell>
          <cell r="AE35">
            <v>0</v>
          </cell>
          <cell r="AF35">
            <v>3339</v>
          </cell>
          <cell r="AG35">
            <v>8260</v>
          </cell>
          <cell r="AQ35">
            <v>11599</v>
          </cell>
        </row>
        <row r="36">
          <cell r="A36" t="str">
            <v>NESTLE PANAMA</v>
          </cell>
          <cell r="B36">
            <v>118</v>
          </cell>
          <cell r="C36">
            <v>119</v>
          </cell>
          <cell r="D36">
            <v>116</v>
          </cell>
          <cell r="E36">
            <v>118</v>
          </cell>
          <cell r="P36">
            <v>12986</v>
          </cell>
          <cell r="Q36">
            <v>64580</v>
          </cell>
          <cell r="R36">
            <v>27360</v>
          </cell>
          <cell r="S36">
            <v>12986</v>
          </cell>
          <cell r="AD36">
            <v>34296</v>
          </cell>
          <cell r="AE36">
            <v>35910</v>
          </cell>
          <cell r="AF36">
            <v>33480</v>
          </cell>
          <cell r="AG36">
            <v>34296</v>
          </cell>
          <cell r="AQ36">
            <v>103686</v>
          </cell>
        </row>
        <row r="37">
          <cell r="A37" t="str">
            <v>ORDER OF MALTA PANAMA PANAMANIAN ASSOCIATION</v>
          </cell>
          <cell r="B37">
            <v>0</v>
          </cell>
          <cell r="C37">
            <v>34</v>
          </cell>
          <cell r="D37">
            <v>49</v>
          </cell>
          <cell r="E37">
            <v>32</v>
          </cell>
          <cell r="P37">
            <v>0</v>
          </cell>
          <cell r="Q37">
            <v>4842</v>
          </cell>
          <cell r="R37">
            <v>4059</v>
          </cell>
          <cell r="S37">
            <v>8126</v>
          </cell>
          <cell r="AD37">
            <v>0</v>
          </cell>
          <cell r="AE37">
            <v>9935</v>
          </cell>
          <cell r="AF37">
            <v>18038</v>
          </cell>
          <cell r="AG37">
            <v>13644</v>
          </cell>
          <cell r="AQ37">
            <v>41617</v>
          </cell>
        </row>
        <row r="38">
          <cell r="A38" t="str">
            <v>PANASAL</v>
          </cell>
          <cell r="B38">
            <v>23</v>
          </cell>
          <cell r="C38">
            <v>11</v>
          </cell>
          <cell r="D38">
            <v>17</v>
          </cell>
          <cell r="E38">
            <v>23</v>
          </cell>
          <cell r="P38">
            <v>60</v>
          </cell>
          <cell r="Q38">
            <v>60</v>
          </cell>
          <cell r="R38">
            <v>60</v>
          </cell>
          <cell r="S38">
            <v>60</v>
          </cell>
          <cell r="AD38">
            <v>8108</v>
          </cell>
          <cell r="AE38">
            <v>6410</v>
          </cell>
          <cell r="AF38">
            <v>6617</v>
          </cell>
          <cell r="AG38">
            <v>8108</v>
          </cell>
          <cell r="AQ38">
            <v>21135</v>
          </cell>
        </row>
        <row r="39">
          <cell r="A39" t="str">
            <v>PEDERSEN FINE FOODS, S.A</v>
          </cell>
          <cell r="B39">
            <v>19</v>
          </cell>
          <cell r="C39">
            <v>17</v>
          </cell>
          <cell r="D39">
            <v>36</v>
          </cell>
          <cell r="E39">
            <v>19</v>
          </cell>
          <cell r="P39">
            <v>0</v>
          </cell>
          <cell r="Q39">
            <v>141</v>
          </cell>
          <cell r="R39">
            <v>500</v>
          </cell>
          <cell r="S39">
            <v>0</v>
          </cell>
          <cell r="AD39">
            <v>2793</v>
          </cell>
          <cell r="AE39">
            <v>5006</v>
          </cell>
          <cell r="AF39">
            <v>13004</v>
          </cell>
          <cell r="AG39">
            <v>2793</v>
          </cell>
          <cell r="AQ39">
            <v>20803</v>
          </cell>
        </row>
        <row r="40">
          <cell r="A40" t="str">
            <v>Price-Smart-Panama S.A</v>
          </cell>
          <cell r="B40">
            <v>105</v>
          </cell>
          <cell r="C40">
            <v>83</v>
          </cell>
          <cell r="D40">
            <v>96</v>
          </cell>
          <cell r="E40">
            <v>105</v>
          </cell>
          <cell r="P40">
            <v>6631</v>
          </cell>
          <cell r="Q40">
            <v>7423</v>
          </cell>
          <cell r="R40">
            <v>6052</v>
          </cell>
          <cell r="S40">
            <v>6631</v>
          </cell>
          <cell r="AD40">
            <v>25606</v>
          </cell>
          <cell r="AE40">
            <v>27876</v>
          </cell>
          <cell r="AF40">
            <v>31318</v>
          </cell>
          <cell r="AG40">
            <v>25606</v>
          </cell>
          <cell r="AQ40">
            <v>84800</v>
          </cell>
        </row>
        <row r="41">
          <cell r="A41" t="str">
            <v>PRODUCTOS LA DOÑA, S.A</v>
          </cell>
          <cell r="B41">
            <v>113</v>
          </cell>
          <cell r="C41">
            <v>86</v>
          </cell>
          <cell r="D41">
            <v>76</v>
          </cell>
          <cell r="E41">
            <v>113</v>
          </cell>
          <cell r="P41">
            <v>4696</v>
          </cell>
          <cell r="Q41">
            <v>2914</v>
          </cell>
          <cell r="R41">
            <v>2081</v>
          </cell>
          <cell r="S41">
            <v>4696</v>
          </cell>
          <cell r="AD41">
            <v>35885</v>
          </cell>
          <cell r="AE41">
            <v>26281</v>
          </cell>
          <cell r="AF41">
            <v>19039</v>
          </cell>
          <cell r="AG41">
            <v>35885</v>
          </cell>
          <cell r="AQ41">
            <v>81205</v>
          </cell>
        </row>
        <row r="42">
          <cell r="A42" t="str">
            <v>NEVADA S.A. PRODUCTS</v>
          </cell>
          <cell r="B42">
            <v>0</v>
          </cell>
          <cell r="C42">
            <v>0</v>
          </cell>
          <cell r="D42">
            <v>68</v>
          </cell>
          <cell r="E42">
            <v>26</v>
          </cell>
          <cell r="P42">
            <v>0</v>
          </cell>
          <cell r="Q42">
            <v>520</v>
          </cell>
          <cell r="R42">
            <v>1484</v>
          </cell>
          <cell r="S42">
            <v>0</v>
          </cell>
          <cell r="AD42">
            <v>0</v>
          </cell>
          <cell r="AE42">
            <v>0</v>
          </cell>
          <cell r="AF42">
            <v>22889</v>
          </cell>
          <cell r="AG42">
            <v>6216</v>
          </cell>
          <cell r="AQ42">
            <v>29105</v>
          </cell>
        </row>
        <row r="43">
          <cell r="A43" t="str">
            <v>TOLEDANO PRODUCTS</v>
          </cell>
          <cell r="B43">
            <v>0</v>
          </cell>
          <cell r="C43">
            <v>108</v>
          </cell>
          <cell r="D43">
            <v>111</v>
          </cell>
          <cell r="E43">
            <v>91</v>
          </cell>
          <cell r="P43">
            <v>0</v>
          </cell>
          <cell r="Q43">
            <v>17272</v>
          </cell>
          <cell r="R43">
            <v>6230</v>
          </cell>
          <cell r="S43">
            <v>5231</v>
          </cell>
          <cell r="AD43">
            <v>0</v>
          </cell>
          <cell r="AE43">
            <v>33883</v>
          </cell>
          <cell r="AF43">
            <v>35343</v>
          </cell>
          <cell r="AG43">
            <v>26104</v>
          </cell>
          <cell r="AQ43">
            <v>95330</v>
          </cell>
        </row>
        <row r="44">
          <cell r="A44" t="str">
            <v>KILOS OF HOPE PROGRAM</v>
          </cell>
          <cell r="B44">
            <v>0</v>
          </cell>
          <cell r="C44">
            <v>9</v>
          </cell>
          <cell r="D44">
            <v>30</v>
          </cell>
          <cell r="E44">
            <v>52</v>
          </cell>
          <cell r="P44">
            <v>0</v>
          </cell>
          <cell r="Q44">
            <v>231</v>
          </cell>
          <cell r="R44">
            <v>190</v>
          </cell>
          <cell r="S44">
            <v>673</v>
          </cell>
          <cell r="AD44">
            <v>0</v>
          </cell>
          <cell r="AE44">
            <v>6572</v>
          </cell>
          <cell r="AF44">
            <v>7619</v>
          </cell>
          <cell r="AG44">
            <v>20817</v>
          </cell>
          <cell r="AQ44">
            <v>35008</v>
          </cell>
        </row>
        <row r="45">
          <cell r="A45" t="str">
            <v>PROSERV</v>
          </cell>
          <cell r="B45">
            <v>58</v>
          </cell>
          <cell r="C45">
            <v>78</v>
          </cell>
          <cell r="D45">
            <v>50</v>
          </cell>
          <cell r="E45">
            <v>58</v>
          </cell>
          <cell r="P45">
            <v>2100</v>
          </cell>
          <cell r="Q45">
            <v>1940</v>
          </cell>
          <cell r="R45">
            <v>1150</v>
          </cell>
          <cell r="S45">
            <v>2100</v>
          </cell>
          <cell r="AD45">
            <v>17263</v>
          </cell>
          <cell r="AE45">
            <v>23569</v>
          </cell>
          <cell r="AF45">
            <v>16081</v>
          </cell>
          <cell r="AG45">
            <v>17263</v>
          </cell>
          <cell r="AQ45">
            <v>56913</v>
          </cell>
        </row>
        <row r="46">
          <cell r="A46" t="str">
            <v>PURISSIMA, S.A</v>
          </cell>
          <cell r="B46">
            <v>26</v>
          </cell>
          <cell r="C46">
            <v>41</v>
          </cell>
          <cell r="D46">
            <v>10</v>
          </cell>
          <cell r="E46">
            <v>26</v>
          </cell>
          <cell r="P46">
            <v>3465</v>
          </cell>
          <cell r="Q46">
            <v>6399</v>
          </cell>
          <cell r="R46">
            <v>0</v>
          </cell>
          <cell r="S46">
            <v>3465</v>
          </cell>
          <cell r="AD46">
            <v>4717</v>
          </cell>
          <cell r="AE46">
            <v>12270</v>
          </cell>
          <cell r="AF46">
            <v>1588</v>
          </cell>
          <cell r="AG46">
            <v>4717</v>
          </cell>
          <cell r="AQ46">
            <v>18575</v>
          </cell>
        </row>
        <row r="47">
          <cell r="A47" t="str">
            <v>SALVA - SEA,</v>
          </cell>
          <cell r="B47">
            <v>0</v>
          </cell>
          <cell r="C47">
            <v>64</v>
          </cell>
          <cell r="D47">
            <v>26</v>
          </cell>
          <cell r="E47">
            <v>43</v>
          </cell>
          <cell r="P47">
            <v>0</v>
          </cell>
          <cell r="Q47">
            <v>1040</v>
          </cell>
          <cell r="R47">
            <v>1007</v>
          </cell>
          <cell r="S47">
            <v>1021</v>
          </cell>
          <cell r="AD47">
            <v>0</v>
          </cell>
          <cell r="AE47">
            <v>9401</v>
          </cell>
          <cell r="AF47">
            <v>5731</v>
          </cell>
          <cell r="AG47">
            <v>12682</v>
          </cell>
          <cell r="AQ47">
            <v>27814</v>
          </cell>
        </row>
        <row r="48">
          <cell r="A48" t="str">
            <v>San Gregorio Trading and Transport S.A.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Q48">
            <v>0</v>
          </cell>
        </row>
        <row r="49">
          <cell r="A49" t="str">
            <v>UNILEVER DE CENTROAMERICA S.A.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Q49">
            <v>0</v>
          </cell>
        </row>
        <row r="50">
          <cell r="A50" t="str">
            <v>VARELA BROTHERS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Q50">
            <v>0</v>
          </cell>
        </row>
        <row r="51">
          <cell r="A51" t="str">
            <v>VENTAS Y MERCADEO, S.A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Q51">
            <v>0</v>
          </cell>
        </row>
        <row r="52">
          <cell r="A52" t="str">
            <v>GOLD MILLS</v>
          </cell>
          <cell r="B52">
            <v>29</v>
          </cell>
          <cell r="C52">
            <v>0</v>
          </cell>
          <cell r="D52">
            <v>44</v>
          </cell>
          <cell r="E52">
            <v>29</v>
          </cell>
          <cell r="P52">
            <v>458</v>
          </cell>
          <cell r="Q52">
            <v>0</v>
          </cell>
          <cell r="R52">
            <v>432</v>
          </cell>
          <cell r="S52">
            <v>458</v>
          </cell>
          <cell r="AD52">
            <v>11044</v>
          </cell>
          <cell r="AE52">
            <v>0</v>
          </cell>
          <cell r="AF52">
            <v>14691</v>
          </cell>
          <cell r="AG52">
            <v>11044</v>
          </cell>
          <cell r="AQ52">
            <v>25735</v>
          </cell>
        </row>
        <row r="53">
          <cell r="A53" t="str">
            <v>International Franchise Food Service/Subway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Q53">
            <v>0</v>
          </cell>
        </row>
        <row r="54">
          <cell r="A54" t="str">
            <v>KIMBERLY-CLARK CENTRAL AMERICAN HOLDING, S.A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Q54">
            <v>0</v>
          </cell>
        </row>
        <row r="55">
          <cell r="A55" t="str">
            <v>PRODISA TRADING S.A.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P55">
            <v>144</v>
          </cell>
          <cell r="Q55">
            <v>0</v>
          </cell>
          <cell r="R55">
            <v>0</v>
          </cell>
          <cell r="S55">
            <v>144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Q55">
            <v>0</v>
          </cell>
        </row>
        <row r="56">
          <cell r="A56" t="str">
            <v>PRODUCTOS LUX, S.A (Proluxa)</v>
          </cell>
          <cell r="B56">
            <v>0</v>
          </cell>
          <cell r="C56">
            <v>0</v>
          </cell>
          <cell r="D56">
            <v>45</v>
          </cell>
          <cell r="E56">
            <v>60</v>
          </cell>
          <cell r="P56">
            <v>0</v>
          </cell>
          <cell r="Q56">
            <v>1409</v>
          </cell>
          <cell r="R56">
            <v>987</v>
          </cell>
          <cell r="S56">
            <v>818</v>
          </cell>
          <cell r="AD56">
            <v>0</v>
          </cell>
          <cell r="AE56">
            <v>0</v>
          </cell>
          <cell r="AF56">
            <v>12662</v>
          </cell>
          <cell r="AG56">
            <v>15214</v>
          </cell>
          <cell r="AQ56">
            <v>27876</v>
          </cell>
        </row>
        <row r="57">
          <cell r="A57" t="str">
            <v>GREENS &amp; CO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Q57">
            <v>0</v>
          </cell>
        </row>
        <row r="58">
          <cell r="A58" t="str">
            <v>RIBA SMITH, S.A.</v>
          </cell>
          <cell r="B58">
            <v>51</v>
          </cell>
          <cell r="C58">
            <v>20</v>
          </cell>
          <cell r="D58">
            <v>30</v>
          </cell>
          <cell r="E58">
            <v>51</v>
          </cell>
          <cell r="P58">
            <v>602</v>
          </cell>
          <cell r="Q58">
            <v>865</v>
          </cell>
          <cell r="R58">
            <v>0</v>
          </cell>
          <cell r="S58">
            <v>602</v>
          </cell>
          <cell r="AD58">
            <v>13370</v>
          </cell>
          <cell r="AE58">
            <v>8064</v>
          </cell>
          <cell r="AF58">
            <v>7023</v>
          </cell>
          <cell r="AG58">
            <v>13370</v>
          </cell>
          <cell r="AQ58">
            <v>28457</v>
          </cell>
        </row>
        <row r="59">
          <cell r="A59" t="str">
            <v>PALM LOPEZ AGENCY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Q59">
            <v>0</v>
          </cell>
        </row>
        <row r="60">
          <cell r="A60" t="str">
            <v>REPRESENTACIONES TEJEIRA, S.A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Q60">
            <v>0</v>
          </cell>
        </row>
        <row r="61">
          <cell r="A61" t="str">
            <v>AGROINVESA - Agroindustrias Alimentarias de Veraguas, S.A. - La Parmigiana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Q61">
            <v>0</v>
          </cell>
        </row>
        <row r="62">
          <cell r="A62" t="str">
            <v>ALIMENTOS NICO, S.A, (ANICSA)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Q62">
            <v>0</v>
          </cell>
        </row>
        <row r="63">
          <cell r="A63" t="str">
            <v>IMPORTADORA RICAMAR - SUPER 99</v>
          </cell>
          <cell r="B63">
            <v>24</v>
          </cell>
          <cell r="C63">
            <v>0</v>
          </cell>
          <cell r="D63">
            <v>0</v>
          </cell>
          <cell r="E63">
            <v>24</v>
          </cell>
          <cell r="P63">
            <v>46</v>
          </cell>
          <cell r="Q63">
            <v>0</v>
          </cell>
          <cell r="R63">
            <v>0</v>
          </cell>
          <cell r="S63">
            <v>46</v>
          </cell>
          <cell r="AD63">
            <v>6259</v>
          </cell>
          <cell r="AE63">
            <v>0</v>
          </cell>
          <cell r="AF63">
            <v>0</v>
          </cell>
          <cell r="AG63">
            <v>6259</v>
          </cell>
          <cell r="AQ63">
            <v>6259</v>
          </cell>
        </row>
        <row r="64">
          <cell r="A64" t="str">
            <v>NEW HUNG SHENG</v>
          </cell>
          <cell r="B64">
            <v>0</v>
          </cell>
          <cell r="C64">
            <v>0</v>
          </cell>
          <cell r="D64">
            <v>26</v>
          </cell>
          <cell r="E64">
            <v>47</v>
          </cell>
          <cell r="P64">
            <v>0</v>
          </cell>
          <cell r="Q64">
            <v>0</v>
          </cell>
          <cell r="R64">
            <v>606</v>
          </cell>
          <cell r="S64">
            <v>90</v>
          </cell>
          <cell r="AD64">
            <v>0</v>
          </cell>
          <cell r="AE64">
            <v>0</v>
          </cell>
          <cell r="AF64">
            <v>13497</v>
          </cell>
          <cell r="AG64">
            <v>12025.6</v>
          </cell>
          <cell r="AQ64">
            <v>25522.6</v>
          </cell>
        </row>
        <row r="65">
          <cell r="A65" t="str">
            <v>PRODUCTOS DE PRESTIGIO, S.A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Q65">
            <v>0</v>
          </cell>
        </row>
        <row r="66">
          <cell r="A66" t="str">
            <v>KIENER PRODUCTS</v>
          </cell>
          <cell r="B66">
            <v>0</v>
          </cell>
          <cell r="C66">
            <v>32</v>
          </cell>
          <cell r="D66">
            <v>64</v>
          </cell>
          <cell r="E66">
            <v>87</v>
          </cell>
          <cell r="P66">
            <v>0</v>
          </cell>
          <cell r="Q66">
            <v>264</v>
          </cell>
          <cell r="R66">
            <v>480</v>
          </cell>
          <cell r="S66">
            <v>627</v>
          </cell>
          <cell r="AD66">
            <v>0</v>
          </cell>
          <cell r="AE66">
            <v>10837</v>
          </cell>
          <cell r="AF66">
            <v>19409</v>
          </cell>
          <cell r="AG66">
            <v>28022</v>
          </cell>
          <cell r="AQ66">
            <v>58268</v>
          </cell>
        </row>
        <row r="67">
          <cell r="A67" t="str">
            <v>COMERCIALIZADORA ANCAR, S.A.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Q67">
            <v>0</v>
          </cell>
        </row>
        <row r="68">
          <cell r="A68" t="str">
            <v>FOREVER OCEANS PANAMA, S.A.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Q68">
            <v>0</v>
          </cell>
        </row>
        <row r="69">
          <cell r="A69" t="str">
            <v>K-WORLD ENTERTAINMENT CAMPAIGN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Q69">
            <v>0</v>
          </cell>
        </row>
        <row r="70">
          <cell r="A70" t="str">
            <v>Puratos de Panamá, S.A.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Q70">
            <v>0</v>
          </cell>
        </row>
        <row r="71">
          <cell r="A71" t="str">
            <v>UNITED WAY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Q71">
            <v>0</v>
          </cell>
        </row>
        <row r="72">
          <cell r="A72" t="str">
            <v>IMPORTADORA VIRZI S.A.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Q72">
            <v>0</v>
          </cell>
        </row>
        <row r="73">
          <cell r="A73" t="str">
            <v>Inversiones Naturalia, S.A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Q73">
            <v>0</v>
          </cell>
        </row>
        <row r="74">
          <cell r="A74" t="str">
            <v>GOURMET IMPORTS, S.A.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Q74">
            <v>0</v>
          </cell>
        </row>
        <row r="75">
          <cell r="A75" t="str">
            <v>PANAMA CONVENTION CENTER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Q75">
            <v>0</v>
          </cell>
        </row>
        <row r="76">
          <cell r="A76" t="str">
            <v>SUPER BRANDS CORPORATION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Q76">
            <v>0</v>
          </cell>
        </row>
        <row r="77">
          <cell r="A77" t="str">
            <v>Delivery Hero Dmart Panama S.A. (Orders Now)</v>
          </cell>
          <cell r="B77">
            <v>0</v>
          </cell>
          <cell r="C77">
            <v>24</v>
          </cell>
          <cell r="D77">
            <v>30</v>
          </cell>
          <cell r="E77">
            <v>26</v>
          </cell>
          <cell r="P77">
            <v>0</v>
          </cell>
          <cell r="Q77">
            <v>242</v>
          </cell>
          <cell r="R77">
            <v>384</v>
          </cell>
          <cell r="S77">
            <v>334</v>
          </cell>
          <cell r="AD77">
            <v>0</v>
          </cell>
          <cell r="AE77">
            <v>7458</v>
          </cell>
          <cell r="AF77">
            <v>7006</v>
          </cell>
          <cell r="AG77">
            <v>7257</v>
          </cell>
          <cell r="AQ77">
            <v>21721</v>
          </cell>
        </row>
        <row r="78">
          <cell r="A78" t="str">
            <v>Italo Hispana Distributor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Q78">
            <v>0</v>
          </cell>
        </row>
        <row r="79">
          <cell r="A79" t="str">
            <v>GLOBAL PRODUCTS AND LOGISTIC SERVICES, INC. (Dicarina)</v>
          </cell>
          <cell r="B79">
            <v>48</v>
          </cell>
          <cell r="C79">
            <v>21</v>
          </cell>
          <cell r="D79">
            <v>34</v>
          </cell>
          <cell r="E79">
            <v>48</v>
          </cell>
          <cell r="P79">
            <v>1797</v>
          </cell>
          <cell r="Q79">
            <v>376</v>
          </cell>
          <cell r="R79">
            <v>233</v>
          </cell>
          <cell r="S79">
            <v>1797</v>
          </cell>
          <cell r="AD79">
            <v>12950</v>
          </cell>
          <cell r="AE79">
            <v>5593</v>
          </cell>
          <cell r="AF79">
            <v>7802</v>
          </cell>
          <cell r="AG79">
            <v>12950</v>
          </cell>
          <cell r="AQ79">
            <v>26345</v>
          </cell>
        </row>
        <row r="80">
          <cell r="A80" t="str">
            <v>NUTRISERVI PANAMA S.A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Q80">
            <v>0</v>
          </cell>
        </row>
        <row r="81">
          <cell r="A81" t="str">
            <v>BIMBO DE PANAMA, S.A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Q81">
            <v>0</v>
          </cell>
        </row>
        <row r="82">
          <cell r="A82" t="str">
            <v>SG Foods Latinoamérica, S.A.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Q82">
            <v>0</v>
          </cell>
        </row>
        <row r="83">
          <cell r="A83" t="str">
            <v>Jacach S.A.</v>
          </cell>
          <cell r="B83">
            <v>0</v>
          </cell>
          <cell r="C83">
            <v>27</v>
          </cell>
          <cell r="D83">
            <v>32</v>
          </cell>
          <cell r="E83">
            <v>0</v>
          </cell>
          <cell r="P83">
            <v>0</v>
          </cell>
          <cell r="Q83">
            <v>1198</v>
          </cell>
          <cell r="R83">
            <v>0</v>
          </cell>
          <cell r="S83">
            <v>0</v>
          </cell>
          <cell r="AD83">
            <v>0</v>
          </cell>
          <cell r="AE83">
            <v>7518</v>
          </cell>
          <cell r="AF83">
            <v>6534</v>
          </cell>
          <cell r="AG83">
            <v>0</v>
          </cell>
          <cell r="AQ83">
            <v>14052</v>
          </cell>
        </row>
        <row r="84">
          <cell r="A84" t="str">
            <v>Marketing Roots Inc.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Q84">
            <v>0</v>
          </cell>
        </row>
        <row r="85">
          <cell r="A85" t="str">
            <v>Vima Foods Panama S.A.</v>
          </cell>
          <cell r="B85">
            <v>0</v>
          </cell>
          <cell r="C85">
            <v>0</v>
          </cell>
          <cell r="D85">
            <v>43</v>
          </cell>
          <cell r="E85">
            <v>19</v>
          </cell>
          <cell r="P85">
            <v>0</v>
          </cell>
          <cell r="Q85">
            <v>600</v>
          </cell>
          <cell r="R85">
            <v>0</v>
          </cell>
          <cell r="S85">
            <v>39</v>
          </cell>
          <cell r="AD85">
            <v>0</v>
          </cell>
          <cell r="AE85">
            <v>0</v>
          </cell>
          <cell r="AF85">
            <v>17158</v>
          </cell>
          <cell r="AG85">
            <v>4968</v>
          </cell>
          <cell r="AQ85">
            <v>22126</v>
          </cell>
        </row>
        <row r="86">
          <cell r="A86" t="str">
            <v>SUPER MEATS</v>
          </cell>
          <cell r="B86">
            <v>0</v>
          </cell>
          <cell r="C86">
            <v>14</v>
          </cell>
          <cell r="D86">
            <v>16</v>
          </cell>
          <cell r="E86">
            <v>18</v>
          </cell>
          <cell r="P86">
            <v>0</v>
          </cell>
          <cell r="Q86">
            <v>3130</v>
          </cell>
          <cell r="R86">
            <v>2993</v>
          </cell>
          <cell r="S86">
            <v>3799</v>
          </cell>
          <cell r="AD86">
            <v>0</v>
          </cell>
          <cell r="AE86">
            <v>1750</v>
          </cell>
          <cell r="AF86">
            <v>2418</v>
          </cell>
          <cell r="AG86">
            <v>2155</v>
          </cell>
          <cell r="AQ86">
            <v>6323</v>
          </cell>
        </row>
        <row r="87">
          <cell r="A87" t="str">
            <v>MARTIN BROWER</v>
          </cell>
          <cell r="B87">
            <v>60</v>
          </cell>
          <cell r="C87">
            <v>0</v>
          </cell>
          <cell r="D87">
            <v>0</v>
          </cell>
          <cell r="E87">
            <v>60</v>
          </cell>
          <cell r="P87">
            <v>826</v>
          </cell>
          <cell r="Q87">
            <v>0</v>
          </cell>
          <cell r="R87">
            <v>0</v>
          </cell>
          <cell r="S87">
            <v>826</v>
          </cell>
          <cell r="AD87">
            <v>13814</v>
          </cell>
          <cell r="AE87">
            <v>0</v>
          </cell>
          <cell r="AF87">
            <v>0</v>
          </cell>
          <cell r="AG87">
            <v>13814</v>
          </cell>
          <cell r="AQ87">
            <v>13814</v>
          </cell>
        </row>
        <row r="88">
          <cell r="A88" t="str">
            <v>FOREVER OCEANS PANAMA, S.A.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Q88">
            <v>0</v>
          </cell>
        </row>
        <row r="89">
          <cell r="A89" t="str">
            <v>CESAR ARROCHA GRAELL Y CIA, S.A (Arrocha)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Q89">
            <v>0</v>
          </cell>
        </row>
        <row r="90">
          <cell r="A90" t="str">
            <v>FOODS OF THE ISTHMUS (PEPSICO)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Q90">
            <v>0</v>
          </cell>
        </row>
        <row r="91">
          <cell r="A91" t="str">
            <v>Grupo BIO, S.A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Q91">
            <v>0</v>
          </cell>
        </row>
        <row r="92">
          <cell r="A92" t="str">
            <v>Panama Ship Warehouse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P92">
            <v>30</v>
          </cell>
          <cell r="Q92">
            <v>0</v>
          </cell>
          <cell r="R92">
            <v>0</v>
          </cell>
          <cell r="S92">
            <v>30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Q92">
            <v>0</v>
          </cell>
        </row>
        <row r="93">
          <cell r="A93" t="str">
            <v>Comercializadora Continental Santana S.A. (Costa Group)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Q93">
            <v>0</v>
          </cell>
        </row>
        <row r="94">
          <cell r="A94" t="str">
            <v>GRUPO BARSASH, S.A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Q94">
            <v>0</v>
          </cell>
        </row>
        <row r="95">
          <cell r="A95" t="str">
            <v>POTUGA FRUIT COMPANY S.A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Q95">
            <v>0</v>
          </cell>
        </row>
        <row r="96">
          <cell r="A96" t="str">
            <v>RAMON GONZALEZ REVILLA DRUGSTORE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Q96">
            <v>0</v>
          </cell>
        </row>
        <row r="97">
          <cell r="A97" t="str">
            <v>DULCERIA MOMI, S.A.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Q97">
            <v>0</v>
          </cell>
        </row>
        <row r="98">
          <cell r="A98" t="str">
            <v>MINERA PANAMA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Q98">
            <v>0</v>
          </cell>
        </row>
        <row r="99">
          <cell r="A99" t="str">
            <v>EMPAQUES DE COLON S.A.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P99">
            <v>0</v>
          </cell>
          <cell r="Q99">
            <v>0</v>
          </cell>
          <cell r="R99">
            <v>1497</v>
          </cell>
          <cell r="S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Q99">
            <v>0</v>
          </cell>
        </row>
        <row r="100">
          <cell r="A100" t="str">
            <v>H. TZANETATO INC</v>
          </cell>
          <cell r="B100">
            <v>65</v>
          </cell>
          <cell r="C100">
            <v>0</v>
          </cell>
          <cell r="D100">
            <v>39</v>
          </cell>
          <cell r="E100">
            <v>65</v>
          </cell>
          <cell r="P100">
            <v>1274</v>
          </cell>
          <cell r="Q100">
            <v>214</v>
          </cell>
          <cell r="R100">
            <v>341</v>
          </cell>
          <cell r="S100">
            <v>1274</v>
          </cell>
          <cell r="AD100">
            <v>19347</v>
          </cell>
          <cell r="AE100">
            <v>0</v>
          </cell>
          <cell r="AF100">
            <v>8100</v>
          </cell>
          <cell r="AG100">
            <v>19347</v>
          </cell>
          <cell r="AQ100">
            <v>27447</v>
          </cell>
        </row>
        <row r="101">
          <cell r="A101" t="str">
            <v>INTERLIGHT INDUSTRIES, S.A.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Q101">
            <v>0</v>
          </cell>
        </row>
        <row r="102">
          <cell r="A102" t="str">
            <v>BALBOA INTERNATIONAL PRODUCERS INC.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Q102">
            <v>0</v>
          </cell>
        </row>
        <row r="103">
          <cell r="A103" t="str">
            <v>PAN. CESARIN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Q103">
            <v>0</v>
          </cell>
        </row>
        <row r="104">
          <cell r="A104" t="str">
            <v>ECO FOOD &amp; HEALTH S.A.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Q104">
            <v>0</v>
          </cell>
        </row>
        <row r="105">
          <cell r="A105" t="str">
            <v>CORONADO ACL S.A. (LEUDO BAKERY)</v>
          </cell>
          <cell r="B105">
            <v>0</v>
          </cell>
          <cell r="C105">
            <v>6</v>
          </cell>
          <cell r="D105">
            <v>4</v>
          </cell>
          <cell r="E105">
            <v>1</v>
          </cell>
          <cell r="P105">
            <v>0</v>
          </cell>
          <cell r="Q105">
            <v>46</v>
          </cell>
          <cell r="R105">
            <v>31</v>
          </cell>
          <cell r="S105">
            <v>30</v>
          </cell>
          <cell r="AD105">
            <v>0</v>
          </cell>
          <cell r="AE105">
            <v>1342</v>
          </cell>
          <cell r="AF105">
            <v>1272</v>
          </cell>
          <cell r="AG105">
            <v>180</v>
          </cell>
          <cell r="AQ105">
            <v>2794</v>
          </cell>
        </row>
        <row r="106">
          <cell r="A106" t="str">
            <v>Office of the 1st Lady</v>
          </cell>
          <cell r="B106">
            <v>0</v>
          </cell>
          <cell r="C106">
            <v>9</v>
          </cell>
          <cell r="D106">
            <v>0</v>
          </cell>
          <cell r="E106">
            <v>0</v>
          </cell>
          <cell r="P106">
            <v>0</v>
          </cell>
          <cell r="Q106">
            <v>378</v>
          </cell>
          <cell r="R106">
            <v>0</v>
          </cell>
          <cell r="S106">
            <v>0</v>
          </cell>
          <cell r="AD106">
            <v>0</v>
          </cell>
          <cell r="AE106">
            <v>4042</v>
          </cell>
          <cell r="AF106">
            <v>0</v>
          </cell>
          <cell r="AG106">
            <v>0</v>
          </cell>
          <cell r="AQ106">
            <v>4042</v>
          </cell>
        </row>
        <row r="107">
          <cell r="A107" t="str">
            <v>INDUSTRIAS LACTEAS, S.A / Estrella Azul</v>
          </cell>
          <cell r="B107">
            <v>22</v>
          </cell>
          <cell r="C107">
            <v>13</v>
          </cell>
          <cell r="D107">
            <v>13</v>
          </cell>
          <cell r="E107">
            <v>22</v>
          </cell>
          <cell r="P107">
            <v>908</v>
          </cell>
          <cell r="Q107">
            <v>2004</v>
          </cell>
          <cell r="R107">
            <v>2206</v>
          </cell>
          <cell r="S107">
            <v>908</v>
          </cell>
          <cell r="AD107">
            <v>6419</v>
          </cell>
          <cell r="AE107">
            <v>2195</v>
          </cell>
          <cell r="AF107">
            <v>1424</v>
          </cell>
          <cell r="AG107">
            <v>6419</v>
          </cell>
          <cell r="AQ107">
            <v>10038</v>
          </cell>
        </row>
        <row r="108">
          <cell r="A108" t="str">
            <v>GEORGIA TECH PANAMA FOUNDATION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Q108">
            <v>0</v>
          </cell>
        </row>
        <row r="109">
          <cell r="A109" t="str">
            <v>IMPORTADORA AMADAHY S.A.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Q109">
            <v>0</v>
          </cell>
        </row>
        <row r="110">
          <cell r="A110" t="str">
            <v>LA CHOLITA S.A.</v>
          </cell>
          <cell r="B110">
            <v>15</v>
          </cell>
          <cell r="C110">
            <v>19</v>
          </cell>
          <cell r="D110">
            <v>17</v>
          </cell>
          <cell r="E110">
            <v>15</v>
          </cell>
          <cell r="P110">
            <v>366</v>
          </cell>
          <cell r="Q110">
            <v>345</v>
          </cell>
          <cell r="R110">
            <v>149</v>
          </cell>
          <cell r="S110">
            <v>366</v>
          </cell>
          <cell r="AD110">
            <v>2543</v>
          </cell>
          <cell r="AE110">
            <v>4719</v>
          </cell>
          <cell r="AF110">
            <v>2640</v>
          </cell>
          <cell r="AG110">
            <v>2543</v>
          </cell>
          <cell r="AQ110">
            <v>9902</v>
          </cell>
        </row>
        <row r="111">
          <cell r="A111" t="str">
            <v>L.A.L. (The Roaring Twenties)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Q111">
            <v>0</v>
          </cell>
        </row>
        <row r="112">
          <cell r="A112" t="str">
            <v>UNIVERDE S.A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Q112">
            <v>0</v>
          </cell>
        </row>
        <row r="113">
          <cell r="A113" t="str">
            <v>BARRAZA Y COMPAÑIA, S.A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Q113">
            <v>0</v>
          </cell>
        </row>
        <row r="114">
          <cell r="A114" t="str">
            <v>National Federation of Salt Cooperatives of Panama (FENCOSPA, R.L.)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70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Q114">
            <v>0</v>
          </cell>
        </row>
        <row r="115">
          <cell r="A115" t="str">
            <v>RODOLFO MORENO Y CIA (ROMOCIA)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Q115">
            <v>0</v>
          </cell>
        </row>
        <row r="116">
          <cell r="A116" t="str">
            <v>IMPORTADORA Y EXP HERMANOS GAGO S.A.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Q116">
            <v>0</v>
          </cell>
        </row>
        <row r="117">
          <cell r="A117" t="str">
            <v>EUROFRUTAS INC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Q117">
            <v>0</v>
          </cell>
        </row>
        <row r="118">
          <cell r="A118" t="str">
            <v>FRESCAFHISH, S.A</v>
          </cell>
          <cell r="B118">
            <v>16</v>
          </cell>
          <cell r="C118">
            <v>0</v>
          </cell>
          <cell r="D118">
            <v>0</v>
          </cell>
          <cell r="E118">
            <v>16</v>
          </cell>
          <cell r="P118">
            <v>1040</v>
          </cell>
          <cell r="Q118">
            <v>0</v>
          </cell>
          <cell r="R118">
            <v>0</v>
          </cell>
          <cell r="S118">
            <v>1040</v>
          </cell>
          <cell r="AD118">
            <v>2022</v>
          </cell>
          <cell r="AE118">
            <v>0</v>
          </cell>
          <cell r="AF118">
            <v>0</v>
          </cell>
          <cell r="AG118">
            <v>2022</v>
          </cell>
          <cell r="AQ118">
            <v>2022</v>
          </cell>
        </row>
        <row r="119">
          <cell r="A119" t="str">
            <v>Global Brands (Panama), S.A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Q119">
            <v>0</v>
          </cell>
        </row>
        <row r="120">
          <cell r="A120" t="str">
            <v>ULE RIVER RANCH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Q120">
            <v>0</v>
          </cell>
        </row>
        <row r="121">
          <cell r="A121" t="str">
            <v>PROCESADORA MONICA, S.A</v>
          </cell>
          <cell r="B121">
            <v>5</v>
          </cell>
          <cell r="C121">
            <v>5</v>
          </cell>
          <cell r="D121">
            <v>4</v>
          </cell>
          <cell r="E121">
            <v>5</v>
          </cell>
          <cell r="P121">
            <v>144</v>
          </cell>
          <cell r="Q121">
            <v>222</v>
          </cell>
          <cell r="R121">
            <v>43</v>
          </cell>
          <cell r="S121">
            <v>144</v>
          </cell>
          <cell r="AD121">
            <v>959</v>
          </cell>
          <cell r="AE121">
            <v>1191</v>
          </cell>
          <cell r="AF121">
            <v>715</v>
          </cell>
          <cell r="AG121">
            <v>959</v>
          </cell>
          <cell r="AQ121">
            <v>2865</v>
          </cell>
        </row>
        <row r="122">
          <cell r="A122" t="str">
            <v>SAMBU ARTISAN FOOD, S.A.</v>
          </cell>
          <cell r="B122">
            <v>32</v>
          </cell>
          <cell r="C122">
            <v>40</v>
          </cell>
          <cell r="D122">
            <v>38</v>
          </cell>
          <cell r="E122">
            <v>32</v>
          </cell>
          <cell r="P122">
            <v>0</v>
          </cell>
          <cell r="Q122">
            <v>2161</v>
          </cell>
          <cell r="R122">
            <v>0</v>
          </cell>
          <cell r="S122">
            <v>0</v>
          </cell>
          <cell r="AD122">
            <v>7021</v>
          </cell>
          <cell r="AE122">
            <v>15350</v>
          </cell>
          <cell r="AF122">
            <v>13545</v>
          </cell>
          <cell r="AG122">
            <v>7021</v>
          </cell>
          <cell r="AQ122">
            <v>35916</v>
          </cell>
        </row>
        <row r="123">
          <cell r="A123" t="str">
            <v>GRUPO NIJAR S.A.</v>
          </cell>
          <cell r="B123">
            <v>0</v>
          </cell>
          <cell r="D123">
            <v>47</v>
          </cell>
          <cell r="E123">
            <v>0</v>
          </cell>
          <cell r="P123">
            <v>0</v>
          </cell>
          <cell r="Q123">
            <v>281</v>
          </cell>
          <cell r="R123">
            <v>0</v>
          </cell>
          <cell r="S123">
            <v>0</v>
          </cell>
          <cell r="AD123">
            <v>0</v>
          </cell>
          <cell r="AF123">
            <v>17506</v>
          </cell>
          <cell r="AG123">
            <v>0</v>
          </cell>
        </row>
        <row r="124">
          <cell r="A124" t="str">
            <v>L'Oréal Panama Comercial, S. A</v>
          </cell>
          <cell r="B124">
            <v>0</v>
          </cell>
          <cell r="D124">
            <v>6</v>
          </cell>
          <cell r="E124">
            <v>0</v>
          </cell>
          <cell r="P124">
            <v>0</v>
          </cell>
          <cell r="Q124">
            <v>38</v>
          </cell>
          <cell r="R124">
            <v>0</v>
          </cell>
          <cell r="S124">
            <v>0</v>
          </cell>
          <cell r="AD124">
            <v>0</v>
          </cell>
          <cell r="AF124">
            <v>2187</v>
          </cell>
          <cell r="AG124">
            <v>0</v>
          </cell>
        </row>
        <row r="125">
          <cell r="A125" t="str">
            <v>Agro Export Pacific, S.A</v>
          </cell>
          <cell r="B125">
            <v>68</v>
          </cell>
          <cell r="D125">
            <v>1</v>
          </cell>
          <cell r="E125">
            <v>68</v>
          </cell>
          <cell r="P125">
            <v>9754</v>
          </cell>
          <cell r="R125">
            <v>2976</v>
          </cell>
          <cell r="S125">
            <v>9754</v>
          </cell>
          <cell r="AD125">
            <v>20267</v>
          </cell>
          <cell r="AF125">
            <v>73</v>
          </cell>
          <cell r="AG125">
            <v>20267</v>
          </cell>
        </row>
        <row r="126">
          <cell r="A126" t="str">
            <v>LA VICTORIA SUGAR MILL</v>
          </cell>
          <cell r="B126">
            <v>0</v>
          </cell>
          <cell r="D126">
            <v>10</v>
          </cell>
          <cell r="E126">
            <v>4</v>
          </cell>
          <cell r="P126">
            <v>0</v>
          </cell>
          <cell r="R126">
            <v>66</v>
          </cell>
          <cell r="S126">
            <v>66</v>
          </cell>
          <cell r="AD126">
            <v>0</v>
          </cell>
          <cell r="AF126">
            <v>1312</v>
          </cell>
          <cell r="AG126">
            <v>823</v>
          </cell>
        </row>
        <row r="127">
          <cell r="A127" t="str">
            <v>COOLBOX FRESIA CORP.</v>
          </cell>
          <cell r="B127">
            <v>4</v>
          </cell>
          <cell r="D127">
            <v>26</v>
          </cell>
          <cell r="E127">
            <v>4</v>
          </cell>
          <cell r="P127">
            <v>0</v>
          </cell>
          <cell r="R127">
            <v>213</v>
          </cell>
          <cell r="S127">
            <v>0</v>
          </cell>
          <cell r="AD127">
            <v>1489</v>
          </cell>
          <cell r="AF127">
            <v>7457</v>
          </cell>
          <cell r="AG127">
            <v>1489</v>
          </cell>
        </row>
        <row r="128">
          <cell r="A128" t="str">
            <v>CORPORACIÓN MENDELA S.A.</v>
          </cell>
          <cell r="B128">
            <v>0</v>
          </cell>
          <cell r="D128">
            <v>1</v>
          </cell>
          <cell r="E128">
            <v>0</v>
          </cell>
          <cell r="P128">
            <v>0</v>
          </cell>
          <cell r="R128">
            <v>8</v>
          </cell>
          <cell r="S128">
            <v>0</v>
          </cell>
          <cell r="AD128">
            <v>0</v>
          </cell>
          <cell r="AF128">
            <v>65</v>
          </cell>
          <cell r="AG128">
            <v>0</v>
          </cell>
        </row>
        <row r="129">
          <cell r="A129" t="str">
            <v>FEAX INTERNATIONAL S.A.</v>
          </cell>
          <cell r="B129">
            <v>0</v>
          </cell>
          <cell r="D129">
            <v>0</v>
          </cell>
          <cell r="E129">
            <v>0</v>
          </cell>
          <cell r="P129">
            <v>0</v>
          </cell>
          <cell r="R129">
            <v>68</v>
          </cell>
          <cell r="S129">
            <v>0</v>
          </cell>
          <cell r="AD129">
            <v>0</v>
          </cell>
          <cell r="AF129">
            <v>0</v>
          </cell>
          <cell r="AG129">
            <v>0</v>
          </cell>
        </row>
        <row r="130">
          <cell r="A130" t="str">
            <v>AGENCIAS ESCOFFERY, S.A</v>
          </cell>
          <cell r="B130">
            <v>28</v>
          </cell>
          <cell r="D130">
            <v>0</v>
          </cell>
          <cell r="E130">
            <v>28</v>
          </cell>
          <cell r="P130">
            <v>3933</v>
          </cell>
          <cell r="S130">
            <v>3933</v>
          </cell>
          <cell r="AD130">
            <v>7490</v>
          </cell>
          <cell r="AF130">
            <v>0</v>
          </cell>
          <cell r="AG130">
            <v>7490</v>
          </cell>
        </row>
      </sheetData>
      <sheetData sheetId="12"/>
      <sheetData sheetId="13">
        <row r="1">
          <cell r="C1" t="str">
            <v>Nombre de la cuenta</v>
          </cell>
          <cell r="D1" t="str">
            <v>Contacto principal</v>
          </cell>
          <cell r="E1" t="str">
            <v>Correo Electrónico</v>
          </cell>
          <cell r="F1" t="str">
            <v>Teléfono</v>
          </cell>
        </row>
        <row r="2">
          <cell r="C2" t="str">
            <v>ADVERTISING AND PROMOTION DE PANAMA, S.A</v>
          </cell>
          <cell r="E2" t="str">
            <v>rrhh.pa@ayp.com.mx</v>
          </cell>
          <cell r="F2" t="str">
            <v>261-7996</v>
          </cell>
        </row>
        <row r="3">
          <cell r="C3" t="str">
            <v>AF CESA - CONSULTORES ESPECIALIZADOS, S.A.</v>
          </cell>
          <cell r="D3" t="str">
            <v>Antonio Fletcher</v>
          </cell>
          <cell r="E3" t="str">
            <v>afletcher@af-cesa.com</v>
          </cell>
          <cell r="F3" t="str">
            <v>236 7589 / 91 / 800 2332</v>
          </cell>
        </row>
        <row r="4">
          <cell r="C4" t="str">
            <v>AGENCIA BENEDICTO WONG, S.A</v>
          </cell>
          <cell r="D4" t="str">
            <v>Frances Wong</v>
          </cell>
          <cell r="E4" t="str">
            <v>jguzman@grupobwong.com</v>
          </cell>
          <cell r="F4" t="str">
            <v>2363444</v>
          </cell>
        </row>
        <row r="5">
          <cell r="C5" t="str">
            <v>AGENCIA INTERNACIONAL DE MARCAS, S.A - AGIMSA</v>
          </cell>
          <cell r="D5" t="str">
            <v>ROGELIO GONZALEZ</v>
          </cell>
          <cell r="E5" t="str">
            <v>rgonzalez@agimsapanama.com</v>
          </cell>
          <cell r="F5" t="str">
            <v>224-9664</v>
          </cell>
        </row>
        <row r="6">
          <cell r="C6" t="str">
            <v>AGENCIAS ESCOFFERY, S.A</v>
          </cell>
          <cell r="D6" t="str">
            <v>Leonardo Arner</v>
          </cell>
          <cell r="E6" t="str">
            <v>leonardo.arner@agenciasescoffery.com</v>
          </cell>
          <cell r="F6" t="str">
            <v>302-2372</v>
          </cell>
        </row>
        <row r="7">
          <cell r="C7" t="str">
            <v>AGENCIAS FEDURO</v>
          </cell>
          <cell r="D7" t="str">
            <v>Rony Lombardo</v>
          </cell>
          <cell r="E7" t="str">
            <v>rlombardo@feduro.net</v>
          </cell>
          <cell r="F7" t="str">
            <v>3044444</v>
          </cell>
        </row>
        <row r="8">
          <cell r="C8" t="str">
            <v>ALIMENTOS CÁRNICOS DE PANAMA ,S.A</v>
          </cell>
          <cell r="D8" t="str">
            <v>Debora Mendoza</v>
          </cell>
          <cell r="F8" t="str">
            <v>290-9100 / 290 9150</v>
          </cell>
        </row>
        <row r="9">
          <cell r="C9" t="str">
            <v>ALIMENTOS KELLOGG DE PANAMA</v>
          </cell>
          <cell r="D9" t="str">
            <v>Ingma Contreras</v>
          </cell>
          <cell r="E9" t="str">
            <v>ingma.contreras@kellogg.com</v>
          </cell>
          <cell r="F9" t="str">
            <v>303-1500</v>
          </cell>
        </row>
        <row r="10">
          <cell r="C10" t="str">
            <v>ALIMENTOS NICO, S.A, (ANICSA)</v>
          </cell>
          <cell r="D10" t="str">
            <v>David Yanguez</v>
          </cell>
          <cell r="E10" t="str">
            <v>cafe.don.tino@hotmail.com</v>
          </cell>
          <cell r="F10" t="str">
            <v>851 0138</v>
          </cell>
        </row>
        <row r="11">
          <cell r="C11" t="str">
            <v>ALNAIS, S.A</v>
          </cell>
          <cell r="D11" t="str">
            <v>Isabella Visbal</v>
          </cell>
          <cell r="E11" t="str">
            <v>mercadeo@shopthesnackguru.com</v>
          </cell>
          <cell r="F11" t="str">
            <v>6826-2549</v>
          </cell>
        </row>
        <row r="12">
          <cell r="C12" t="str">
            <v>Altieri Specialty Coffee.</v>
          </cell>
        </row>
        <row r="13">
          <cell r="C13" t="str">
            <v>ARCE AVICOLA, S.A.</v>
          </cell>
          <cell r="E13" t="str">
            <v>invarro@arceavicola.com</v>
          </cell>
          <cell r="F13" t="str">
            <v>266-3076</v>
          </cell>
        </row>
        <row r="14">
          <cell r="C14" t="str">
            <v>AVIPAC</v>
          </cell>
          <cell r="D14" t="str">
            <v>Luz Campos</v>
          </cell>
          <cell r="E14" t="str">
            <v>testrada@avipacinc.com</v>
          </cell>
        </row>
        <row r="15">
          <cell r="C15" t="str">
            <v>AWA, S.A.</v>
          </cell>
          <cell r="D15" t="str">
            <v>Flora Rodriguez</v>
          </cell>
          <cell r="E15" t="str">
            <v>frodriguez@naturesmarket.com.pa</v>
          </cell>
          <cell r="F15" t="str">
            <v>774-4099</v>
          </cell>
        </row>
        <row r="16">
          <cell r="C16" t="str">
            <v>BAES DISTRIBUIDORES, S.A.</v>
          </cell>
          <cell r="D16" t="str">
            <v>Fernando Ow Young</v>
          </cell>
          <cell r="E16" t="str">
            <v>operaciones@baesdisa.com</v>
          </cell>
          <cell r="F16" t="str">
            <v>2714530</v>
          </cell>
        </row>
        <row r="17">
          <cell r="C17" t="str">
            <v>Banesco</v>
          </cell>
        </row>
        <row r="18">
          <cell r="C18" t="str">
            <v>BELGIAN DELIGHTS CORP.</v>
          </cell>
          <cell r="D18" t="str">
            <v>Boris Vigano</v>
          </cell>
          <cell r="E18" t="str">
            <v>borisvigano@gmail.com</v>
          </cell>
          <cell r="F18" t="str">
            <v>507 6300 6295</v>
          </cell>
        </row>
        <row r="19">
          <cell r="C19" t="str">
            <v>Bienes y Raices Metalicas S.A.</v>
          </cell>
          <cell r="D19" t="str">
            <v>Jose Tello</v>
          </cell>
          <cell r="E19" t="str">
            <v>tmj1929@hotmail.com</v>
          </cell>
          <cell r="F19" t="str">
            <v>6675-0897</v>
          </cell>
        </row>
        <row r="20">
          <cell r="C20" t="str">
            <v>BOTICA EL JAVILLO</v>
          </cell>
          <cell r="D20" t="str">
            <v>July de Robinson</v>
          </cell>
          <cell r="F20" t="str">
            <v>301-4005</v>
          </cell>
        </row>
        <row r="21">
          <cell r="C21" t="str">
            <v>BOTICAS EL JAVILLO</v>
          </cell>
          <cell r="E21" t="str">
            <v>fcastro@grupodehaseth.com</v>
          </cell>
          <cell r="F21" t="str">
            <v>3014000 EXT. 4181</v>
          </cell>
        </row>
        <row r="22">
          <cell r="C22" t="str">
            <v>BRM SAL</v>
          </cell>
          <cell r="E22" t="str">
            <v>tmj1929@hotmail.com</v>
          </cell>
          <cell r="F22" t="str">
            <v>974-4758</v>
          </cell>
        </row>
        <row r="23">
          <cell r="C23" t="str">
            <v>CANDIES SUPPLIER, INC</v>
          </cell>
          <cell r="E23" t="str">
            <v>lcarrasco@candiessupplier.com</v>
          </cell>
          <cell r="F23" t="str">
            <v>271 0844</v>
          </cell>
        </row>
        <row r="24">
          <cell r="C24" t="str">
            <v>CARDY FOOD SUPPLY, S.A</v>
          </cell>
          <cell r="D24" t="str">
            <v>Reiddy Rodriguez</v>
          </cell>
          <cell r="E24" t="str">
            <v>reiddyrodriguez@hotmail.com</v>
          </cell>
          <cell r="F24" t="str">
            <v>6151-9309</v>
          </cell>
        </row>
        <row r="25">
          <cell r="C25" t="str">
            <v>Caribbean International Foods Inc</v>
          </cell>
          <cell r="D25" t="str">
            <v>Ilka Espinoza</v>
          </cell>
          <cell r="E25" t="str">
            <v>iespinoza@caribbeanpatty.com</v>
          </cell>
          <cell r="F25" t="str">
            <v>263-4001</v>
          </cell>
        </row>
        <row r="26">
          <cell r="C26" t="str">
            <v>CASA BOCAO S.A.</v>
          </cell>
          <cell r="D26" t="str">
            <v>Jaime Perez</v>
          </cell>
          <cell r="E26" t="str">
            <v>info@bocaopanama.net</v>
          </cell>
          <cell r="F26" t="str">
            <v>6672-5316</v>
          </cell>
        </row>
        <row r="27">
          <cell r="C27" t="str">
            <v>CASA DE LA CARNE</v>
          </cell>
          <cell r="D27" t="str">
            <v>Roberto Mangravita</v>
          </cell>
        </row>
        <row r="28">
          <cell r="C28" t="str">
            <v>CASA MAYORISTA JANETH</v>
          </cell>
          <cell r="F28" t="str">
            <v>224-8447</v>
          </cell>
        </row>
        <row r="29">
          <cell r="C29" t="str">
            <v>CEGRACO</v>
          </cell>
          <cell r="D29" t="str">
            <v>Naresh Camargo</v>
          </cell>
          <cell r="E29" t="str">
            <v>naresh.camargo@grupocalesa.com</v>
          </cell>
          <cell r="F29" t="str">
            <v>6262-1652</v>
          </cell>
        </row>
        <row r="30">
          <cell r="C30" t="str">
            <v>CENTRAL AZUCARERA DE ALANGE</v>
          </cell>
          <cell r="D30" t="str">
            <v>ARMANDO CASTRO</v>
          </cell>
          <cell r="E30" t="str">
            <v>ventas@cadasa.com.pa</v>
          </cell>
          <cell r="F30" t="str">
            <v>221-6966</v>
          </cell>
        </row>
        <row r="31">
          <cell r="C31" t="str">
            <v>CENTRAL AZUCARERA LA VICTORIA</v>
          </cell>
          <cell r="D31" t="str">
            <v>Luis Herrera</v>
          </cell>
          <cell r="E31" t="str">
            <v>gerencia@mobilemail.net</v>
          </cell>
          <cell r="F31" t="str">
            <v>959-0422</v>
          </cell>
        </row>
        <row r="32">
          <cell r="C32" t="str">
            <v>CENTRALAM DISTRIBUTORS INC</v>
          </cell>
          <cell r="D32" t="str">
            <v>Laisa Monterrey</v>
          </cell>
          <cell r="F32" t="str">
            <v>266-8281</v>
          </cell>
        </row>
        <row r="33">
          <cell r="C33" t="str">
            <v>CESAR ARROCHA GRAELL Y CIA, S.A (Arrocha)</v>
          </cell>
          <cell r="D33" t="str">
            <v>Marisol Vallarino</v>
          </cell>
          <cell r="E33" t="str">
            <v>mvallarino@arrocha.com</v>
          </cell>
          <cell r="F33" t="str">
            <v>279-9000</v>
          </cell>
        </row>
        <row r="34">
          <cell r="C34" t="str">
            <v>CESAR PIZZA SA</v>
          </cell>
          <cell r="D34" t="str">
            <v>Lourdes Sanchez</v>
          </cell>
        </row>
        <row r="35">
          <cell r="C35" t="str">
            <v>CHIPMA FOOD SERVICES</v>
          </cell>
          <cell r="F35" t="str">
            <v>6242-8105</v>
          </cell>
        </row>
        <row r="36">
          <cell r="C36" t="str">
            <v>CHIPMAN FOOD SERVICES</v>
          </cell>
          <cell r="E36" t="str">
            <v>contacto@chipmafood.com</v>
          </cell>
          <cell r="F36" t="str">
            <v>6242 8105 / 6368-9471</v>
          </cell>
        </row>
        <row r="37">
          <cell r="C37" t="str">
            <v>CIBO GROUP</v>
          </cell>
          <cell r="E37" t="str">
            <v>kaybermudez@cibogroup.net</v>
          </cell>
          <cell r="F37" t="str">
            <v>+507 2756304</v>
          </cell>
        </row>
        <row r="38">
          <cell r="C38" t="str">
            <v>Cinefood Services</v>
          </cell>
        </row>
        <row r="39">
          <cell r="C39" t="str">
            <v>CISNEROS INTERACTIVE</v>
          </cell>
          <cell r="E39" t="str">
            <v>cvilardel@cisnerosinteractive.com</v>
          </cell>
        </row>
        <row r="40">
          <cell r="C40" t="str">
            <v>Club Kiwanis Metropolitano</v>
          </cell>
          <cell r="E40" t="str">
            <v>kiwanispa@cwpanama.net</v>
          </cell>
          <cell r="F40" t="str">
            <v>232-7282</v>
          </cell>
        </row>
        <row r="41">
          <cell r="C41" t="str">
            <v>COCLESANA DE DISTRIBUCION (PLASTIMAR)</v>
          </cell>
          <cell r="D41" t="str">
            <v>Jesus Quintero</v>
          </cell>
          <cell r="E41" t="str">
            <v>l.vega@plastimar.net</v>
          </cell>
          <cell r="F41" t="str">
            <v>2330780</v>
          </cell>
        </row>
        <row r="42">
          <cell r="C42" t="str">
            <v>COLABORADORES BRITISH AMERICAN TOBACCO</v>
          </cell>
        </row>
        <row r="43">
          <cell r="C43" t="str">
            <v>Colaboradores de Parque Sur</v>
          </cell>
        </row>
        <row r="44">
          <cell r="C44" t="str">
            <v>COLABORES DECOLOSAL</v>
          </cell>
          <cell r="E44" t="str">
            <v>dvillarreal@decolosal.com.pa</v>
          </cell>
        </row>
        <row r="45">
          <cell r="C45" t="str">
            <v>COLEGIO BRADER</v>
          </cell>
        </row>
        <row r="46">
          <cell r="C46" t="str">
            <v>COLEGIO REAL</v>
          </cell>
        </row>
        <row r="47">
          <cell r="C47" t="str">
            <v>COMERCIAL POZUELO PANAMA, S.A</v>
          </cell>
          <cell r="D47" t="str">
            <v>Carmen Guerra</v>
          </cell>
          <cell r="E47" t="str">
            <v>clguerra@pozuelo.com.pa</v>
          </cell>
          <cell r="F47" t="str">
            <v>282-0279</v>
          </cell>
        </row>
        <row r="48">
          <cell r="C48" t="str">
            <v>Comida Sana Centro America y Caribe</v>
          </cell>
        </row>
        <row r="49">
          <cell r="C49" t="str">
            <v>COMPAÑIA LEVAPAN DE PANAMA, S.A.</v>
          </cell>
          <cell r="D49" t="str">
            <v>Antonio Chan</v>
          </cell>
          <cell r="E49" t="str">
            <v>achan@levapan.net</v>
          </cell>
          <cell r="F49" t="str">
            <v>3201589</v>
          </cell>
        </row>
        <row r="50">
          <cell r="C50" t="str">
            <v>CONSORCIO ALIMENTANDO PANAMÁ</v>
          </cell>
          <cell r="D50" t="str">
            <v>Jorge Rueda</v>
          </cell>
          <cell r="F50" t="str">
            <v>394 7008</v>
          </cell>
        </row>
        <row r="51">
          <cell r="C51" t="str">
            <v>CORPORACION ALBAMA ENTERPRISE</v>
          </cell>
        </row>
        <row r="52">
          <cell r="C52" t="str">
            <v>Corporación Comercializadora Sudamericana S.A.</v>
          </cell>
        </row>
        <row r="53">
          <cell r="C53" t="str">
            <v>CORPORACION INTERNACIONAL DE ALIMENTOS, S.A.</v>
          </cell>
          <cell r="D53" t="str">
            <v>Angel Larrea Cornejo</v>
          </cell>
          <cell r="E53" t="str">
            <v>graciela@cialimentos.com</v>
          </cell>
          <cell r="F53" t="str">
            <v>291-0300</v>
          </cell>
        </row>
        <row r="54">
          <cell r="C54" t="str">
            <v>Cultivo y Vegetales Panama</v>
          </cell>
        </row>
        <row r="55">
          <cell r="C55" t="str">
            <v>DEL MONTE DE PANAMA, S.A</v>
          </cell>
          <cell r="D55" t="str">
            <v>Elaine Patiño</v>
          </cell>
          <cell r="E55" t="str">
            <v>elainepatino@delmonte.com.pa</v>
          </cell>
          <cell r="F55" t="str">
            <v>278-8000</v>
          </cell>
        </row>
        <row r="56">
          <cell r="C56" t="str">
            <v>DELICIAS CANTONESAS</v>
          </cell>
          <cell r="F56" t="str">
            <v>2351617</v>
          </cell>
        </row>
        <row r="57">
          <cell r="C57" t="str">
            <v>DISTRIBUIDORA DE CARNES SAN MIGUEL</v>
          </cell>
        </row>
        <row r="58">
          <cell r="C58" t="str">
            <v>DISTRIBUIDORA E INVERSIONES IMPERIO, S.A.</v>
          </cell>
          <cell r="F58" t="str">
            <v>65419078</v>
          </cell>
        </row>
        <row r="59">
          <cell r="C59" t="str">
            <v>DISTRIBUIDORA ISTMEÑA DE ALIMENTOS</v>
          </cell>
          <cell r="E59" t="str">
            <v>jsanchez@agrosilos.com</v>
          </cell>
          <cell r="F59" t="str">
            <v>8506418</v>
          </cell>
        </row>
        <row r="60">
          <cell r="C60" t="str">
            <v>Distribuidora Italo Hispana</v>
          </cell>
          <cell r="D60" t="str">
            <v>Julio Cid</v>
          </cell>
          <cell r="E60" t="str">
            <v>distribuidoraitalohispana@gmail.com</v>
          </cell>
          <cell r="F60" t="str">
            <v>233-7114/15</v>
          </cell>
        </row>
        <row r="61">
          <cell r="C61" t="str">
            <v>DISTRIBUIDORA SIEMA, S.A</v>
          </cell>
          <cell r="F61" t="str">
            <v>310-0822</v>
          </cell>
        </row>
        <row r="62">
          <cell r="C62" t="str">
            <v>DISTRIBUIDORA VICMARI, S.A.</v>
          </cell>
          <cell r="D62" t="str">
            <v>Esteban Edebnburg</v>
          </cell>
          <cell r="E62" t="str">
            <v>lucas19662000@gmail.com</v>
          </cell>
          <cell r="F62" t="str">
            <v>233-3579</v>
          </cell>
        </row>
        <row r="63">
          <cell r="C63" t="str">
            <v>DISTRIBUIDORA VITALESTAR, S.A.</v>
          </cell>
          <cell r="D63" t="str">
            <v>Maideline Azuaje</v>
          </cell>
          <cell r="E63" t="str">
            <v>maideline.azuaje@vitalestar.com</v>
          </cell>
          <cell r="F63" t="str">
            <v>398-1411</v>
          </cell>
        </row>
        <row r="64">
          <cell r="C64" t="str">
            <v>DO IT CENTER</v>
          </cell>
        </row>
        <row r="65">
          <cell r="C65" t="str">
            <v>DROGUERIA RAMON GONZALEZ REVILLA</v>
          </cell>
          <cell r="D65" t="str">
            <v>Laura Gonzalez - Ruiz</v>
          </cell>
          <cell r="E65" t="str">
            <v>laura.gonzalez@drogueria-revilla.com</v>
          </cell>
          <cell r="F65" t="str">
            <v>207-1900</v>
          </cell>
        </row>
        <row r="66">
          <cell r="C66" t="str">
            <v>DROGUERIA SARO</v>
          </cell>
          <cell r="D66" t="str">
            <v>Javier Saval</v>
          </cell>
          <cell r="E66" t="str">
            <v>jsaval@drogueriasaro.com</v>
          </cell>
          <cell r="F66" t="str">
            <v>2271677</v>
          </cell>
        </row>
        <row r="67">
          <cell r="C67" t="str">
            <v>ECONORED DE PANAMÁ - AJE GROUP</v>
          </cell>
          <cell r="D67" t="str">
            <v>Tatiana De Leon</v>
          </cell>
        </row>
        <row r="68">
          <cell r="C68" t="str">
            <v>EMBAJADA AMERICANA</v>
          </cell>
          <cell r="E68" t="str">
            <v>blancop@state.gov</v>
          </cell>
        </row>
        <row r="69">
          <cell r="C69" t="str">
            <v>EMPRESAS MELO, S.A</v>
          </cell>
          <cell r="D69" t="str">
            <v>Noira Him</v>
          </cell>
          <cell r="E69" t="str">
            <v>nhim@grupomelo.com</v>
          </cell>
          <cell r="F69" t="str">
            <v>221-1011 323-6900 6679-1424</v>
          </cell>
        </row>
        <row r="70">
          <cell r="C70" t="str">
            <v>Empresas Tio Yeyo</v>
          </cell>
          <cell r="F70" t="str">
            <v>396-9117</v>
          </cell>
        </row>
        <row r="71">
          <cell r="C71" t="str">
            <v>EURO FOODSERVICES, S.A</v>
          </cell>
          <cell r="E71" t="str">
            <v>ventas@efs.com.pa</v>
          </cell>
          <cell r="F71" t="str">
            <v>29-0013</v>
          </cell>
        </row>
        <row r="72">
          <cell r="C72" t="str">
            <v>FON PANAMA</v>
          </cell>
          <cell r="D72" t="str">
            <v>Hazel Jeanet Chong Law</v>
          </cell>
          <cell r="F72" t="str">
            <v>262-4038</v>
          </cell>
        </row>
        <row r="73">
          <cell r="C73" t="str">
            <v>FOOD SOLUTIONS</v>
          </cell>
          <cell r="D73" t="str">
            <v>Lisbeth Avecilla</v>
          </cell>
          <cell r="E73" t="str">
            <v>jdeleon@foodsolutionspanama.com</v>
          </cell>
          <cell r="F73" t="str">
            <v>6203-3733</v>
          </cell>
        </row>
        <row r="74">
          <cell r="C74" t="str">
            <v>FRIGOSERVICES INC</v>
          </cell>
          <cell r="D74" t="str">
            <v>Regulo López</v>
          </cell>
          <cell r="E74" t="str">
            <v>compras3@frigoservices-inc.com</v>
          </cell>
          <cell r="F74" t="str">
            <v>263-1996 / 434-1996</v>
          </cell>
        </row>
        <row r="75">
          <cell r="C75" t="str">
            <v>Fruselva S.A</v>
          </cell>
          <cell r="D75" t="str">
            <v>Mariela Coronel</v>
          </cell>
        </row>
        <row r="76">
          <cell r="C76" t="str">
            <v>FUNDACION GARCIA DE PAREDES - ARANGO</v>
          </cell>
          <cell r="E76" t="str">
            <v>renegdep@yahoo.com</v>
          </cell>
          <cell r="F76" t="str">
            <v>6894 7995</v>
          </cell>
        </row>
        <row r="77">
          <cell r="C77" t="str">
            <v>FUNDACION XTRA CONTIGO</v>
          </cell>
        </row>
        <row r="78">
          <cell r="C78" t="str">
            <v>GO BRANDS, S.A</v>
          </cell>
          <cell r="D78" t="str">
            <v>GLORIA CAÑIZALES</v>
          </cell>
          <cell r="E78" t="str">
            <v>gloria.canizales@gobrands.com.pa</v>
          </cell>
          <cell r="F78" t="str">
            <v>200-0609</v>
          </cell>
        </row>
        <row r="79">
          <cell r="C79" t="str">
            <v>GOLD MILLS</v>
          </cell>
          <cell r="D79" t="str">
            <v>Dazmara Zelaya</v>
          </cell>
          <cell r="E79" t="str">
            <v>dzelaya@goldmills.com.pa</v>
          </cell>
          <cell r="F79" t="str">
            <v>3603600</v>
          </cell>
        </row>
        <row r="80">
          <cell r="C80" t="str">
            <v>Griffith Foods, S.A</v>
          </cell>
          <cell r="D80" t="str">
            <v>Pedro De Ycaza</v>
          </cell>
          <cell r="E80" t="str">
            <v>pdeycaza@griffithfoods.com</v>
          </cell>
          <cell r="F80" t="str">
            <v>271-0766</v>
          </cell>
        </row>
        <row r="81">
          <cell r="C81" t="str">
            <v>Groen Panama</v>
          </cell>
          <cell r="D81" t="str">
            <v>Juliett Lopez</v>
          </cell>
          <cell r="E81" t="str">
            <v>ventas@groenpanama.com</v>
          </cell>
          <cell r="F81" t="str">
            <v>388-7095</v>
          </cell>
        </row>
        <row r="82">
          <cell r="C82" t="str">
            <v>GRUPO ARAUZ</v>
          </cell>
          <cell r="D82" t="str">
            <v>Miguel Quiroz</v>
          </cell>
          <cell r="F82" t="str">
            <v>6612-7049</v>
          </cell>
        </row>
        <row r="83">
          <cell r="C83" t="str">
            <v>Grupo BIO, S.A</v>
          </cell>
          <cell r="D83" t="str">
            <v>Alejandro Ponce</v>
          </cell>
          <cell r="F83" t="str">
            <v>62003197</v>
          </cell>
        </row>
        <row r="84">
          <cell r="C84" t="str">
            <v>GRUPO LALA</v>
          </cell>
        </row>
        <row r="85">
          <cell r="C85" t="str">
            <v>GRUPO MEXPA, S.A.</v>
          </cell>
          <cell r="D85" t="str">
            <v>Laura Calderon Giron</v>
          </cell>
          <cell r="E85" t="str">
            <v>grupomexpas.a@hotmail.com</v>
          </cell>
          <cell r="F85" t="str">
            <v>203 9244 / 802 7035 / 63227252</v>
          </cell>
        </row>
        <row r="86">
          <cell r="C86" t="str">
            <v>Grupo Raphael/El Fuerte</v>
          </cell>
          <cell r="D86" t="str">
            <v>Moises Ilarlan</v>
          </cell>
          <cell r="F86" t="str">
            <v>310-0555</v>
          </cell>
        </row>
        <row r="87">
          <cell r="C87" t="str">
            <v>HDP, S.A / INVERSIONES ENCANTO,S.A.- JUSTO Y BUENO</v>
          </cell>
          <cell r="D87" t="str">
            <v>MILCIADES GONZALEZ B.</v>
          </cell>
          <cell r="E87" t="str">
            <v>milciades.gonzalez@hdp.com.pa</v>
          </cell>
          <cell r="F87" t="str">
            <v>507 63491034</v>
          </cell>
        </row>
        <row r="88">
          <cell r="C88" t="str">
            <v>HMC Panama</v>
          </cell>
          <cell r="D88" t="str">
            <v>María Gabriela Urbanc</v>
          </cell>
          <cell r="E88" t="str">
            <v>mercadeo@hmcpanama.com</v>
          </cell>
          <cell r="F88" t="str">
            <v>260-6080</v>
          </cell>
        </row>
        <row r="89">
          <cell r="C89" t="str">
            <v>IMPORTACIONES CAMIJAC, S.A</v>
          </cell>
          <cell r="D89" t="str">
            <v>Giselle Perez</v>
          </cell>
          <cell r="E89" t="str">
            <v>admincamijac@icloud.com</v>
          </cell>
          <cell r="F89" t="str">
            <v>6677-8711</v>
          </cell>
        </row>
        <row r="90">
          <cell r="C90" t="str">
            <v>IMPORTACIONES SAGO PANAMA</v>
          </cell>
          <cell r="D90" t="str">
            <v>Armando Gonzalez</v>
          </cell>
          <cell r="E90" t="str">
            <v>agonzalez@importacionessagopanama.com</v>
          </cell>
          <cell r="F90" t="str">
            <v>388-0772</v>
          </cell>
        </row>
        <row r="91">
          <cell r="C91" t="str">
            <v>IMPORTADORA RICAMAR - SUPER 99</v>
          </cell>
          <cell r="D91" t="str">
            <v>Amado Barrios</v>
          </cell>
          <cell r="E91" t="str">
            <v>abarrios@super99.com</v>
          </cell>
          <cell r="F91" t="str">
            <v>323 8700</v>
          </cell>
        </row>
        <row r="92">
          <cell r="C92" t="str">
            <v>IMPORTADORA TRANSMUNDI, S.A</v>
          </cell>
          <cell r="D92" t="str">
            <v>Jose Duarte</v>
          </cell>
          <cell r="F92" t="str">
            <v>233-9200</v>
          </cell>
        </row>
        <row r="93">
          <cell r="C93" t="str">
            <v>IMPORTADORA Y EXPORTADORA NIMAR</v>
          </cell>
          <cell r="D93" t="str">
            <v>Rafael Santamaria</v>
          </cell>
          <cell r="E93" t="str">
            <v>rafael@nimar.com.pa</v>
          </cell>
          <cell r="F93" t="str">
            <v>222-0528</v>
          </cell>
        </row>
        <row r="94">
          <cell r="C94" t="str">
            <v>Industrias Alimenticias Doraz</v>
          </cell>
          <cell r="F94" t="str">
            <v>220-6062</v>
          </cell>
        </row>
        <row r="95">
          <cell r="C95" t="str">
            <v>INDUSTRIAS LACTEAS, S.A / Estrella Azul</v>
          </cell>
          <cell r="D95" t="str">
            <v>Sandra Beitia</v>
          </cell>
          <cell r="E95" t="str">
            <v>lorena.henriquez@estrellaazul.com.pa</v>
          </cell>
          <cell r="F95" t="str">
            <v>800-2035</v>
          </cell>
        </row>
        <row r="96">
          <cell r="C96" t="str">
            <v>INDUSTRIAS PANAMA BOSTON, S.A (Pabo)</v>
          </cell>
          <cell r="D96" t="str">
            <v>Lisbeth Cordoba</v>
          </cell>
          <cell r="F96" t="str">
            <v>236-2644</v>
          </cell>
        </row>
        <row r="97">
          <cell r="C97" t="str">
            <v>INSTITUTO DE MERCADEO AGROPECUARIO</v>
          </cell>
          <cell r="D97" t="str">
            <v>Socrates Theoktisto</v>
          </cell>
          <cell r="E97" t="str">
            <v>stheoktisto@ima.gob.pa</v>
          </cell>
          <cell r="F97" t="str">
            <v>63309816</v>
          </cell>
        </row>
        <row r="98">
          <cell r="C98" t="str">
            <v>Inversiones Naturalia , S.A</v>
          </cell>
          <cell r="D98" t="str">
            <v>Tatiana Navarro</v>
          </cell>
          <cell r="E98" t="str">
            <v>tatianalorenzo@naturaliapanama.com</v>
          </cell>
          <cell r="F98" t="str">
            <v>391-3130</v>
          </cell>
        </row>
        <row r="99">
          <cell r="C99" t="str">
            <v>INVERSORA CARBOR DE PANAMA S.A</v>
          </cell>
          <cell r="D99" t="str">
            <v>BORIS AUGUSTO MELENDEZ ABEN</v>
          </cell>
          <cell r="E99" t="str">
            <v>alimentoscarborpanama@gmail.com</v>
          </cell>
          <cell r="F99" t="str">
            <v>6484-3395</v>
          </cell>
        </row>
        <row r="100">
          <cell r="C100" t="str">
            <v>Italfood/ProCenter</v>
          </cell>
        </row>
        <row r="101">
          <cell r="C101" t="str">
            <v>JUMBO SUPERMERCADO</v>
          </cell>
          <cell r="E101" t="str">
            <v>procesos@jumbo.com.pa</v>
          </cell>
          <cell r="F101" t="str">
            <v>310-0821</v>
          </cell>
        </row>
        <row r="102">
          <cell r="C102" t="str">
            <v>LA HERMOSA, S.A.</v>
          </cell>
          <cell r="D102" t="str">
            <v>FRANCISCO CLOUGH</v>
          </cell>
          <cell r="E102" t="str">
            <v>fclough@hermot.com</v>
          </cell>
          <cell r="F102" t="str">
            <v>7270518</v>
          </cell>
        </row>
        <row r="103">
          <cell r="C103" t="str">
            <v>LINA CORPORATION INC (LINA)</v>
          </cell>
          <cell r="D103" t="str">
            <v>Rogelio Garibaldo</v>
          </cell>
          <cell r="E103" t="str">
            <v>rgaribaldo@thegroupg.com</v>
          </cell>
          <cell r="F103" t="str">
            <v>209 3790 ext 205</v>
          </cell>
        </row>
        <row r="104">
          <cell r="C104" t="str">
            <v>MAKELIN RAQUEL ARIAS</v>
          </cell>
          <cell r="D104" t="str">
            <v>Jaime Pérez Arias</v>
          </cell>
          <cell r="F104" t="str">
            <v>6672-5316</v>
          </cell>
        </row>
        <row r="105">
          <cell r="C105" t="str">
            <v>MAR PESCA</v>
          </cell>
          <cell r="F105" t="str">
            <v>69874120</v>
          </cell>
        </row>
        <row r="106">
          <cell r="C106" t="str">
            <v>MARIA SOLEDAD MIRO</v>
          </cell>
          <cell r="D106" t="str">
            <v>Maria Soledad Miro</v>
          </cell>
        </row>
        <row r="107">
          <cell r="C107" t="str">
            <v>MARPESCA, S.A.</v>
          </cell>
          <cell r="D107" t="str">
            <v>Teofilo Gomez</v>
          </cell>
          <cell r="F107" t="str">
            <v>378-6600</v>
          </cell>
        </row>
        <row r="108">
          <cell r="C108" t="str">
            <v>MARTÍN BROWER</v>
          </cell>
          <cell r="D108" t="str">
            <v>Jay Kinlock</v>
          </cell>
          <cell r="E108" t="str">
            <v>jkinlock1@martin-brower.com</v>
          </cell>
          <cell r="F108" t="str">
            <v>202-5100</v>
          </cell>
        </row>
        <row r="109">
          <cell r="C109" t="str">
            <v>MAYOR PTY INC</v>
          </cell>
          <cell r="D109" t="str">
            <v>Mariela Heuer</v>
          </cell>
          <cell r="E109" t="str">
            <v>adm@mayorpty.com</v>
          </cell>
          <cell r="F109" t="str">
            <v>6618-7502</v>
          </cell>
        </row>
        <row r="110">
          <cell r="C110" t="str">
            <v>MEDIA ITEMS, INC</v>
          </cell>
          <cell r="F110" t="str">
            <v>303-1545</v>
          </cell>
        </row>
        <row r="111">
          <cell r="C111" t="str">
            <v>MEDIMEX, S.A</v>
          </cell>
          <cell r="D111" t="str">
            <v>Juan Carlos Canavaggio</v>
          </cell>
          <cell r="E111" t="str">
            <v>jccanavaggio@medimexsa.com</v>
          </cell>
          <cell r="F111" t="str">
            <v>217-1566</v>
          </cell>
        </row>
        <row r="112">
          <cell r="C112" t="str">
            <v>MERAKI. S.A</v>
          </cell>
          <cell r="D112" t="str">
            <v>Nayara Garcia</v>
          </cell>
          <cell r="F112" t="str">
            <v>6747-6900</v>
          </cell>
        </row>
        <row r="113">
          <cell r="C113" t="str">
            <v>MERCADO DEL MARISCO</v>
          </cell>
        </row>
        <row r="114">
          <cell r="C114" t="str">
            <v>MERCALIMENTOS PANAMA, S.A</v>
          </cell>
          <cell r="D114" t="str">
            <v>Ricardo Larrea</v>
          </cell>
          <cell r="E114" t="str">
            <v>ricardo@cialimentos.com</v>
          </cell>
          <cell r="F114" t="str">
            <v>291-0300/291-0415</v>
          </cell>
        </row>
        <row r="115">
          <cell r="C115" t="str">
            <v>MIDA - Ministerio desarrollo Agropecuario</v>
          </cell>
          <cell r="D115" t="str">
            <v>Jose Manuel Diaz Herrera</v>
          </cell>
          <cell r="E115" t="str">
            <v>jmdiaz@mida.gob.pa</v>
          </cell>
          <cell r="F115" t="str">
            <v>68065143</v>
          </cell>
        </row>
        <row r="116">
          <cell r="C116" t="str">
            <v>MMR IMPORT &amp; EXPORT</v>
          </cell>
          <cell r="D116" t="str">
            <v>Esteban Roman</v>
          </cell>
          <cell r="E116" t="str">
            <v>mmrpanama@hotmail.com</v>
          </cell>
          <cell r="F116" t="str">
            <v>6983-6836</v>
          </cell>
        </row>
        <row r="117">
          <cell r="C117" t="str">
            <v>MOLINO HERMANOS PALACIOS, S.A</v>
          </cell>
          <cell r="D117" t="str">
            <v>Raul Palacios</v>
          </cell>
          <cell r="E117" t="str">
            <v>ingraulpalacios@grupohepsa.com</v>
          </cell>
          <cell r="F117" t="str">
            <v>9893939 EXT 102</v>
          </cell>
        </row>
        <row r="118">
          <cell r="C118" t="str">
            <v>MOLINO VERAGUAS - GRUPO ATHANASIADIS-RAMOS</v>
          </cell>
          <cell r="D118" t="str">
            <v>Villo Athanasiadis</v>
          </cell>
          <cell r="E118" t="str">
            <v>secretariag@gathanasiadisr.com</v>
          </cell>
          <cell r="F118" t="str">
            <v>6150 7747</v>
          </cell>
        </row>
        <row r="119">
          <cell r="C119" t="str">
            <v>Mondelez **** SEDE EN CR ****</v>
          </cell>
          <cell r="D119" t="str">
            <v>MARVIN HERRERA</v>
          </cell>
          <cell r="E119" t="str">
            <v>marvin.herrera@mdlz.com</v>
          </cell>
          <cell r="F119" t="str">
            <v>6679-1095</v>
          </cell>
        </row>
        <row r="120">
          <cell r="C120" t="str">
            <v>MULTI TASKING, S.A.</v>
          </cell>
          <cell r="F120" t="str">
            <v>314 7237</v>
          </cell>
        </row>
        <row r="121">
          <cell r="C121" t="str">
            <v>NATHAN FOODS CORPORATION</v>
          </cell>
          <cell r="D121" t="str">
            <v>Clemente Ramos</v>
          </cell>
          <cell r="E121" t="str">
            <v>logistica@nathanfoods.com</v>
          </cell>
        </row>
        <row r="122">
          <cell r="C122" t="str">
            <v>NEGOCIOS CENTROAMERICANOS, S.A</v>
          </cell>
          <cell r="D122" t="str">
            <v>Viksi Hartmann</v>
          </cell>
          <cell r="E122" t="str">
            <v>vhartmann@colombina.com</v>
          </cell>
          <cell r="F122" t="str">
            <v>378-0900</v>
          </cell>
        </row>
        <row r="123">
          <cell r="C123" t="str">
            <v>NUEVO HUNG SHENG</v>
          </cell>
          <cell r="D123" t="str">
            <v>ALBERTO CHONG</v>
          </cell>
          <cell r="E123" t="str">
            <v>alberto.chong@nhs.com</v>
          </cell>
          <cell r="F123" t="str">
            <v>271-5384</v>
          </cell>
        </row>
        <row r="124">
          <cell r="C124" t="str">
            <v>NUTRICEREALES DE PANAMA, S.A.</v>
          </cell>
          <cell r="D124" t="str">
            <v>Federico Diaz</v>
          </cell>
          <cell r="F124" t="str">
            <v>396 9646</v>
          </cell>
        </row>
        <row r="125">
          <cell r="C125" t="str">
            <v>OPEN BLUE SEA FARMS PANAMA, S.A</v>
          </cell>
          <cell r="D125" t="str">
            <v>A. Camarena</v>
          </cell>
          <cell r="E125" t="str">
            <v>acamarena@openblue.com</v>
          </cell>
          <cell r="F125" t="str">
            <v>317-1540</v>
          </cell>
        </row>
        <row r="126">
          <cell r="C126" t="str">
            <v>ORGANICA</v>
          </cell>
        </row>
        <row r="127">
          <cell r="C127" t="str">
            <v>Pacific Hills</v>
          </cell>
          <cell r="F127" t="str">
            <v>3210111</v>
          </cell>
        </row>
        <row r="128">
          <cell r="C128" t="str">
            <v>Panama Best Products - Lowcountry Citrus Corp</v>
          </cell>
          <cell r="D128" t="str">
            <v>Mercedes Gomez</v>
          </cell>
          <cell r="E128" t="str">
            <v>lowcountry06@hotmail.com</v>
          </cell>
          <cell r="F128" t="str">
            <v>66736074</v>
          </cell>
        </row>
        <row r="129">
          <cell r="C129" t="str">
            <v>PANAMERICAN SCHOOL - KILOGRAMOS DE ESPERANZA</v>
          </cell>
        </row>
        <row r="130">
          <cell r="C130" t="str">
            <v>PANASAL</v>
          </cell>
          <cell r="D130" t="str">
            <v>Irma Ramos de Lopez</v>
          </cell>
          <cell r="E130" t="str">
            <v>panasal@cwpanama.net</v>
          </cell>
          <cell r="F130" t="str">
            <v>2208588</v>
          </cell>
        </row>
        <row r="131">
          <cell r="C131" t="str">
            <v>PARROQUIA SAN LUCAS</v>
          </cell>
        </row>
        <row r="132">
          <cell r="C132" t="str">
            <v>PEDERSEN FINE FOODS, S.A</v>
          </cell>
          <cell r="D132" t="str">
            <v>Sheila Samaniego</v>
          </cell>
          <cell r="E132" t="str">
            <v>sheila.samaniego@pffsa.com</v>
          </cell>
          <cell r="F132" t="str">
            <v>222-2555</v>
          </cell>
        </row>
        <row r="133">
          <cell r="C133" t="str">
            <v>PETIT PARIS MARBELLA CORP</v>
          </cell>
          <cell r="F133" t="str">
            <v>6933 5228</v>
          </cell>
        </row>
        <row r="134">
          <cell r="C134" t="str">
            <v>PILMIFRESH</v>
          </cell>
        </row>
        <row r="135">
          <cell r="C135" t="str">
            <v>PRAXAIR</v>
          </cell>
          <cell r="E135" t="str">
            <v>eugenia_castillo@praxair.com</v>
          </cell>
        </row>
        <row r="136">
          <cell r="C136" t="str">
            <v>Premium Food Services s.a</v>
          </cell>
          <cell r="E136" t="str">
            <v>acastillo@cinemarkca.com</v>
          </cell>
          <cell r="F136" t="str">
            <v>3146003</v>
          </cell>
        </row>
        <row r="137">
          <cell r="C137" t="str">
            <v>PROCESADORA MONTE AZUL, S.A</v>
          </cell>
          <cell r="D137" t="str">
            <v>GIOVANNA BARCOS</v>
          </cell>
          <cell r="F137" t="str">
            <v>309-7400</v>
          </cell>
        </row>
        <row r="138">
          <cell r="C138" t="str">
            <v>PRODIMA</v>
          </cell>
          <cell r="D138" t="str">
            <v>Magilka McCalla</v>
          </cell>
          <cell r="E138" t="str">
            <v>rrhh@prodima.com.pa</v>
          </cell>
          <cell r="F138" t="str">
            <v>301-3850</v>
          </cell>
        </row>
        <row r="139">
          <cell r="C139" t="str">
            <v>PRODUCTOS DE PRESTIGIO, S.A</v>
          </cell>
          <cell r="D139" t="str">
            <v>Jean Pierre Leignadier</v>
          </cell>
          <cell r="E139" t="str">
            <v>gerencia@proprestigio.com</v>
          </cell>
          <cell r="F139" t="str">
            <v>320-8400</v>
          </cell>
        </row>
        <row r="140">
          <cell r="C140" t="str">
            <v>PRODUCTOS KIENER</v>
          </cell>
          <cell r="F140" t="str">
            <v>278 6450</v>
          </cell>
        </row>
        <row r="141">
          <cell r="C141" t="str">
            <v>PRODUCTOS LA DOÑA, S.A</v>
          </cell>
          <cell r="D141" t="str">
            <v>Jose Sobrino</v>
          </cell>
          <cell r="E141" t="str">
            <v>operaciones@ladona.com.pa</v>
          </cell>
          <cell r="F141" t="str">
            <v>220-1000</v>
          </cell>
        </row>
        <row r="142">
          <cell r="C142" t="str">
            <v>PRODUCTOS LACTEOS SAN ANTONIO S.A</v>
          </cell>
          <cell r="E142" t="str">
            <v>mcristina.perez@prolacsa.com</v>
          </cell>
          <cell r="F142" t="str">
            <v>221-3103</v>
          </cell>
        </row>
        <row r="143">
          <cell r="C143" t="str">
            <v>PRODUCTOS LUX, S.A ( Proluxa)</v>
          </cell>
          <cell r="D143" t="str">
            <v>Dayrineth De León</v>
          </cell>
          <cell r="E143" t="str">
            <v>ddeleon@proluxsa.com</v>
          </cell>
          <cell r="F143" t="str">
            <v>224-9095</v>
          </cell>
        </row>
        <row r="144">
          <cell r="C144" t="str">
            <v>PRODUCTOS NEVADA S.A</v>
          </cell>
          <cell r="D144" t="str">
            <v>Ana Gabriela Piedra</v>
          </cell>
          <cell r="E144" t="str">
            <v>anapiedra@dospinos.com</v>
          </cell>
          <cell r="F144" t="str">
            <v>66148881</v>
          </cell>
        </row>
        <row r="145">
          <cell r="C145" t="str">
            <v>PRODUCTOS RIANDO</v>
          </cell>
        </row>
        <row r="146">
          <cell r="C146" t="str">
            <v>PRODUCTOS TOLEDANO</v>
          </cell>
          <cell r="D146" t="str">
            <v>Marlene Duran</v>
          </cell>
          <cell r="E146" t="str">
            <v>mduran@toledano.com</v>
          </cell>
          <cell r="F146" t="str">
            <v>290-8200</v>
          </cell>
        </row>
        <row r="147">
          <cell r="C147" t="str">
            <v>PROGRAMA KILOS DE ESPERANZA</v>
          </cell>
          <cell r="E147" t="str">
            <v>c.ingreso2@banalimentospty.com</v>
          </cell>
          <cell r="F147" t="str">
            <v>+5072920162</v>
          </cell>
        </row>
        <row r="148">
          <cell r="C148" t="str">
            <v>PROHEALTH SHOP, S.A.</v>
          </cell>
        </row>
        <row r="149">
          <cell r="C149" t="str">
            <v>PROMUEVETE, S.A</v>
          </cell>
          <cell r="E149" t="str">
            <v>anorte@promuevete.net</v>
          </cell>
          <cell r="F149" t="str">
            <v>261-4933</v>
          </cell>
        </row>
        <row r="150">
          <cell r="C150" t="str">
            <v>PROSERV</v>
          </cell>
          <cell r="D150" t="str">
            <v>MARIA PINZON</v>
          </cell>
          <cell r="E150" t="str">
            <v>igalvez@proserv.com.pa</v>
          </cell>
          <cell r="F150" t="str">
            <v>6672-0932</v>
          </cell>
        </row>
        <row r="151">
          <cell r="C151" t="str">
            <v>PUREZA DE MARIA</v>
          </cell>
        </row>
        <row r="152">
          <cell r="C152" t="str">
            <v>PURISSIMA, S.A</v>
          </cell>
          <cell r="D152" t="str">
            <v>Raul Bultron</v>
          </cell>
          <cell r="E152" t="str">
            <v>lbrostella@aguasdelistmo.com</v>
          </cell>
          <cell r="F152" t="str">
            <v>221-7920</v>
          </cell>
        </row>
        <row r="153">
          <cell r="C153" t="str">
            <v>REFRESCOS INTELIGENTES, S.A.</v>
          </cell>
          <cell r="E153" t="str">
            <v>hcoutte@multi-tasking.net</v>
          </cell>
          <cell r="F153" t="str">
            <v>314 7237</v>
          </cell>
        </row>
        <row r="154">
          <cell r="C154" t="str">
            <v>REPRESENTACIONES ELDUA S.A</v>
          </cell>
          <cell r="D154" t="str">
            <v>IKER ORMAZABAL</v>
          </cell>
        </row>
        <row r="155">
          <cell r="C155" t="str">
            <v>REPRESENTACIONES TEJEIRA, S.A</v>
          </cell>
          <cell r="D155" t="str">
            <v>Itzel Tejeira</v>
          </cell>
          <cell r="E155" t="str">
            <v>itzeltejeira@gmail.com</v>
          </cell>
          <cell r="F155" t="str">
            <v>232 6790</v>
          </cell>
        </row>
        <row r="156">
          <cell r="C156" t="str">
            <v>REPRICO</v>
          </cell>
          <cell r="D156" t="str">
            <v>Maxima Mojica</v>
          </cell>
          <cell r="E156" t="str">
            <v>mmojica@reprico.com</v>
          </cell>
          <cell r="F156" t="str">
            <v>229-8888</v>
          </cell>
        </row>
        <row r="157">
          <cell r="C157" t="str">
            <v>RIBA SMITH, S.A.</v>
          </cell>
          <cell r="D157" t="str">
            <v>Joel Rivera</v>
          </cell>
          <cell r="E157" t="str">
            <v>joel.rivera@rimith.com</v>
          </cell>
          <cell r="F157" t="str">
            <v>309-5335</v>
          </cell>
        </row>
        <row r="158">
          <cell r="C158" t="str">
            <v>ROCMAR SEAFOOD,S.A</v>
          </cell>
          <cell r="D158" t="str">
            <v>Roy Rivera</v>
          </cell>
          <cell r="E158" t="str">
            <v>roy@rocmarseafood.com</v>
          </cell>
          <cell r="F158" t="str">
            <v>251-4389</v>
          </cell>
        </row>
        <row r="159">
          <cell r="C159" t="str">
            <v>SALVA - MAR,</v>
          </cell>
          <cell r="D159" t="str">
            <v>Zaida Lorena Gutierrez</v>
          </cell>
          <cell r="E159" t="str">
            <v>salvadorg@salva-mar.com</v>
          </cell>
          <cell r="F159" t="str">
            <v>6672 8733/ 6670-2354</v>
          </cell>
        </row>
        <row r="160">
          <cell r="C160" t="str">
            <v>SANULAC NUTRICIÓN</v>
          </cell>
          <cell r="D160" t="str">
            <v>Ana Elisa De La Lastra</v>
          </cell>
          <cell r="E160" t="str">
            <v>ana.delalastra@medwell-int.com</v>
          </cell>
          <cell r="F160" t="str">
            <v>6206-6423</v>
          </cell>
        </row>
        <row r="161">
          <cell r="C161" t="str">
            <v>SELECTO</v>
          </cell>
          <cell r="E161" t="str">
            <v>valverde@selecto.com.pa</v>
          </cell>
        </row>
        <row r="162">
          <cell r="C162" t="str">
            <v>SERVAIR NEW REST PANAMA, S.A.</v>
          </cell>
          <cell r="F162" t="str">
            <v>507 +838-5143</v>
          </cell>
        </row>
        <row r="163">
          <cell r="C163" t="str">
            <v>SERVAIR NEWREST PANAMA</v>
          </cell>
          <cell r="D163" t="str">
            <v>Adelina Botero</v>
          </cell>
          <cell r="F163" t="str">
            <v>838-5143</v>
          </cell>
        </row>
        <row r="164">
          <cell r="C164" t="str">
            <v>Sí, es natural, S.A.</v>
          </cell>
        </row>
        <row r="165">
          <cell r="C165" t="str">
            <v>Signify</v>
          </cell>
          <cell r="D165" t="str">
            <v>Arturo Santos</v>
          </cell>
        </row>
        <row r="166">
          <cell r="C166" t="str">
            <v>SISTEMAS MCCOPCO PANAMA, S.A.</v>
          </cell>
          <cell r="D166" t="str">
            <v>Ana Maria Fuente</v>
          </cell>
          <cell r="E166" t="str">
            <v>afuentes@martin-brower.com</v>
          </cell>
          <cell r="F166" t="str">
            <v>2025106</v>
          </cell>
        </row>
        <row r="167">
          <cell r="C167" t="str">
            <v>SOCIEDAD DE ALIMENTOS DE PRIMERA, S.A (Bonlac)</v>
          </cell>
          <cell r="D167" t="str">
            <v>Katherine Caballero</v>
          </cell>
          <cell r="E167" t="str">
            <v>katherinecaballero@bonlac.com.pa</v>
          </cell>
          <cell r="F167" t="str">
            <v>395-8500</v>
          </cell>
        </row>
        <row r="168">
          <cell r="C168" t="str">
            <v>SOYA PAC</v>
          </cell>
          <cell r="F168" t="str">
            <v>3232249</v>
          </cell>
        </row>
        <row r="169">
          <cell r="C169" t="str">
            <v>SUPER BARU</v>
          </cell>
          <cell r="F169" t="str">
            <v>775-0773</v>
          </cell>
        </row>
        <row r="170">
          <cell r="C170" t="str">
            <v>Supermercados Rey</v>
          </cell>
          <cell r="D170" t="str">
            <v>ELIDIA CHAVEZ</v>
          </cell>
          <cell r="E170" t="str">
            <v>elchavez@smrey.com</v>
          </cell>
          <cell r="F170" t="str">
            <v>6997-8043</v>
          </cell>
        </row>
        <row r="171">
          <cell r="C171" t="str">
            <v>SUPLATEC, S.A</v>
          </cell>
          <cell r="D171" t="str">
            <v>ISABEL APARICIO</v>
          </cell>
          <cell r="E171" t="str">
            <v>iaparicio@plastimar.net</v>
          </cell>
          <cell r="F171" t="str">
            <v>271-0760</v>
          </cell>
        </row>
        <row r="172">
          <cell r="C172" t="str">
            <v>SURAMERICANA DE ALIMENTOS</v>
          </cell>
          <cell r="D172" t="str">
            <v>Oscar Martin</v>
          </cell>
          <cell r="F172" t="str">
            <v>398-5210</v>
          </cell>
        </row>
        <row r="173">
          <cell r="C173" t="str">
            <v>SURAMERICANA DE ALIMENTOS PANAMA, S.A</v>
          </cell>
          <cell r="D173" t="str">
            <v>Oscar Martin</v>
          </cell>
          <cell r="E173" t="str">
            <v>oimartin@suramericanapanama.com</v>
          </cell>
          <cell r="F173" t="str">
            <v>398-5133 / 398-5210</v>
          </cell>
        </row>
        <row r="174">
          <cell r="C174" t="str">
            <v>SWAT CONSULTING SERVICES PANAMÁ, S.A.</v>
          </cell>
          <cell r="D174" t="str">
            <v>Sthefany Almengor</v>
          </cell>
          <cell r="E174" t="str">
            <v>sthefany.almengor@swat.com.mx</v>
          </cell>
          <cell r="F174" t="str">
            <v>3996130</v>
          </cell>
        </row>
        <row r="175">
          <cell r="C175" t="str">
            <v>SYY PANAMA S. de R.L.</v>
          </cell>
          <cell r="D175" t="str">
            <v>Wiston Moraga</v>
          </cell>
          <cell r="E175" t="str">
            <v>wmoraga@panama.sysco.com</v>
          </cell>
          <cell r="F175" t="str">
            <v>320-2550</v>
          </cell>
        </row>
        <row r="176">
          <cell r="C176" t="str">
            <v>TAMEK , S.A (Supercentro El Fuerte )</v>
          </cell>
          <cell r="D176" t="str">
            <v>MUSA ILARSLAN</v>
          </cell>
          <cell r="E176" t="str">
            <v>nberk@gruporaphael.com</v>
          </cell>
          <cell r="F176" t="str">
            <v>310-0500</v>
          </cell>
        </row>
        <row r="177">
          <cell r="C177" t="str">
            <v>Tecnologias Agroalimentarias</v>
          </cell>
          <cell r="F177" t="str">
            <v>215-1389</v>
          </cell>
        </row>
        <row r="178">
          <cell r="C178" t="str">
            <v>TOP BRANDS</v>
          </cell>
        </row>
        <row r="179">
          <cell r="C179" t="str">
            <v>TROPICAL DE ALIMENTOS</v>
          </cell>
        </row>
        <row r="180">
          <cell r="C180" t="str">
            <v>TYPEGRAPHICS</v>
          </cell>
          <cell r="F180" t="str">
            <v>3938376 / 77</v>
          </cell>
        </row>
        <row r="181">
          <cell r="C181" t="str">
            <v>Universidad Especial del Contador Publico Autorizado</v>
          </cell>
        </row>
        <row r="182">
          <cell r="C182" t="str">
            <v>VENTAS Y MERCADEO, S.A</v>
          </cell>
          <cell r="D182" t="str">
            <v>Karina Hernandez</v>
          </cell>
          <cell r="E182" t="str">
            <v>karina.hernandezl@kof.com.mx</v>
          </cell>
          <cell r="F182" t="str">
            <v>274-9000 EXT. 5270</v>
          </cell>
        </row>
        <row r="183">
          <cell r="C183" t="str">
            <v>VERBA ODREC, S.A</v>
          </cell>
          <cell r="D183" t="str">
            <v>Hipolito Vergara</v>
          </cell>
          <cell r="E183" t="str">
            <v>logistica@verbaodrec.com</v>
          </cell>
          <cell r="F183" t="str">
            <v>8320531</v>
          </cell>
        </row>
        <row r="184">
          <cell r="C184" t="str">
            <v>WEEKS GONZALEZ</v>
          </cell>
          <cell r="D184" t="str">
            <v>GEOFFREY H WEEKS GONZALEZ</v>
          </cell>
        </row>
        <row r="185">
          <cell r="C185" t="str">
            <v>CERVECERIA NACIONAL</v>
          </cell>
          <cell r="D185" t="str">
            <v>Mashelle Bolobosky</v>
          </cell>
          <cell r="E185" t="str">
            <v>mashelle.boloskyc-ext@ab-inbev.com</v>
          </cell>
          <cell r="F185" t="str">
            <v>3056000</v>
          </cell>
        </row>
        <row r="186">
          <cell r="C186" t="str">
            <v>FUNDACION NUTRESA</v>
          </cell>
        </row>
        <row r="187">
          <cell r="C187" t="str">
            <v>PMC GROUP</v>
          </cell>
          <cell r="D187" t="str">
            <v>ERNESTO CHONG CORONADO</v>
          </cell>
          <cell r="E187" t="str">
            <v>cmontes@pcminternacional.com</v>
          </cell>
          <cell r="F187" t="str">
            <v>302-9400</v>
          </cell>
        </row>
        <row r="188">
          <cell r="C188" t="str">
            <v>UNIBANK</v>
          </cell>
        </row>
        <row r="189">
          <cell r="C189" t="str">
            <v>ALFA CONTRACTOR S.A.</v>
          </cell>
          <cell r="D189" t="str">
            <v>Jaime Perez</v>
          </cell>
          <cell r="E189" t="str">
            <v>info@bocaopanama.net</v>
          </cell>
        </row>
        <row r="190">
          <cell r="C190" t="str">
            <v>Bright Media Corp.</v>
          </cell>
          <cell r="D190" t="str">
            <v>Vielka Gil</v>
          </cell>
          <cell r="E190" t="str">
            <v>vgil@maxonelimited.com</v>
          </cell>
          <cell r="F190" t="str">
            <v>6325-1570</v>
          </cell>
        </row>
        <row r="191">
          <cell r="C191" t="str">
            <v>CORPORACION IMPA-DOEL</v>
          </cell>
          <cell r="D191" t="str">
            <v>Larissa Ibañez</v>
          </cell>
          <cell r="E191" t="str">
            <v>libanez@impadoel.com</v>
          </cell>
          <cell r="F191" t="str">
            <v>302-1200</v>
          </cell>
        </row>
        <row r="192">
          <cell r="C192" t="str">
            <v>ORDEN DE MALTA PANAMA ASOCIACION PANAMEÑA</v>
          </cell>
          <cell r="D192" t="str">
            <v>Lynn R. Carranza</v>
          </cell>
          <cell r="E192" t="str">
            <v>ordendemaltapanama@gmail.com</v>
          </cell>
          <cell r="F192" t="str">
            <v>270-1496</v>
          </cell>
        </row>
        <row r="193">
          <cell r="C193" t="str">
            <v>CREACION DE CUENTA</v>
          </cell>
          <cell r="D193" t="str">
            <v>Test Contactos</v>
          </cell>
          <cell r="F193" t="str">
            <v>0000000</v>
          </cell>
        </row>
        <row r="194">
          <cell r="C194" t="str">
            <v>AGROGANADERA LA ALBINA</v>
          </cell>
          <cell r="D194" t="str">
            <v>ALBERTO MARTINELLI</v>
          </cell>
          <cell r="E194" t="str">
            <v>vadodelalamo@yahoo.com</v>
          </cell>
          <cell r="F194" t="str">
            <v>998-8201</v>
          </cell>
        </row>
        <row r="195">
          <cell r="C195" t="str">
            <v>AGROINVESA - Agroindustrias Alimenticias de Veraguas, S.A. - La Parmigiana</v>
          </cell>
          <cell r="D195" t="str">
            <v>Rafael Virzi</v>
          </cell>
          <cell r="E195" t="str">
            <v>rvirzi@parmigiana.com.pa</v>
          </cell>
          <cell r="F195" t="str">
            <v>998 2662/2686361</v>
          </cell>
        </row>
        <row r="196">
          <cell r="C196" t="str">
            <v>CENTRAL AMERICAN FOODS</v>
          </cell>
          <cell r="D196" t="str">
            <v>JOSSIMARK GEORGE</v>
          </cell>
          <cell r="E196" t="str">
            <v>jgeorge@cafpanama.com</v>
          </cell>
          <cell r="F196" t="str">
            <v>214-4408</v>
          </cell>
        </row>
        <row r="197">
          <cell r="C197" t="str">
            <v>DICSA PANAMA</v>
          </cell>
          <cell r="D197" t="str">
            <v>Maria Teresa Diaz</v>
          </cell>
          <cell r="E197" t="str">
            <v>mdiazq@dicsapanama.com</v>
          </cell>
          <cell r="F197" t="str">
            <v>271-0844</v>
          </cell>
        </row>
        <row r="198">
          <cell r="C198" t="str">
            <v>Grupo Calesa</v>
          </cell>
          <cell r="D198" t="str">
            <v>Naresh Camargo</v>
          </cell>
          <cell r="E198" t="str">
            <v>naresh.camargo@grupocalesa.com</v>
          </cell>
          <cell r="F198" t="str">
            <v>236-1512</v>
          </cell>
        </row>
        <row r="199">
          <cell r="C199" t="str">
            <v>HT ZANETATO INC</v>
          </cell>
          <cell r="D199" t="str">
            <v>Milagros Rodriguez</v>
          </cell>
          <cell r="E199" t="str">
            <v>mrodriguez@htzanetatos.com</v>
          </cell>
          <cell r="F199" t="str">
            <v>305-8231</v>
          </cell>
        </row>
        <row r="200">
          <cell r="C200" t="str">
            <v>MERCANTIL DE COMERCIO PANAMEÑA S.A (MERCOPAN) Esta empresa cambió de nombre</v>
          </cell>
          <cell r="D200" t="str">
            <v>Roberto Rivera</v>
          </cell>
        </row>
        <row r="201">
          <cell r="C201" t="str">
            <v>NESTLE PANAMA</v>
          </cell>
          <cell r="D201" t="str">
            <v>Yira Matute</v>
          </cell>
          <cell r="E201" t="str">
            <v>yira.matute1@pa.nestle.com</v>
          </cell>
          <cell r="F201" t="str">
            <v>229-1333</v>
          </cell>
        </row>
        <row r="202">
          <cell r="C202" t="str">
            <v>FELIPE MOTTA, S.A</v>
          </cell>
          <cell r="D202" t="str">
            <v>Marcela Vallarino</v>
          </cell>
          <cell r="E202" t="str">
            <v>marcellavallarino@felipemotta.com</v>
          </cell>
          <cell r="F202" t="str">
            <v>302-5555</v>
          </cell>
        </row>
        <row r="203">
          <cell r="C203" t="str">
            <v>GLOBAL PRODUCTS AND LOGISTIC SERVICES, INC. (Dicarina)</v>
          </cell>
          <cell r="D203" t="str">
            <v>Mariana Victoria</v>
          </cell>
          <cell r="E203" t="str">
            <v>mariana.victoria@dicarina.com</v>
          </cell>
          <cell r="F203" t="str">
            <v>62 187513</v>
          </cell>
        </row>
        <row r="204">
          <cell r="C204" t="str">
            <v>Global Trucking Services - GTS</v>
          </cell>
          <cell r="D204" t="str">
            <v>José Jiménez</v>
          </cell>
          <cell r="F204" t="str">
            <v>6169-6726</v>
          </cell>
        </row>
        <row r="205">
          <cell r="C205" t="str">
            <v>TELECOMUNICACIONES DIGITALES, S.A.</v>
          </cell>
          <cell r="D205" t="str">
            <v>Vanya Paola Carrera</v>
          </cell>
          <cell r="E205" t="str">
            <v>paola.torres@tigo.com.pa</v>
          </cell>
          <cell r="F205" t="str">
            <v>3907652</v>
          </cell>
        </row>
        <row r="206">
          <cell r="C206" t="str">
            <v>Cooperativa empleados ACP</v>
          </cell>
        </row>
        <row r="207">
          <cell r="C207" t="str">
            <v>EMAUS HOMBRES - DONACIONES</v>
          </cell>
        </row>
        <row r="208">
          <cell r="C208" t="str">
            <v>FUNDACION DORVIDA</v>
          </cell>
        </row>
        <row r="209">
          <cell r="C209" t="str">
            <v>INDUSTRIAS MINERA LA MOÑA</v>
          </cell>
          <cell r="F209" t="str">
            <v>6090 9950</v>
          </cell>
        </row>
        <row r="210">
          <cell r="C210" t="str">
            <v>JOSEFINA NORELLA LOPERA DE VALDERRAMA</v>
          </cell>
        </row>
        <row r="211">
          <cell r="C211" t="str">
            <v>JOSER, S.A.</v>
          </cell>
          <cell r="E211" t="str">
            <v>vplazas@yahoo.com</v>
          </cell>
          <cell r="F211" t="str">
            <v>220-5801</v>
          </cell>
        </row>
        <row r="212">
          <cell r="C212" t="str">
            <v>JUAN CARLOS AROSEMENA</v>
          </cell>
          <cell r="F212" t="str">
            <v>6675-4645</v>
          </cell>
        </row>
        <row r="213">
          <cell r="C213" t="str">
            <v>NICOLAS GONZALEZ REVILLA PAREDES</v>
          </cell>
          <cell r="E213" t="str">
            <v>tgoddard@metrovision.com.pa</v>
          </cell>
        </row>
        <row r="214">
          <cell r="C214" t="str">
            <v>OBs-GAETANO GABRIEL GOLDONI BELLIZZI</v>
          </cell>
          <cell r="F214" t="str">
            <v>6674 2817</v>
          </cell>
        </row>
        <row r="215">
          <cell r="C215" t="str">
            <v>FRANQUICIAS PANAMEÑAS</v>
          </cell>
          <cell r="D215" t="str">
            <v>Nelva Santos</v>
          </cell>
          <cell r="E215" t="str">
            <v>nelva.santos@franpan.com</v>
          </cell>
          <cell r="F215" t="str">
            <v>300-5732</v>
          </cell>
        </row>
        <row r="216">
          <cell r="C216" t="str">
            <v>PROYECTOS DEL CARIBE, S.A.</v>
          </cell>
          <cell r="F216" t="str">
            <v>6617 4517</v>
          </cell>
        </row>
        <row r="217">
          <cell r="C217" t="str">
            <v>BAZAAR AIP</v>
          </cell>
        </row>
        <row r="218">
          <cell r="C218" t="str">
            <v>Beachwear Meets Art 4 a pursose</v>
          </cell>
        </row>
        <row r="219">
          <cell r="C219" t="str">
            <v>CAMPANA K-WORLD ENTERTRAIMENT</v>
          </cell>
          <cell r="F219" t="str">
            <v>5416-8877</v>
          </cell>
        </row>
        <row r="220">
          <cell r="C220" t="str">
            <v>CAMPAÑA - COSTA RECICLA</v>
          </cell>
          <cell r="E220" t="str">
            <v>diegofv53@gmail.com</v>
          </cell>
        </row>
        <row r="221">
          <cell r="C221" t="str">
            <v>CAMPAÑA 1 KILO DE SOLIDARIDAD</v>
          </cell>
        </row>
        <row r="222">
          <cell r="C222" t="str">
            <v>CAMPAÑA MIGRANTES</v>
          </cell>
        </row>
        <row r="223">
          <cell r="C223" t="str">
            <v>CAMPAÑA NUTRIENDO VIDAS</v>
          </cell>
        </row>
        <row r="224">
          <cell r="C224" t="str">
            <v>CAMPAÑA PROGRAMA APOYO EMERGENCIA</v>
          </cell>
        </row>
        <row r="225">
          <cell r="C225" t="str">
            <v>CAMPAÑA YO DONO UN QUINTALQUINTAL</v>
          </cell>
        </row>
        <row r="226">
          <cell r="C226" t="str">
            <v>Carrera Tri Store</v>
          </cell>
        </row>
        <row r="227">
          <cell r="C227" t="str">
            <v>Casa verde - ALUVID</v>
          </cell>
        </row>
        <row r="228">
          <cell r="C228" t="str">
            <v>Concierto Latinos Unidos</v>
          </cell>
        </row>
        <row r="229">
          <cell r="C229" t="str">
            <v>CUMPLE CON CAUSA</v>
          </cell>
        </row>
        <row r="230">
          <cell r="C230" t="str">
            <v>DOIT CENTER</v>
          </cell>
        </row>
        <row r="231">
          <cell r="C231" t="str">
            <v>ESTUDIANTES ISP</v>
          </cell>
        </row>
        <row r="232">
          <cell r="C232" t="str">
            <v>ESTUDIANTES UNESCPA</v>
          </cell>
        </row>
        <row r="233">
          <cell r="C233" t="str">
            <v>Evento de Yogga Helissa - ALUVID</v>
          </cell>
        </row>
        <row r="234">
          <cell r="C234" t="str">
            <v>FUNDACION CUBRE, COME Y CRECE</v>
          </cell>
          <cell r="D234" t="str">
            <v>Fabio Murillo</v>
          </cell>
          <cell r="E234" t="str">
            <v>fabiomurillo2506@gmail.com</v>
          </cell>
        </row>
        <row r="235">
          <cell r="C235" t="str">
            <v>GRUPO MACHETAZO</v>
          </cell>
        </row>
        <row r="236">
          <cell r="C236" t="str">
            <v>IDMICH</v>
          </cell>
        </row>
        <row r="237">
          <cell r="C237" t="str">
            <v>MMJP INVERSIONES, SA - ECOFILTROS</v>
          </cell>
          <cell r="E237" t="str">
            <v>mathias@ecofiltro.com.pa</v>
          </cell>
          <cell r="F237" t="str">
            <v>6618-2255</v>
          </cell>
        </row>
        <row r="238">
          <cell r="C238" t="str">
            <v>MULTIMAX - ALUVID</v>
          </cell>
        </row>
        <row r="239">
          <cell r="C239" t="str">
            <v>Pinta tu arcoiris/Oferta Simple</v>
          </cell>
        </row>
        <row r="240">
          <cell r="C240" t="str">
            <v>Piso 21 Y Bacardi</v>
          </cell>
        </row>
        <row r="241">
          <cell r="C241" t="str">
            <v>Porta Romana/Tshirt - ALUVID</v>
          </cell>
        </row>
        <row r="242">
          <cell r="C242" t="str">
            <v>ROSARIO DEL MAR FERNANDEZ LOPEZ</v>
          </cell>
        </row>
        <row r="243">
          <cell r="C243" t="str">
            <v>Somos Asesores de Seguros, S.A</v>
          </cell>
          <cell r="D243" t="str">
            <v>Luis Carlos Del Rio</v>
          </cell>
          <cell r="E243" t="str">
            <v>lucho.delrio@somos-seguros.com</v>
          </cell>
          <cell r="F243" t="str">
            <v>302-5580 Ext 233</v>
          </cell>
        </row>
        <row r="244">
          <cell r="C244" t="str">
            <v>SOMOSUNIDOS</v>
          </cell>
          <cell r="E244" t="str">
            <v>magafashion2@gmail.com</v>
          </cell>
          <cell r="F244" t="str">
            <v>6136-1198</v>
          </cell>
        </row>
        <row r="245">
          <cell r="C245" t="str">
            <v>TALLER INSTAN-FRENOS, S.A.</v>
          </cell>
          <cell r="F245" t="str">
            <v>221 4903 / 394 5861 / 6990 84</v>
          </cell>
        </row>
        <row r="246">
          <cell r="C246" t="str">
            <v>TALLER MAGNOLIA</v>
          </cell>
          <cell r="F246" t="str">
            <v>66127112</v>
          </cell>
        </row>
        <row r="247">
          <cell r="C247" t="str">
            <v>ALIMENTOS DEL ISTMO (PEPSICO)</v>
          </cell>
          <cell r="D247" t="str">
            <v>Winifred Valdéz</v>
          </cell>
          <cell r="E247" t="str">
            <v>winifredmarie.valdezarroyave@pepsico.com</v>
          </cell>
          <cell r="F247" t="str">
            <v>207-4300</v>
          </cell>
        </row>
        <row r="248">
          <cell r="C248" t="str">
            <v>BIMBO DE PANAMA , S.A</v>
          </cell>
          <cell r="D248" t="str">
            <v>Missuly Aileen Escobar</v>
          </cell>
          <cell r="E248" t="str">
            <v>missuly.escobar@grupobimbo.com</v>
          </cell>
          <cell r="F248" t="str">
            <v>378-4400 ext. 2237 / 6980-6241</v>
          </cell>
        </row>
        <row r="249">
          <cell r="C249" t="str">
            <v>Cia Goly</v>
          </cell>
          <cell r="E249" t="str">
            <v>egnazzo@machetazo.com</v>
          </cell>
        </row>
        <row r="250">
          <cell r="C250" t="str">
            <v>Delivery Hero Dmart Panamá S.A. (Pedidos Ya)</v>
          </cell>
          <cell r="D250" t="str">
            <v>Andrés Bárbaro</v>
          </cell>
          <cell r="E250" t="str">
            <v>andres.barbaro.ext@pedidosya.com</v>
          </cell>
        </row>
        <row r="251">
          <cell r="C251" t="str">
            <v>GRUPO REY</v>
          </cell>
          <cell r="D251" t="str">
            <v>Ricardo Chávez</v>
          </cell>
          <cell r="E251" t="str">
            <v>rchavez@smrey.com</v>
          </cell>
          <cell r="F251" t="str">
            <v>6868-1690</v>
          </cell>
        </row>
        <row r="252">
          <cell r="C252" t="str">
            <v>International Franchise Food Service/Subway</v>
          </cell>
          <cell r="D252" t="str">
            <v>Roselys Brito</v>
          </cell>
          <cell r="E252" t="str">
            <v>rbrito@subway.com.pa</v>
          </cell>
          <cell r="F252" t="str">
            <v>204-5555</v>
          </cell>
        </row>
        <row r="253">
          <cell r="C253" t="str">
            <v>Price-Smart-Panama S.A</v>
          </cell>
          <cell r="D253" t="str">
            <v>Marabeth Gonzalez</v>
          </cell>
          <cell r="E253" t="str">
            <v>jbarron@pricephilanthropies.org</v>
          </cell>
          <cell r="F253" t="str">
            <v>217-8100</v>
          </cell>
        </row>
        <row r="254">
          <cell r="C254" t="str">
            <v>PUMA ENERGY BAHAMAS, S.A.</v>
          </cell>
          <cell r="E254" t="str">
            <v>alexandra.barcenas@pumaenergy.com</v>
          </cell>
          <cell r="F254" t="str">
            <v>211 0800 Ext 33572</v>
          </cell>
        </row>
        <row r="255">
          <cell r="C255" t="str">
            <v>SUPERMERCADOS XTRA, S.A.</v>
          </cell>
          <cell r="D255" t="str">
            <v>Alberto Osorio</v>
          </cell>
          <cell r="E255" t="str">
            <v>alosorio@superxtra.com</v>
          </cell>
          <cell r="F255" t="str">
            <v>61402384</v>
          </cell>
        </row>
        <row r="256">
          <cell r="C256" t="str">
            <v>Banco Nacional de Panama</v>
          </cell>
          <cell r="E256" t="str">
            <v>aeferrer@banconal.com.pa</v>
          </cell>
        </row>
        <row r="257">
          <cell r="C257" t="str">
            <v>GALINDO, ARIAS, &amp; LOPEZ</v>
          </cell>
          <cell r="D257" t="str">
            <v>KATHIA LORENA GONZALEZ CEDEÑO</v>
          </cell>
          <cell r="E257" t="str">
            <v>kgonzalez@gala.com.pa</v>
          </cell>
          <cell r="F257" t="str">
            <v>303-0303</v>
          </cell>
        </row>
        <row r="258">
          <cell r="C258" t="str">
            <v>ABDIEL CICAR TERAN DELLA TOGNA</v>
          </cell>
          <cell r="E258" t="str">
            <v>ateran@probrokerpma.com</v>
          </cell>
          <cell r="F258" t="str">
            <v>6676 0279</v>
          </cell>
        </row>
        <row r="259">
          <cell r="C259" t="str">
            <v>ALBERTO GONZALEZ ABADIA</v>
          </cell>
        </row>
        <row r="260">
          <cell r="C260" t="str">
            <v>DESAYUNOS-NICOLAS GONZALEZ REVILLA PAREDES</v>
          </cell>
          <cell r="E260" t="str">
            <v>tgoddard@metrovision.com.pa</v>
          </cell>
        </row>
        <row r="261">
          <cell r="C261" t="str">
            <v>FONTANA DEVELOPMENT, S.A.</v>
          </cell>
          <cell r="F261" t="str">
            <v>66148545 - Gaba Vatkrastsa</v>
          </cell>
        </row>
        <row r="262">
          <cell r="C262" t="str">
            <v>FORTUNATO BERTELLO - NORA CHIAVASSA</v>
          </cell>
        </row>
        <row r="263">
          <cell r="C263" t="str">
            <v>GRUPO TAFT, S.A.</v>
          </cell>
          <cell r="E263" t="str">
            <v>contabilidad@grupotaft.com</v>
          </cell>
          <cell r="F263" t="str">
            <v>395 2654 / Cel. 6319 7605</v>
          </cell>
        </row>
        <row r="264">
          <cell r="C264" t="str">
            <v>Jacklyn Touzard</v>
          </cell>
          <cell r="F264" t="str">
            <v>69496067</v>
          </cell>
        </row>
        <row r="265">
          <cell r="C265" t="str">
            <v>MARISOL REINA</v>
          </cell>
          <cell r="F265" t="str">
            <v>65154334</v>
          </cell>
        </row>
        <row r="266">
          <cell r="C266" t="str">
            <v>Miroslava Vanghan de Glovis</v>
          </cell>
          <cell r="F266" t="str">
            <v>6679 4779</v>
          </cell>
        </row>
        <row r="267">
          <cell r="C267" t="str">
            <v>RICARDO MANUEL ALEMAN MARQUEZ</v>
          </cell>
          <cell r="E267" t="str">
            <v>maleman@bgeneral.com</v>
          </cell>
        </row>
        <row r="268">
          <cell r="C268" t="str">
            <v>YL SPORTS EVENTS, S.A.</v>
          </cell>
          <cell r="D268" t="str">
            <v>Juan Carlos Alvaro</v>
          </cell>
        </row>
        <row r="269">
          <cell r="C269" t="str">
            <v>GABRIELA FABREGA DE VAKRASTSAS</v>
          </cell>
          <cell r="D269" t="str">
            <v>GABRIELA FABREGA DE VAKRATSAS</v>
          </cell>
          <cell r="F269" t="str">
            <v>66148545</v>
          </cell>
        </row>
        <row r="270">
          <cell r="C270" t="str">
            <v>ABSOLUTE MARITIME TRACKING SERVICES</v>
          </cell>
          <cell r="F270" t="str">
            <v>301 - 5747</v>
          </cell>
        </row>
        <row r="271">
          <cell r="C271" t="str">
            <v>ARMATEL</v>
          </cell>
          <cell r="E271" t="str">
            <v>rgvaldivia@armatelsa.com</v>
          </cell>
          <cell r="F271" t="str">
            <v>830-7597</v>
          </cell>
        </row>
        <row r="272">
          <cell r="C272" t="str">
            <v>ASEGURADORA ANCON, S.A.</v>
          </cell>
          <cell r="D272" t="str">
            <v>Telma Escala</v>
          </cell>
        </row>
        <row r="273">
          <cell r="C273" t="str">
            <v>Asociación de Distribuidores de Maquinarias (ADIMAQ)</v>
          </cell>
          <cell r="D273" t="str">
            <v>Adolfo Icaza</v>
          </cell>
          <cell r="E273" t="str">
            <v>info@adimaq.org</v>
          </cell>
          <cell r="F273" t="str">
            <v>216-8342</v>
          </cell>
        </row>
        <row r="274">
          <cell r="C274" t="str">
            <v>BALI DEVELOPMENT CORP</v>
          </cell>
          <cell r="D274" t="str">
            <v>Gisela Lozano</v>
          </cell>
        </row>
        <row r="275">
          <cell r="C275" t="str">
            <v>BANCO CENTROAMERICANO DE INTEGRACION</v>
          </cell>
        </row>
        <row r="276">
          <cell r="C276" t="str">
            <v>BETELROSA ZARATE</v>
          </cell>
        </row>
        <row r="277">
          <cell r="C277" t="str">
            <v>CABLE ONDA - TIGO</v>
          </cell>
        </row>
        <row r="278">
          <cell r="C278" t="str">
            <v>CAJA DE AHORROS</v>
          </cell>
        </row>
        <row r="279">
          <cell r="C279" t="str">
            <v>CARLOS HOLGUIN ZAMBRANO</v>
          </cell>
        </row>
        <row r="280">
          <cell r="C280" t="str">
            <v>CARLOS LUIS BARRIOS</v>
          </cell>
          <cell r="E280" t="str">
            <v>carlosxbarrios@gmail.com</v>
          </cell>
          <cell r="F280" t="str">
            <v>64071877</v>
          </cell>
        </row>
        <row r="281">
          <cell r="C281" t="str">
            <v>CELESTINO CARBONELL</v>
          </cell>
          <cell r="D281" t="str">
            <v>JORGE LUIS CARBONELL</v>
          </cell>
        </row>
        <row r="282">
          <cell r="C282" t="str">
            <v>Colegio Nacional de Productores de Seguros</v>
          </cell>
          <cell r="D282" t="str">
            <v>Patricia Tello - Vallarino</v>
          </cell>
          <cell r="E282" t="str">
            <v>coralprose@cwpanama.net</v>
          </cell>
          <cell r="F282" t="str">
            <v>264-6014</v>
          </cell>
        </row>
        <row r="283">
          <cell r="C283" t="str">
            <v>COMATEL, S.A</v>
          </cell>
          <cell r="F283" t="str">
            <v>8307597</v>
          </cell>
        </row>
        <row r="284">
          <cell r="C284" t="str">
            <v>CONECTA2 PUBLICIDAD</v>
          </cell>
          <cell r="D284" t="str">
            <v>Gisela Lozano</v>
          </cell>
        </row>
        <row r="285">
          <cell r="C285" t="str">
            <v>CONSORCIO AMTS/PSSA</v>
          </cell>
          <cell r="F285" t="str">
            <v>301-5748</v>
          </cell>
        </row>
        <row r="286">
          <cell r="C286" t="str">
            <v>CONTRAXEÑAS PRODUCTION, S.A.</v>
          </cell>
          <cell r="D286" t="str">
            <v>Flor Berbey</v>
          </cell>
        </row>
        <row r="287">
          <cell r="C287" t="str">
            <v>Cooperativa de Ahorro y Crédito de Enfermeras y Afines, R.L.</v>
          </cell>
        </row>
        <row r="288">
          <cell r="C288" t="str">
            <v>EDDA ISABEL AMAYA QUINTERO</v>
          </cell>
        </row>
        <row r="289">
          <cell r="C289" t="str">
            <v>Edgar Luis Riba Ordonez (o) Viveca Hortencia del CarmenV</v>
          </cell>
          <cell r="F289" t="str">
            <v>6614-4955</v>
          </cell>
        </row>
        <row r="290">
          <cell r="C290" t="str">
            <v>EMBAJADA DE CANADA</v>
          </cell>
        </row>
        <row r="291">
          <cell r="C291" t="str">
            <v>Emily Argelis Cerrud Cardoze</v>
          </cell>
          <cell r="D291" t="str">
            <v>Emily Argelis Cerrud Cardoze</v>
          </cell>
          <cell r="E291" t="str">
            <v>emily049760@gmail.com</v>
          </cell>
          <cell r="F291" t="str">
            <v>6581-3841</v>
          </cell>
        </row>
        <row r="292">
          <cell r="C292" t="str">
            <v>EMPRESA ALTIUS PANAMA</v>
          </cell>
        </row>
        <row r="293">
          <cell r="C293" t="str">
            <v>ESTACION WR</v>
          </cell>
          <cell r="E293" t="str">
            <v>estacionwr@outlook.com</v>
          </cell>
          <cell r="F293" t="str">
            <v>776 4302</v>
          </cell>
        </row>
        <row r="294">
          <cell r="C294" t="str">
            <v>Fernando Guardia Williamson</v>
          </cell>
          <cell r="D294" t="str">
            <v>Fernando Guardia Williamson</v>
          </cell>
        </row>
        <row r="295">
          <cell r="C295" t="str">
            <v>Fundación Marciely - Padrino</v>
          </cell>
        </row>
        <row r="296">
          <cell r="C296" t="str">
            <v>FUNDACION XTRA CONTIGO</v>
          </cell>
        </row>
        <row r="297">
          <cell r="C297" t="str">
            <v>G.C.ADMINISTRACION</v>
          </cell>
          <cell r="D297" t="str">
            <v>Gisela Lozano</v>
          </cell>
          <cell r="E297" t="str">
            <v>glozano@grupocorcione.com</v>
          </cell>
          <cell r="F297" t="str">
            <v>215-0011</v>
          </cell>
        </row>
        <row r="298">
          <cell r="C298" t="str">
            <v>GC PROJECT MANAGEMENT, S.A</v>
          </cell>
          <cell r="D298" t="str">
            <v>Gisela Lozano</v>
          </cell>
          <cell r="E298" t="str">
            <v>glozano@grupocorcione.com</v>
          </cell>
          <cell r="F298" t="str">
            <v>215-0011</v>
          </cell>
        </row>
        <row r="299">
          <cell r="C299" t="str">
            <v>GC REALTY INC.</v>
          </cell>
          <cell r="D299" t="str">
            <v>Gisela Lozano</v>
          </cell>
        </row>
        <row r="300">
          <cell r="C300" t="str">
            <v>GLORIA E. RIOS</v>
          </cell>
          <cell r="E300" t="str">
            <v>ross2017@outlook.com</v>
          </cell>
          <cell r="F300" t="str">
            <v>507 - 69088592</v>
          </cell>
        </row>
        <row r="301">
          <cell r="C301" t="str">
            <v>GOMTREVI, S. A.</v>
          </cell>
          <cell r="F301" t="str">
            <v>6618-5450</v>
          </cell>
        </row>
        <row r="302">
          <cell r="C302" t="str">
            <v>GUIRIA,S.A</v>
          </cell>
          <cell r="D302" t="str">
            <v>JAIME CAMARGO</v>
          </cell>
          <cell r="E302" t="str">
            <v>abrennan0406@gmail.com</v>
          </cell>
          <cell r="F302" t="str">
            <v>300-0422 EXT 290</v>
          </cell>
        </row>
        <row r="303">
          <cell r="C303" t="str">
            <v>IDA ELDICA SOBERS WELCH</v>
          </cell>
        </row>
        <row r="304">
          <cell r="C304" t="str">
            <v>Ingelmec, S.A.</v>
          </cell>
        </row>
        <row r="305">
          <cell r="C305" t="str">
            <v>INGENIERIA R-M,S.A</v>
          </cell>
          <cell r="D305" t="str">
            <v>ALEJANDRO ANTONIO ROY ORTEGA</v>
          </cell>
          <cell r="E305" t="str">
            <v>aroy@ingenieriarm.com</v>
          </cell>
          <cell r="F305" t="str">
            <v>270-0922</v>
          </cell>
        </row>
        <row r="306">
          <cell r="C306" t="str">
            <v>INMAQUIP PANAMA,S.A</v>
          </cell>
          <cell r="D306" t="str">
            <v>PABLO AUGUSTO STEER MORALES</v>
          </cell>
          <cell r="E306" t="str">
            <v>ps@inmaquip.com</v>
          </cell>
          <cell r="F306" t="str">
            <v>393-1511</v>
          </cell>
        </row>
        <row r="307">
          <cell r="C307" t="str">
            <v>INTA</v>
          </cell>
        </row>
        <row r="308">
          <cell r="C308" t="str">
            <v>Islas Secas Foundation Moore UWM</v>
          </cell>
        </row>
        <row r="309">
          <cell r="C309" t="str">
            <v>JORGE ZAPPI C.</v>
          </cell>
          <cell r="D309" t="str">
            <v>Isabel Conte de Zappi</v>
          </cell>
          <cell r="E309" t="str">
            <v>vyaprende@gmail.com</v>
          </cell>
          <cell r="F309" t="str">
            <v>6614-3370</v>
          </cell>
        </row>
        <row r="310">
          <cell r="C310" t="str">
            <v>Julia Mendez Chiapetto</v>
          </cell>
          <cell r="F310" t="str">
            <v>6520 0767 - Lupe Mendez</v>
          </cell>
        </row>
        <row r="311">
          <cell r="C311" t="str">
            <v>LEYSIS ITZEL PRAVIA FERRABONE DE TUÑON</v>
          </cell>
        </row>
        <row r="312">
          <cell r="C312" t="str">
            <v>LEYSIS PRAVIA FERRABONE DE TUÑON</v>
          </cell>
          <cell r="F312" t="str">
            <v>6676-3824</v>
          </cell>
        </row>
        <row r="313">
          <cell r="C313" t="str">
            <v>LINA ANINO MARTINEZ</v>
          </cell>
          <cell r="F313" t="str">
            <v>404 - 9352260</v>
          </cell>
        </row>
        <row r="314">
          <cell r="C314" t="str">
            <v>LUIS ALBERTO QUIROS BATRES</v>
          </cell>
          <cell r="F314" t="str">
            <v>6673 1269</v>
          </cell>
        </row>
        <row r="315">
          <cell r="C315" t="str">
            <v>MARIA ANTONIA GARCIA</v>
          </cell>
          <cell r="D315" t="str">
            <v>MARIA ANTONIA GARCIA OLMEDO</v>
          </cell>
        </row>
        <row r="316">
          <cell r="C316" t="str">
            <v>MARIA DEL CARMEN VELASQUEZ</v>
          </cell>
          <cell r="D316" t="str">
            <v>Maria del Carmen Vasquez</v>
          </cell>
          <cell r="F316" t="str">
            <v>6616-6239</v>
          </cell>
        </row>
        <row r="317">
          <cell r="C317" t="str">
            <v>Maria Mercedez Diaz de Velazquez</v>
          </cell>
          <cell r="D317" t="str">
            <v>Maria Mercedes Diaz de Velazquez</v>
          </cell>
          <cell r="F317" t="str">
            <v>6616 6239</v>
          </cell>
        </row>
        <row r="318">
          <cell r="C318" t="str">
            <v>MARJORIE FRANCES LINDO de SOSA</v>
          </cell>
          <cell r="F318" t="str">
            <v>6624-0363</v>
          </cell>
        </row>
        <row r="319">
          <cell r="C319" t="str">
            <v>MEDICAL DEPOT</v>
          </cell>
          <cell r="F319" t="str">
            <v>223-4264</v>
          </cell>
        </row>
        <row r="320">
          <cell r="C320" t="str">
            <v>METROBANK S.A</v>
          </cell>
          <cell r="D320" t="str">
            <v>ANGELA VASQUEZ</v>
          </cell>
          <cell r="E320" t="str">
            <v>rse@metrobank.com</v>
          </cell>
          <cell r="F320" t="str">
            <v>204-9000</v>
          </cell>
        </row>
        <row r="321">
          <cell r="C321" t="str">
            <v>Multitck Pacifico, S.A.</v>
          </cell>
        </row>
        <row r="322">
          <cell r="C322" t="str">
            <v>Olympia Bienes Raices</v>
          </cell>
        </row>
        <row r="323">
          <cell r="C323" t="str">
            <v>PARROQUIA SAN GERARDO DE MAYELA</v>
          </cell>
          <cell r="E323" t="str">
            <v>rgcgaleas@yahoo.com</v>
          </cell>
          <cell r="F323" t="str">
            <v>2710537</v>
          </cell>
        </row>
        <row r="324">
          <cell r="C324" t="str">
            <v>PETROPORT S.A</v>
          </cell>
          <cell r="D324" t="str">
            <v>GUILLERMO DE ROUX VALLARINO</v>
          </cell>
          <cell r="E324" t="str">
            <v>gdr@enesa.com.pa</v>
          </cell>
          <cell r="F324" t="str">
            <v>264-4096</v>
          </cell>
        </row>
        <row r="325">
          <cell r="C325" t="str">
            <v>RECUPERA PANAMA</v>
          </cell>
        </row>
        <row r="326">
          <cell r="C326" t="str">
            <v>RODNY DIRECT, S.A.</v>
          </cell>
          <cell r="D326" t="str">
            <v>Rodny Fabio Moreno Fuentes</v>
          </cell>
          <cell r="F326" t="str">
            <v>6573-0141</v>
          </cell>
        </row>
        <row r="327">
          <cell r="C327" t="str">
            <v>ROSANRO S.A.</v>
          </cell>
          <cell r="D327" t="str">
            <v>Luis Fernando Rosanro SA</v>
          </cell>
        </row>
        <row r="328">
          <cell r="C328" t="str">
            <v>ROSSANA APARICIO</v>
          </cell>
          <cell r="E328" t="str">
            <v>rossana6914@gmail.com</v>
          </cell>
        </row>
        <row r="329">
          <cell r="C329" t="str">
            <v>RUBY DEL CARMEN BURTON DE VARCACIA</v>
          </cell>
        </row>
        <row r="330">
          <cell r="C330" t="str">
            <v>SERVICIOS MARITIMOS E INSPECCIONES</v>
          </cell>
        </row>
        <row r="331">
          <cell r="C331" t="str">
            <v>SERVILAB, S.A.</v>
          </cell>
          <cell r="E331" t="str">
            <v>info@servilabsa.com</v>
          </cell>
          <cell r="F331" t="str">
            <v>229-1233 / 261-3755</v>
          </cell>
        </row>
        <row r="332">
          <cell r="C332" t="str">
            <v>SONY MUSIC</v>
          </cell>
        </row>
        <row r="333">
          <cell r="C333" t="str">
            <v>TETRAPAK</v>
          </cell>
        </row>
        <row r="334">
          <cell r="C334" t="str">
            <v>The Global FoodBanking Network</v>
          </cell>
          <cell r="F334" t="str">
            <v>+1 312 782 4560</v>
          </cell>
        </row>
        <row r="335">
          <cell r="C335" t="str">
            <v>TRISTORE</v>
          </cell>
          <cell r="D335" t="str">
            <v>GAETANO GABRIEL GOLDONI BELIZZA</v>
          </cell>
          <cell r="E335" t="str">
            <v>ggoldoni@tristorepanama.com</v>
          </cell>
          <cell r="F335" t="str">
            <v>393-6874</v>
          </cell>
        </row>
        <row r="336">
          <cell r="C336" t="str">
            <v>UNDEPAN, S.A.</v>
          </cell>
        </row>
        <row r="337">
          <cell r="C337" t="str">
            <v>VANESSA UHOLCKAR</v>
          </cell>
        </row>
        <row r="338">
          <cell r="C338" t="str">
            <v>VERONICA FLORES</v>
          </cell>
          <cell r="F338" t="str">
            <v>6319 9467</v>
          </cell>
        </row>
        <row r="339">
          <cell r="C339" t="str">
            <v>WISTON SPADAFORA</v>
          </cell>
        </row>
        <row r="340">
          <cell r="C340" t="str">
            <v>YOLANDA DEL CARMEN CALVET DE ZAYDAN</v>
          </cell>
        </row>
        <row r="341">
          <cell r="C341" t="str">
            <v>TVN - Televisora Nacional</v>
          </cell>
        </row>
        <row r="342">
          <cell r="C342" t="str">
            <v>MARIA TERESA LITLE</v>
          </cell>
          <cell r="D342" t="str">
            <v>MARIA TERESA LITLE LITLE</v>
          </cell>
        </row>
        <row r="343">
          <cell r="C343" t="str">
            <v>ARMANDO GONZALEZ</v>
          </cell>
          <cell r="D343" t="str">
            <v>Victor Bethancourt</v>
          </cell>
        </row>
        <row r="344">
          <cell r="C344" t="str">
            <v>Binicio A. Martinez Cuello</v>
          </cell>
          <cell r="D344" t="str">
            <v>Binicio Antonio Martinez Cuello</v>
          </cell>
        </row>
        <row r="345">
          <cell r="C345" t="str">
            <v>CASSAVA</v>
          </cell>
          <cell r="F345" t="str">
            <v>61564660</v>
          </cell>
        </row>
        <row r="346">
          <cell r="C346" t="str">
            <v>CERRO PUNTA, S.A</v>
          </cell>
          <cell r="E346" t="str">
            <v>amizrachi@cerropunta.net</v>
          </cell>
          <cell r="F346" t="str">
            <v>221-0272</v>
          </cell>
        </row>
        <row r="347">
          <cell r="C347" t="str">
            <v>COMERCIALIZADORA LA UNION - CESAR PITTI</v>
          </cell>
          <cell r="F347" t="str">
            <v>67 306422</v>
          </cell>
        </row>
        <row r="348">
          <cell r="C348" t="str">
            <v>DELI VILLARREAL</v>
          </cell>
          <cell r="D348" t="str">
            <v>Pablo Ramos</v>
          </cell>
          <cell r="F348" t="str">
            <v>68953399</v>
          </cell>
        </row>
        <row r="349">
          <cell r="C349" t="str">
            <v>DESTRIBUIDORA HERGOSA</v>
          </cell>
          <cell r="F349" t="str">
            <v>61-054624</v>
          </cell>
        </row>
        <row r="350">
          <cell r="C350" t="str">
            <v>DISTRIBUIDORA BILIANIS</v>
          </cell>
          <cell r="F350" t="str">
            <v>67 127108</v>
          </cell>
        </row>
        <row r="351">
          <cell r="C351" t="str">
            <v>DISTRIBUIDORA CACH</v>
          </cell>
          <cell r="D351" t="str">
            <v>Jorge Chavarria</v>
          </cell>
          <cell r="F351" t="str">
            <v>68 863150</v>
          </cell>
        </row>
        <row r="352">
          <cell r="C352" t="str">
            <v>DISTRIBUIDORA CERRO PUNTA</v>
          </cell>
          <cell r="D352" t="str">
            <v>Jose Barroso</v>
          </cell>
          <cell r="F352" t="str">
            <v>6676-5601</v>
          </cell>
        </row>
        <row r="353">
          <cell r="C353" t="str">
            <v>DISTRIBUIDORA JUAN CABALLERO</v>
          </cell>
        </row>
        <row r="354">
          <cell r="C354" t="str">
            <v>Distribuidora Kellyvan</v>
          </cell>
        </row>
        <row r="355">
          <cell r="C355" t="str">
            <v>DISTRIBUIDORA LA CAMPIÑA DORADA</v>
          </cell>
          <cell r="D355" t="str">
            <v>Vielka Campiña</v>
          </cell>
        </row>
        <row r="356">
          <cell r="C356" t="str">
            <v>DISTRIBUIDORA TIERRAS ALTAS</v>
          </cell>
          <cell r="D356" t="str">
            <v>Ameth Pitty</v>
          </cell>
          <cell r="F356" t="str">
            <v>6263-1364</v>
          </cell>
        </row>
        <row r="357">
          <cell r="C357" t="str">
            <v>DISTRIBUIDORA TRES HERMANOS, S.A</v>
          </cell>
          <cell r="D357" t="str">
            <v>Marcos Navarro</v>
          </cell>
          <cell r="F357" t="str">
            <v>6265-0681</v>
          </cell>
        </row>
        <row r="358">
          <cell r="C358" t="str">
            <v>DISTRIBUIDORA Y LEGUMBRES QUIEL</v>
          </cell>
          <cell r="D358" t="str">
            <v>Jesus Quiel</v>
          </cell>
          <cell r="F358" t="str">
            <v>396-683</v>
          </cell>
        </row>
        <row r="359">
          <cell r="C359" t="str">
            <v>Dragan Jerkovic</v>
          </cell>
          <cell r="D359" t="str">
            <v>Juan C. Zapata</v>
          </cell>
          <cell r="F359" t="str">
            <v>6823-8155</v>
          </cell>
        </row>
        <row r="360">
          <cell r="C360" t="str">
            <v>ECO FOOD &amp; HEALT</v>
          </cell>
        </row>
        <row r="361">
          <cell r="C361" t="str">
            <v>EDDI ALMANZA</v>
          </cell>
          <cell r="F361" t="str">
            <v>6673-1585</v>
          </cell>
        </row>
        <row r="362">
          <cell r="C362" t="str">
            <v>ESPECIES KyM</v>
          </cell>
          <cell r="D362" t="str">
            <v>Itzel Caballero</v>
          </cell>
        </row>
        <row r="363">
          <cell r="C363" t="str">
            <v>FAR RAGUTH - FELIPE RIOS</v>
          </cell>
          <cell r="D363" t="str">
            <v>GUSTAVO PALACIOS</v>
          </cell>
          <cell r="F363" t="str">
            <v>65 867226</v>
          </cell>
        </row>
        <row r="364">
          <cell r="C364" t="str">
            <v>FERCON</v>
          </cell>
          <cell r="F364" t="str">
            <v>64748961</v>
          </cell>
        </row>
        <row r="365">
          <cell r="C365" t="str">
            <v>FINCA AGROGANADERA AMILGIO, S.A</v>
          </cell>
          <cell r="D365" t="str">
            <v>Amilcar Vega</v>
          </cell>
          <cell r="F365" t="str">
            <v>67477279</v>
          </cell>
        </row>
        <row r="366">
          <cell r="C366" t="str">
            <v>FINCA TREJOS</v>
          </cell>
          <cell r="D366" t="str">
            <v>Jimmy Diaz</v>
          </cell>
        </row>
        <row r="367">
          <cell r="C367" t="str">
            <v>FISBER, S,A</v>
          </cell>
        </row>
        <row r="368">
          <cell r="C368" t="str">
            <v>FRARMA EXPRESS</v>
          </cell>
          <cell r="D368" t="str">
            <v>Fredy Pineda</v>
          </cell>
        </row>
        <row r="369">
          <cell r="C369" t="str">
            <v>FRESH ONION</v>
          </cell>
          <cell r="D369" t="str">
            <v>Yeraldine Martinez</v>
          </cell>
          <cell r="F369" t="str">
            <v>62798610/6228-1865</v>
          </cell>
        </row>
        <row r="370">
          <cell r="C370" t="str">
            <v>FRULESA</v>
          </cell>
          <cell r="D370" t="str">
            <v>Tomas Rovira</v>
          </cell>
          <cell r="F370" t="str">
            <v>61 084435 / 69492901</v>
          </cell>
        </row>
        <row r="371">
          <cell r="C371" t="str">
            <v>Frutas y Legumbres Medina</v>
          </cell>
        </row>
        <row r="372">
          <cell r="C372" t="str">
            <v>GRANO DE ORO INTERNACIONAL</v>
          </cell>
          <cell r="D372" t="str">
            <v>Grupo Sr. Peña Grupo Sr. Peña</v>
          </cell>
        </row>
        <row r="373">
          <cell r="C373" t="str">
            <v>GRANOS DE ORO INTERNACIOANAL</v>
          </cell>
          <cell r="D373" t="str">
            <v>Sebastian Peña</v>
          </cell>
          <cell r="F373" t="str">
            <v>66776234</v>
          </cell>
        </row>
        <row r="374">
          <cell r="C374" t="str">
            <v>HNOS. GUERRA</v>
          </cell>
        </row>
        <row r="375">
          <cell r="C375" t="str">
            <v>HORTIFRESH</v>
          </cell>
          <cell r="D375" t="str">
            <v>Ascanio Aleman</v>
          </cell>
          <cell r="F375" t="str">
            <v>67 471046</v>
          </cell>
        </row>
        <row r="376">
          <cell r="C376" t="str">
            <v>IMPORTADORA VIRZI S.A.</v>
          </cell>
          <cell r="D376" t="str">
            <v>Liurys Jiménez</v>
          </cell>
          <cell r="E376" t="str">
            <v>liurys.jimenez@supercarnes.com</v>
          </cell>
          <cell r="F376" t="str">
            <v>6604-1844</v>
          </cell>
        </row>
        <row r="377">
          <cell r="C377" t="str">
            <v>IMPORTADORA Y EXPORTADORA LIA</v>
          </cell>
          <cell r="D377" t="str">
            <v>Bernardo Aguilar</v>
          </cell>
        </row>
        <row r="378">
          <cell r="C378" t="str">
            <v>INVERSIONES DEJUD</v>
          </cell>
          <cell r="F378" t="str">
            <v>69 437390</v>
          </cell>
        </row>
        <row r="379">
          <cell r="C379" t="str">
            <v>INVERSIONES IVAN COMANCHE</v>
          </cell>
          <cell r="D379" t="str">
            <v>Edgar Ivan Morales Villarreal</v>
          </cell>
          <cell r="F379" t="str">
            <v>6614-1564</v>
          </cell>
        </row>
        <row r="380">
          <cell r="C380" t="str">
            <v>INVERSIONES PARITILLA</v>
          </cell>
        </row>
        <row r="381">
          <cell r="C381" t="str">
            <v>LEGUMBRES CHIRICANAS</v>
          </cell>
          <cell r="F381" t="str">
            <v>66 533569</v>
          </cell>
        </row>
        <row r="382">
          <cell r="C382" t="str">
            <v>LEGUMBRES DEL SERENO</v>
          </cell>
          <cell r="F382" t="str">
            <v>63718512</v>
          </cell>
        </row>
        <row r="383">
          <cell r="C383" t="str">
            <v>LEGUMBRES FGR</v>
          </cell>
          <cell r="D383" t="str">
            <v>Felipa</v>
          </cell>
          <cell r="F383" t="str">
            <v>6479-5626</v>
          </cell>
        </row>
        <row r="384">
          <cell r="C384" t="str">
            <v>LEGUMBRES MY, S.A</v>
          </cell>
          <cell r="D384" t="str">
            <v>Mercedes Yanguez</v>
          </cell>
          <cell r="F384" t="str">
            <v>65437674</v>
          </cell>
        </row>
        <row r="385">
          <cell r="C385" t="str">
            <v>LEGUMBRES Y VERDURAS DEYMAR</v>
          </cell>
          <cell r="D385" t="str">
            <v>Diener Morales</v>
          </cell>
          <cell r="F385" t="str">
            <v>6867-6737</v>
          </cell>
        </row>
        <row r="386">
          <cell r="C386" t="str">
            <v>MARTVAR</v>
          </cell>
          <cell r="D386" t="str">
            <v>Raul Martinez</v>
          </cell>
        </row>
        <row r="387">
          <cell r="C387" t="str">
            <v>MERCA PANAMA</v>
          </cell>
          <cell r="F387" t="str">
            <v>524 1939</v>
          </cell>
        </row>
        <row r="388">
          <cell r="C388" t="str">
            <v>Panam Frut, S.A</v>
          </cell>
          <cell r="D388" t="str">
            <v>Marcelo Fierva</v>
          </cell>
          <cell r="F388" t="str">
            <v>396-7786</v>
          </cell>
        </row>
        <row r="389">
          <cell r="C389" t="str">
            <v>PANAMA FRUIT AND VEGETABLE COMPANY INC.</v>
          </cell>
        </row>
        <row r="390">
          <cell r="C390" t="str">
            <v>PROCALPE, S.A</v>
          </cell>
          <cell r="D390" t="str">
            <v>Benigno Peña</v>
          </cell>
        </row>
        <row r="391">
          <cell r="C391" t="str">
            <v>PROCALPE, S.A.</v>
          </cell>
          <cell r="F391" t="str">
            <v>67 808241</v>
          </cell>
        </row>
        <row r="392">
          <cell r="C392" t="str">
            <v>PRODUCTORA HORTICOLA VIRSA, S.A</v>
          </cell>
          <cell r="D392" t="str">
            <v>Josep Perez</v>
          </cell>
        </row>
        <row r="393">
          <cell r="C393" t="str">
            <v>PRODUCTOS AGRICOLAS DEL CAMPO</v>
          </cell>
          <cell r="D393" t="str">
            <v>Jordi Mairena</v>
          </cell>
          <cell r="F393" t="str">
            <v>68 151511</v>
          </cell>
        </row>
        <row r="394">
          <cell r="C394" t="str">
            <v>PRODUCTOS ALEX - ALBERTO TORRES</v>
          </cell>
          <cell r="F394" t="str">
            <v>61 169993</v>
          </cell>
        </row>
        <row r="395">
          <cell r="C395" t="str">
            <v>PRODUCTOS DE CALIDAD PEÑA</v>
          </cell>
          <cell r="F395" t="str">
            <v>67808241</v>
          </cell>
        </row>
        <row r="396">
          <cell r="C396" t="str">
            <v>PRODUCTOS DEL CAMPO</v>
          </cell>
          <cell r="D396" t="str">
            <v>Jose José</v>
          </cell>
        </row>
        <row r="397">
          <cell r="C397" t="str">
            <v>PRODUCTOS TROPICALES</v>
          </cell>
          <cell r="D397" t="str">
            <v>Hector Vergara</v>
          </cell>
          <cell r="F397" t="str">
            <v>6778-8147</v>
          </cell>
        </row>
        <row r="398">
          <cell r="C398" t="str">
            <v>PRODUCTOS UNIVERSAL</v>
          </cell>
          <cell r="D398" t="str">
            <v>Ovidio Quiel</v>
          </cell>
          <cell r="F398" t="str">
            <v>6790-4449</v>
          </cell>
        </row>
        <row r="399">
          <cell r="C399" t="str">
            <v>SUMINISTROS FRESCOS</v>
          </cell>
          <cell r="F399" t="str">
            <v>67 012106</v>
          </cell>
        </row>
        <row r="400">
          <cell r="C400" t="str">
            <v>SUPLIDORA AGRICOLA</v>
          </cell>
        </row>
        <row r="401">
          <cell r="C401" t="str">
            <v>Vegetales Yanki</v>
          </cell>
        </row>
        <row r="402">
          <cell r="C402" t="str">
            <v>Veggiefresh Invest Corp</v>
          </cell>
          <cell r="D402" t="str">
            <v>Mónica Veggie Fresh</v>
          </cell>
          <cell r="E402" t="str">
            <v>pedidos@freshveggiespma.com</v>
          </cell>
          <cell r="F402" t="str">
            <v>67476754</v>
          </cell>
        </row>
        <row r="403">
          <cell r="C403" t="str">
            <v>VEGUIES PANAMA - Flavio Marmolejo</v>
          </cell>
          <cell r="F403" t="str">
            <v>68 483190</v>
          </cell>
        </row>
        <row r="404">
          <cell r="C404" t="str">
            <v>VENTAS AGRICOLAS</v>
          </cell>
          <cell r="D404" t="str">
            <v>Carlos Lopez</v>
          </cell>
        </row>
        <row r="405">
          <cell r="C405" t="str">
            <v>VENTAS AGRICOLAS</v>
          </cell>
        </row>
        <row r="406">
          <cell r="C406" t="str">
            <v>VENTAS AGRICOLAS DEL CAMPO</v>
          </cell>
          <cell r="D406" t="str">
            <v>Jose Peña</v>
          </cell>
          <cell r="F406" t="str">
            <v>66783292</v>
          </cell>
        </row>
        <row r="407">
          <cell r="C407" t="str">
            <v>VENTAS AGRICOLAS HERMANOS PEÑA</v>
          </cell>
        </row>
        <row r="408">
          <cell r="C408" t="str">
            <v>VENTAS DE LEGUMBRES HNOS. ROBLES</v>
          </cell>
          <cell r="D408" t="str">
            <v>ALEX Robles</v>
          </cell>
        </row>
        <row r="409">
          <cell r="C409" t="str">
            <v>VENTAS DE PRODUCTOS AGRICOLAS RAUL MARTINEZ, S.A.</v>
          </cell>
          <cell r="D409" t="str">
            <v>Jaime Rios</v>
          </cell>
          <cell r="F409" t="str">
            <v>62 281865 / 262 5313</v>
          </cell>
        </row>
        <row r="410">
          <cell r="C410" t="str">
            <v>VENTAS ELICAN</v>
          </cell>
          <cell r="D410" t="str">
            <v>Saturnino Campos</v>
          </cell>
          <cell r="F410" t="str">
            <v>69 019581</v>
          </cell>
        </row>
        <row r="411">
          <cell r="C411" t="str">
            <v>VENTAS GILMA</v>
          </cell>
          <cell r="F411" t="str">
            <v>69035646 / 64162218</v>
          </cell>
        </row>
        <row r="412">
          <cell r="C412" t="str">
            <v>VENTAS GONZALEZ ARAUZ</v>
          </cell>
        </row>
        <row r="413">
          <cell r="C413" t="str">
            <v>VENTAS MIPFE</v>
          </cell>
          <cell r="D413" t="str">
            <v>ENRIQUE VARGAS</v>
          </cell>
          <cell r="E413" t="str">
            <v>edilbertovargas06@gmail.com</v>
          </cell>
          <cell r="F413" t="str">
            <v>68872733</v>
          </cell>
        </row>
        <row r="414">
          <cell r="C414" t="str">
            <v>Ventas y Vegetales Cruz</v>
          </cell>
        </row>
        <row r="415">
          <cell r="C415" t="str">
            <v>Ventas y Vegetales Jose Frias</v>
          </cell>
        </row>
        <row r="416">
          <cell r="C416" t="str">
            <v>VERDES &amp; CO</v>
          </cell>
          <cell r="D416" t="str">
            <v>Andres De La Guardia</v>
          </cell>
          <cell r="E416" t="str">
            <v>andres@verdesyco.com</v>
          </cell>
          <cell r="F416" t="str">
            <v>62324253</v>
          </cell>
        </row>
        <row r="417">
          <cell r="C417" t="str">
            <v>ALMACEN SUN WAH</v>
          </cell>
          <cell r="E417" t="str">
            <v>info@sunwahpanama.com</v>
          </cell>
          <cell r="F417" t="str">
            <v>262 0804</v>
          </cell>
        </row>
        <row r="418">
          <cell r="C418" t="str">
            <v>ARCO SEGUROS</v>
          </cell>
          <cell r="D418" t="str">
            <v>Xiomara Herrera</v>
          </cell>
          <cell r="F418" t="str">
            <v>269-1633</v>
          </cell>
        </row>
        <row r="419">
          <cell r="C419" t="str">
            <v>Bannaba Mercari, S.A.</v>
          </cell>
        </row>
        <row r="420">
          <cell r="C420" t="str">
            <v>BARRAZA Y COMPAÑIA, S.A</v>
          </cell>
          <cell r="D420" t="str">
            <v>Anais Moreno</v>
          </cell>
          <cell r="E420" t="str">
            <v>anais@bacosa.com</v>
          </cell>
          <cell r="F420" t="str">
            <v>507 267-2447/267-3331 Ext. 102</v>
          </cell>
        </row>
        <row r="421">
          <cell r="C421" t="str">
            <v>BORTONS LAB´S</v>
          </cell>
          <cell r="D421" t="str">
            <v>Anette Planells</v>
          </cell>
          <cell r="F421" t="str">
            <v>392-1141</v>
          </cell>
        </row>
        <row r="422">
          <cell r="C422" t="str">
            <v>CLUB ACTIVO 20-30</v>
          </cell>
        </row>
        <row r="423">
          <cell r="C423" t="str">
            <v>COCO TRADER, S.A</v>
          </cell>
          <cell r="D423" t="str">
            <v>JOSE CAMARGO COBOS</v>
          </cell>
          <cell r="E423" t="str">
            <v>abrennan0406@gmail.com</v>
          </cell>
          <cell r="F423" t="str">
            <v>300-0422</v>
          </cell>
        </row>
        <row r="424">
          <cell r="C424" t="str">
            <v>Coldtruck Solutions, S.A.</v>
          </cell>
        </row>
        <row r="425">
          <cell r="C425" t="str">
            <v>Colgate Palmolive (CENTRAL AMERICA) INC</v>
          </cell>
          <cell r="D425" t="str">
            <v>Ramon Aguilar</v>
          </cell>
          <cell r="E425" t="str">
            <v>ramon_a_aguilar@colpal.com</v>
          </cell>
          <cell r="F425" t="str">
            <v>6678-5925</v>
          </cell>
        </row>
        <row r="426">
          <cell r="C426" t="str">
            <v>COMPAÑIA GLOLY, S.A.</v>
          </cell>
        </row>
        <row r="427">
          <cell r="C427" t="str">
            <v>COMPAÑIA INTERNACIONAL DE SEGUROS</v>
          </cell>
          <cell r="D427" t="str">
            <v>Abdiel Teran</v>
          </cell>
          <cell r="E427" t="str">
            <v>ateran@probrokerpma.com</v>
          </cell>
          <cell r="F427" t="str">
            <v>270 7190 ofic.</v>
          </cell>
        </row>
        <row r="428">
          <cell r="C428" t="str">
            <v>Distribuidora EMYM S.A.</v>
          </cell>
        </row>
        <row r="429">
          <cell r="C429" t="str">
            <v>E&amp;MM Chemical, Int S.A.</v>
          </cell>
          <cell r="F429" t="str">
            <v>6229 6175</v>
          </cell>
        </row>
        <row r="430">
          <cell r="C430" t="str">
            <v>Fondo de Poblacion de las Naciones Unidas (UNFPA)</v>
          </cell>
        </row>
        <row r="431">
          <cell r="C431" t="str">
            <v>FOOD CONTAINERS</v>
          </cell>
          <cell r="D431" t="str">
            <v>Lisbeth Avecilla</v>
          </cell>
          <cell r="E431" t="str">
            <v>lavecilla@foodsolutions.com</v>
          </cell>
          <cell r="F431" t="str">
            <v>236-8565</v>
          </cell>
        </row>
        <row r="432">
          <cell r="C432" t="str">
            <v>FUNDACION SUS BUENOS VECINOS - BCO GENERAL</v>
          </cell>
          <cell r="F432" t="str">
            <v>3035397 ext 40026</v>
          </cell>
        </row>
        <row r="433">
          <cell r="C433" t="str">
            <v>GEO F NOVEY</v>
          </cell>
          <cell r="D433" t="str">
            <v>Carlos Victor Rodriguez</v>
          </cell>
        </row>
        <row r="434">
          <cell r="C434" t="str">
            <v>GEO F. NOVEY INC.</v>
          </cell>
          <cell r="F434" t="str">
            <v>300-9200</v>
          </cell>
        </row>
        <row r="435">
          <cell r="C435" t="str">
            <v>HELVETIA FILIAL PANAMA</v>
          </cell>
        </row>
        <row r="436">
          <cell r="C436" t="str">
            <v>INDUTESA PANAMA S.A</v>
          </cell>
        </row>
        <row r="437">
          <cell r="C437" t="str">
            <v>INVERSION AGPRO</v>
          </cell>
        </row>
        <row r="438">
          <cell r="C438" t="str">
            <v>J. CAIN Y CÍA S.A.</v>
          </cell>
          <cell r="D438" t="str">
            <v>Johana Adonican</v>
          </cell>
          <cell r="E438" t="str">
            <v>jadonican@cainco.com</v>
          </cell>
          <cell r="F438" t="str">
            <v>431-2600</v>
          </cell>
        </row>
        <row r="439">
          <cell r="C439" t="str">
            <v>KIMBERLY-CLARK CENTRAL AMERICAN HOLDING, S.A</v>
          </cell>
          <cell r="D439" t="str">
            <v>Monica Lucero</v>
          </cell>
          <cell r="E439" t="str">
            <v>monica.lucero@kcc.com</v>
          </cell>
          <cell r="F439" t="str">
            <v>366-1700</v>
          </cell>
        </row>
        <row r="440">
          <cell r="C440" t="str">
            <v>L?Oréal Panamá Comercial, S. A</v>
          </cell>
          <cell r="D440" t="str">
            <v>Fatima Agy Coelho</v>
          </cell>
          <cell r="E440" t="str">
            <v>fatimaagy.coelho@loreal.com</v>
          </cell>
          <cell r="F440" t="str">
            <v>302-25828</v>
          </cell>
        </row>
        <row r="441">
          <cell r="C441" t="str">
            <v>MASTER DIRECT</v>
          </cell>
          <cell r="D441" t="str">
            <v>Zoila Mendez</v>
          </cell>
          <cell r="E441" t="str">
            <v>zmendez@masterdirect.com</v>
          </cell>
          <cell r="F441" t="str">
            <v>2294000</v>
          </cell>
        </row>
        <row r="442">
          <cell r="C442" t="str">
            <v>Nacional Química, S.A.</v>
          </cell>
        </row>
        <row r="443">
          <cell r="C443" t="str">
            <v>OPTIMA COMPAÑIA DE SEGUROS</v>
          </cell>
          <cell r="D443" t="str">
            <v>Abdiel Teran Della Togna</v>
          </cell>
        </row>
        <row r="444">
          <cell r="C444" t="str">
            <v>PAPELERA ISTMEÑA, S.A.</v>
          </cell>
          <cell r="D444" t="str">
            <v>Manuel Vargas</v>
          </cell>
          <cell r="E444" t="str">
            <v>manuel.s.vargas@papisa.com</v>
          </cell>
          <cell r="F444" t="str">
            <v>301-9200</v>
          </cell>
        </row>
        <row r="445">
          <cell r="C445" t="str">
            <v>Regional de Seguros, S.A:</v>
          </cell>
        </row>
        <row r="446">
          <cell r="C446" t="str">
            <v>RODOLFO MORENO Y CIA (ROMOCIA)</v>
          </cell>
          <cell r="D446" t="str">
            <v>Maria Suárez</v>
          </cell>
          <cell r="F446" t="str">
            <v>293-3100</v>
          </cell>
        </row>
        <row r="447">
          <cell r="C447" t="str">
            <v>Roma Distribution Services Corp.</v>
          </cell>
          <cell r="E447" t="str">
            <v>romamascota@gmail.com</v>
          </cell>
          <cell r="F447" t="str">
            <v>264-2950</v>
          </cell>
        </row>
        <row r="448">
          <cell r="C448" t="str">
            <v>SILABA MOTORS, S.A.</v>
          </cell>
          <cell r="E448" t="str">
            <v>rbremner@silaba.com</v>
          </cell>
          <cell r="F448" t="str">
            <v>366-9300 ext: 1205</v>
          </cell>
        </row>
        <row r="449">
          <cell r="C449" t="str">
            <v>SUPROSER - Suplidora de Productos y Servicios S.A.</v>
          </cell>
          <cell r="E449" t="str">
            <v>jgb@suproser.com</v>
          </cell>
          <cell r="F449" t="str">
            <v>213-2929</v>
          </cell>
        </row>
        <row r="450">
          <cell r="C450" t="str">
            <v>TORNERIA BATISTA</v>
          </cell>
          <cell r="F450" t="str">
            <v>66936580</v>
          </cell>
        </row>
        <row r="451">
          <cell r="C451" t="str">
            <v>UNILEVER DE CENTROAMERICA S.A.</v>
          </cell>
          <cell r="D451" t="str">
            <v>Denisse Castillo</v>
          </cell>
          <cell r="E451" t="str">
            <v>denisse.castillo@unilever.com</v>
          </cell>
          <cell r="F451" t="str">
            <v>220-1006</v>
          </cell>
        </row>
        <row r="452">
          <cell r="C452" t="str">
            <v>EMPAQUES DE COLON S.A.</v>
          </cell>
          <cell r="D452" t="str">
            <v>CARLOS GOMEZ</v>
          </cell>
          <cell r="E452" t="str">
            <v>ventas@ecsabox.com</v>
          </cell>
          <cell r="F452" t="str">
            <v>2043500</v>
          </cell>
        </row>
        <row r="453">
          <cell r="C453" t="str">
            <v>EMPAQUES JETFA S.A.</v>
          </cell>
          <cell r="E453" t="str">
            <v>aliciapon12@gmail.com</v>
          </cell>
        </row>
        <row r="454">
          <cell r="C454" t="str">
            <v>GREEN EMERALD BUSINESS INC.</v>
          </cell>
          <cell r="D454" t="str">
            <v>Olga Reyna</v>
          </cell>
        </row>
        <row r="455">
          <cell r="C455" t="str">
            <v>RAENCO</v>
          </cell>
        </row>
        <row r="456">
          <cell r="C456" t="str">
            <v>GALORES REFRIGERADOS S.A</v>
          </cell>
          <cell r="D456" t="str">
            <v>Rafael Rocha</v>
          </cell>
          <cell r="E456" t="str">
            <v>catherin.haboub@galorescold.com</v>
          </cell>
          <cell r="F456" t="str">
            <v>833-6350</v>
          </cell>
        </row>
        <row r="457">
          <cell r="C457" t="str">
            <v>RIGSA</v>
          </cell>
          <cell r="E457" t="str">
            <v>ncooper@rigsa.net</v>
          </cell>
          <cell r="F457" t="str">
            <v>2368005 / 2629</v>
          </cell>
        </row>
        <row r="458">
          <cell r="C458" t="str">
            <v>ACADEMIA INTERAMERICANA DE PANAMA</v>
          </cell>
          <cell r="F458" t="str">
            <v>6614-3086</v>
          </cell>
        </row>
        <row r="459">
          <cell r="C459" t="str">
            <v>ALFONSO BUSTAMANTE - VIOLETA CHONG DE BUSTAMANTE</v>
          </cell>
          <cell r="D459" t="str">
            <v>VIOLETA DEL C CHONG DE BUSTAMANTE</v>
          </cell>
          <cell r="E459" t="str">
            <v>viocar_03@hotmail.com</v>
          </cell>
        </row>
        <row r="460">
          <cell r="C460" t="str">
            <v>AMERICAN TRUCKING INC.- PANAMA DISEL POWER</v>
          </cell>
          <cell r="D460" t="str">
            <v>Liriola Tejera</v>
          </cell>
          <cell r="E460" t="str">
            <v>informacion@panamadieselpower.com</v>
          </cell>
          <cell r="F460" t="str">
            <v>221-5621</v>
          </cell>
        </row>
        <row r="461">
          <cell r="C461" t="str">
            <v>ANA TERESA ARIAS</v>
          </cell>
          <cell r="D461" t="str">
            <v>ANA TERESA ARIAS</v>
          </cell>
          <cell r="F461" t="str">
            <v>66797071</v>
          </cell>
        </row>
        <row r="462">
          <cell r="C462" t="str">
            <v>ANABELA HERRERA</v>
          </cell>
          <cell r="D462" t="str">
            <v>ANABELA HERRERA</v>
          </cell>
          <cell r="E462" t="str">
            <v>alvihevi@cwpanama.net</v>
          </cell>
          <cell r="F462" t="str">
            <v>6679 5413 Julia Rios</v>
          </cell>
        </row>
        <row r="463">
          <cell r="C463" t="str">
            <v>ANITA MONG DE NUÑEZ</v>
          </cell>
          <cell r="E463" t="str">
            <v>annie_mong@hotmail.com</v>
          </cell>
          <cell r="F463" t="str">
            <v>65041898</v>
          </cell>
        </row>
        <row r="464">
          <cell r="C464" t="str">
            <v>AS GRAPHICS,S.A</v>
          </cell>
          <cell r="D464" t="str">
            <v>DIANA RODRIGUEZ</v>
          </cell>
          <cell r="E464" t="str">
            <v>gerencia@asgraphics.net</v>
          </cell>
          <cell r="F464" t="str">
            <v>263-2474</v>
          </cell>
        </row>
        <row r="465">
          <cell r="C465" t="str">
            <v>ASSA COMPAÑIA DE SEGUROS, S.A.</v>
          </cell>
          <cell r="E465" t="str">
            <v>bgonzalez@assanet.com</v>
          </cell>
          <cell r="F465" t="str">
            <v>301-2102</v>
          </cell>
        </row>
        <row r="466">
          <cell r="C466" t="str">
            <v>AVESA S.A.</v>
          </cell>
          <cell r="D466" t="str">
            <v>AVESA S.A. AVESA S.A.</v>
          </cell>
          <cell r="E466" t="str">
            <v>avesaadm@gmail.com</v>
          </cell>
          <cell r="F466" t="str">
            <v>6718 8936</v>
          </cell>
        </row>
        <row r="467">
          <cell r="C467" t="str">
            <v>CARLOS RABAT</v>
          </cell>
        </row>
        <row r="468">
          <cell r="C468" t="str">
            <v>CELIA BARRIOS DE CUCALON</v>
          </cell>
          <cell r="E468" t="str">
            <v>cucalonbarrios@gmail.com</v>
          </cell>
          <cell r="F468" t="str">
            <v>66727111</v>
          </cell>
        </row>
        <row r="469">
          <cell r="C469" t="str">
            <v>DAVID ALEXIS BANDA GARCIA</v>
          </cell>
          <cell r="E469" t="str">
            <v>dalexis1281@hotmail.com</v>
          </cell>
          <cell r="F469" t="str">
            <v>6509-9401</v>
          </cell>
        </row>
        <row r="470">
          <cell r="C470" t="str">
            <v>DAVID COHEN SOLIS</v>
          </cell>
          <cell r="D470" t="str">
            <v>DAVID COHEN</v>
          </cell>
        </row>
        <row r="471">
          <cell r="C471" t="str">
            <v>EDU CONSULTING INC.</v>
          </cell>
          <cell r="E471" t="str">
            <v>_jose@educonsultingpa.com</v>
          </cell>
          <cell r="F471" t="str">
            <v>830-5707</v>
          </cell>
        </row>
        <row r="472">
          <cell r="C472" t="str">
            <v>ERNESTO ROUNTRI</v>
          </cell>
          <cell r="E472" t="str">
            <v>ernesto.rountri@gmail.com</v>
          </cell>
          <cell r="F472" t="str">
            <v>67341621</v>
          </cell>
        </row>
        <row r="473">
          <cell r="C473" t="str">
            <v>Esther Propirties INC.</v>
          </cell>
        </row>
        <row r="474">
          <cell r="C474" t="str">
            <v>FDU Consulting Inc.</v>
          </cell>
          <cell r="F474" t="str">
            <v>830 5707</v>
          </cell>
        </row>
        <row r="475">
          <cell r="C475" t="str">
            <v>FERNANDO JOSE BENEDITO ALBA</v>
          </cell>
          <cell r="E475" t="str">
            <v>ferbene22@gmail.com</v>
          </cell>
          <cell r="F475" t="str">
            <v>6233 2208</v>
          </cell>
        </row>
        <row r="476">
          <cell r="C476" t="str">
            <v>FERNANDO SOSA ARANGO</v>
          </cell>
        </row>
        <row r="477">
          <cell r="C477" t="str">
            <v>FRANCIA LIZETH BOCANEGRA ALEMAN</v>
          </cell>
          <cell r="F477" t="str">
            <v>62335026</v>
          </cell>
        </row>
        <row r="478">
          <cell r="C478" t="str">
            <v>FRANKLIN ORLANDO PEÑA GARCIA</v>
          </cell>
        </row>
        <row r="479">
          <cell r="C479" t="str">
            <v>FUNDACION BENEFICIARIA LEFEVRE</v>
          </cell>
          <cell r="D479" t="str">
            <v>NELLY CHAVARRIA</v>
          </cell>
          <cell r="E479" t="str">
            <v>nchavarria@grupolefevre.com</v>
          </cell>
          <cell r="F479" t="str">
            <v>390-8333</v>
          </cell>
        </row>
        <row r="480">
          <cell r="C480" t="str">
            <v>FUNDACION JOCAL</v>
          </cell>
          <cell r="E480" t="str">
            <v>meortiz13@hotmail.com</v>
          </cell>
          <cell r="F480" t="str">
            <v>3027803</v>
          </cell>
        </row>
        <row r="481">
          <cell r="C481" t="str">
            <v>FUNDACION JOSE ISAAC FABREGA</v>
          </cell>
          <cell r="D481" t="str">
            <v>Jhanel Rodriguez</v>
          </cell>
          <cell r="F481" t="str">
            <v>3016600</v>
          </cell>
        </row>
        <row r="482">
          <cell r="C482" t="str">
            <v>Fundacion Vasco Nuñez de Balboa</v>
          </cell>
          <cell r="D482" t="str">
            <v>Angelica Alcedo de Vaccaro</v>
          </cell>
          <cell r="E482" t="str">
            <v>avaccaro@balboa.edu.pa</v>
          </cell>
          <cell r="F482" t="str">
            <v>302-0034</v>
          </cell>
        </row>
        <row r="483">
          <cell r="C483" t="str">
            <v>FUNDACION VERDAD Y VIDA</v>
          </cell>
        </row>
        <row r="484">
          <cell r="C484" t="str">
            <v>FURNITURE CITY, S.A</v>
          </cell>
          <cell r="D484" t="str">
            <v>Margarita Streim</v>
          </cell>
          <cell r="E484" t="str">
            <v>contabilidad@gspanama.com</v>
          </cell>
          <cell r="F484" t="str">
            <v>236-2220</v>
          </cell>
        </row>
        <row r="485">
          <cell r="C485" t="str">
            <v>G Y H,S.A</v>
          </cell>
          <cell r="D485" t="str">
            <v>GLENDA VANESSA GENTILE</v>
          </cell>
          <cell r="E485" t="str">
            <v>vqhetti.luisa@hotmail.com</v>
          </cell>
          <cell r="F485" t="str">
            <v>394-3710</v>
          </cell>
        </row>
        <row r="486">
          <cell r="C486" t="str">
            <v>GABRIELA VALDES DE FERRO</v>
          </cell>
          <cell r="E486" t="str">
            <v>gabriela@segufersa.com</v>
          </cell>
          <cell r="F486" t="str">
            <v>6676 8589</v>
          </cell>
        </row>
        <row r="487">
          <cell r="C487" t="str">
            <v>Galindo Arías &amp; López</v>
          </cell>
          <cell r="D487" t="str">
            <v>Kathia González</v>
          </cell>
          <cell r="E487" t="str">
            <v>kgonzalez@gala.com.pa</v>
          </cell>
          <cell r="F487" t="str">
            <v>303-0303</v>
          </cell>
        </row>
        <row r="488">
          <cell r="C488" t="str">
            <v>GENTILE - G &amp; H. S.A.</v>
          </cell>
        </row>
        <row r="489">
          <cell r="C489" t="str">
            <v>GIOVANNI ANTONIO SPIRITO MADURO</v>
          </cell>
          <cell r="E489" t="str">
            <v>gspiritom@gmail.com</v>
          </cell>
          <cell r="F489" t="str">
            <v>391-1692 / 6616-0709</v>
          </cell>
        </row>
        <row r="490">
          <cell r="C490" t="str">
            <v>GIOVANNI ANTONIO SPIRITU GORDON</v>
          </cell>
        </row>
        <row r="491">
          <cell r="C491" t="str">
            <v>GRAND BAY HOLDING SERVICES, CORP</v>
          </cell>
          <cell r="E491" t="str">
            <v>alexandre.patte@grandbay-corp.com</v>
          </cell>
          <cell r="F491" t="str">
            <v>302?8295 EXT 5110?5117</v>
          </cell>
        </row>
        <row r="492">
          <cell r="C492" t="str">
            <v>Ideas Claras</v>
          </cell>
        </row>
        <row r="493">
          <cell r="C493" t="str">
            <v>INCAPITAL FINANCIERA</v>
          </cell>
          <cell r="F493" t="str">
            <v>398 3381</v>
          </cell>
        </row>
        <row r="494">
          <cell r="C494" t="str">
            <v>INDUSTRIAS ECLIPSE</v>
          </cell>
          <cell r="D494" t="str">
            <v>ROBERTO RICHA FABREGA</v>
          </cell>
          <cell r="E494" t="str">
            <v>eclipse@industriaseclipse.com</v>
          </cell>
          <cell r="F494" t="str">
            <v>233-0917</v>
          </cell>
        </row>
        <row r="495">
          <cell r="C495" t="str">
            <v>INMOBILIARIA RICHA</v>
          </cell>
          <cell r="D495" t="str">
            <v>ROBERTO RICHA FABREGA</v>
          </cell>
          <cell r="E495" t="str">
            <v>eclipse@industriaseclipse.com</v>
          </cell>
          <cell r="F495" t="str">
            <v>233-0917</v>
          </cell>
        </row>
        <row r="496">
          <cell r="C496" t="str">
            <v>INVERTIS SECURITIES</v>
          </cell>
          <cell r="E496" t="str">
            <v>info.clientes@invertissecurities.com</v>
          </cell>
          <cell r="F496" t="str">
            <v>223-2323</v>
          </cell>
        </row>
        <row r="497">
          <cell r="C497" t="str">
            <v>Isabella Perez Balladares de Pretel</v>
          </cell>
        </row>
        <row r="498">
          <cell r="C498" t="str">
            <v>Ithiel Roberto Eisenmann Jr. o Maria Eugenia Vallarino</v>
          </cell>
          <cell r="E498" t="str">
            <v>mevde1@gmail.com</v>
          </cell>
          <cell r="F498" t="str">
            <v>6670-9936</v>
          </cell>
        </row>
        <row r="499">
          <cell r="C499" t="str">
            <v>JAGUAR DE PANAMA</v>
          </cell>
          <cell r="F499" t="str">
            <v>300-6350</v>
          </cell>
        </row>
        <row r="500">
          <cell r="C500" t="str">
            <v>JIMFOR, S.A.</v>
          </cell>
          <cell r="D500" t="str">
            <v>Omayra Rodriguez</v>
          </cell>
          <cell r="E500" t="str">
            <v>omayra@jimfor.com</v>
          </cell>
        </row>
        <row r="501">
          <cell r="C501" t="str">
            <v>Jose Sobrino</v>
          </cell>
          <cell r="F501" t="str">
            <v>66127535</v>
          </cell>
        </row>
        <row r="502">
          <cell r="C502" t="str">
            <v>JULIA HERRERA - ANABELLA HERRERA</v>
          </cell>
          <cell r="D502" t="str">
            <v>JULIA RIOS DE HERRERA</v>
          </cell>
          <cell r="E502" t="str">
            <v>alvihevi@cwpanama.net</v>
          </cell>
        </row>
        <row r="503">
          <cell r="C503" t="str">
            <v>KENEALLY INTERNATIONAL FOUNDATION  </v>
          </cell>
        </row>
        <row r="504">
          <cell r="C504" t="str">
            <v>Manuel Macias Amaya</v>
          </cell>
          <cell r="F504" t="str">
            <v>6282-6089</v>
          </cell>
        </row>
        <row r="505">
          <cell r="C505" t="str">
            <v>Marcos Justine</v>
          </cell>
        </row>
        <row r="506">
          <cell r="C506" t="str">
            <v>MARTIN ARIAS</v>
          </cell>
          <cell r="D506" t="str">
            <v>Martin Arias</v>
          </cell>
          <cell r="F506" t="str">
            <v>6291 0147</v>
          </cell>
        </row>
        <row r="507">
          <cell r="C507" t="str">
            <v>MERIDIAN CORREDORES DE REASEGUROS S.A.</v>
          </cell>
          <cell r="F507" t="str">
            <v>NO HAY</v>
          </cell>
        </row>
        <row r="508">
          <cell r="C508" t="str">
            <v>MULTIMODAL LOGISTICS Z.L CORP</v>
          </cell>
          <cell r="D508" t="str">
            <v>DAVID ALVAREZ</v>
          </cell>
          <cell r="E508" t="str">
            <v>gerenciamultimodal@mlc.com.pa</v>
          </cell>
          <cell r="F508" t="str">
            <v>366-9500</v>
          </cell>
        </row>
        <row r="509">
          <cell r="C509" t="str">
            <v>Nippon Koei Lac Inc.</v>
          </cell>
          <cell r="D509" t="str">
            <v>Sonia Rabat</v>
          </cell>
          <cell r="E509" t="str">
            <v>sonia.rabat@nklac.com</v>
          </cell>
        </row>
        <row r="510">
          <cell r="C510" t="str">
            <v>OFIDEPOSITOS CINCUENTENARIO, S.A - GRUPO CIFA</v>
          </cell>
          <cell r="F510" t="str">
            <v>3967421</v>
          </cell>
        </row>
        <row r="511">
          <cell r="C511" t="str">
            <v>ORDOÑEZ Y PEÑALBA</v>
          </cell>
          <cell r="D511" t="str">
            <v>Brenda Ordoñez</v>
          </cell>
          <cell r="F511" t="str">
            <v>69496067</v>
          </cell>
        </row>
        <row r="512">
          <cell r="C512" t="str">
            <v>PARROQUIA SAN LUCAS EVANGELISTA</v>
          </cell>
          <cell r="F512" t="str">
            <v>271 4588</v>
          </cell>
        </row>
        <row r="513">
          <cell r="C513" t="str">
            <v>PATRICIA GARCIA (JJ GARCIA)</v>
          </cell>
          <cell r="D513" t="str">
            <v>JUAN JOSE GARCIA</v>
          </cell>
          <cell r="E513" t="str">
            <v>calicia@levapan.net</v>
          </cell>
        </row>
        <row r="514">
          <cell r="C514" t="str">
            <v>RAYCO, S.A.</v>
          </cell>
          <cell r="D514" t="str">
            <v>Ramon De Ycaza</v>
          </cell>
          <cell r="E514" t="str">
            <v>raycozl@cwpanama.net</v>
          </cell>
        </row>
        <row r="515">
          <cell r="C515" t="str">
            <v>RITA ESTELLA BERNAL VERNAZA</v>
          </cell>
          <cell r="F515" t="str">
            <v>6675 6527</v>
          </cell>
        </row>
        <row r="516">
          <cell r="C516" t="str">
            <v>ROBERTO MOTTA</v>
          </cell>
          <cell r="D516" t="str">
            <v>Roberto Motta</v>
          </cell>
          <cell r="F516" t="str">
            <v>6612-2813</v>
          </cell>
        </row>
        <row r="517">
          <cell r="C517" t="str">
            <v>RODOLFO EDUARDO ICAZA CLARE</v>
          </cell>
          <cell r="E517" t="str">
            <v>rodolfo@ricaza.net</v>
          </cell>
          <cell r="F517" t="str">
            <v>6676-6409</v>
          </cell>
        </row>
        <row r="518">
          <cell r="C518" t="str">
            <v>Rodrigo Cardoze Heilbron/ FUNDACION JOCAL</v>
          </cell>
        </row>
        <row r="519">
          <cell r="C519" t="str">
            <v>SBA TORRES PANAMÁ, S.A.</v>
          </cell>
          <cell r="E519" t="str">
            <v>gdominguez@sbasite.com</v>
          </cell>
          <cell r="F519" t="str">
            <v>396-52 30</v>
          </cell>
        </row>
        <row r="520">
          <cell r="C520" t="str">
            <v>SERGIO SOLIS DIAZ</v>
          </cell>
          <cell r="D520" t="str">
            <v>SERGIO TULIO SOLIZ DIAZ</v>
          </cell>
          <cell r="F520" t="str">
            <v>6675-7391 / 6614-2478</v>
          </cell>
        </row>
        <row r="521">
          <cell r="C521" t="str">
            <v>SOCIEDAD DE ESPOSAS DE BANQUEROS</v>
          </cell>
          <cell r="D521" t="str">
            <v>MARTA DE ROCHE</v>
          </cell>
          <cell r="E521" t="str">
            <v>derochemf@gmail.com</v>
          </cell>
          <cell r="F521" t="str">
            <v>271-4710 / 66127423</v>
          </cell>
        </row>
        <row r="522">
          <cell r="C522" t="str">
            <v>SUSANA ISABEL VALLARINO COX</v>
          </cell>
          <cell r="E522" t="str">
            <v>svallarino@gmail.com</v>
          </cell>
          <cell r="F522" t="str">
            <v>6613 3406</v>
          </cell>
        </row>
        <row r="523">
          <cell r="C523" t="str">
            <v>TERESITA GRACIELA GUARDIA DE FABREGA</v>
          </cell>
        </row>
        <row r="524">
          <cell r="C524" t="str">
            <v>TOCUMEN COMERCIAL PARK</v>
          </cell>
        </row>
        <row r="525">
          <cell r="C525" t="str">
            <v>TUTI HOLDINGS CORP.</v>
          </cell>
          <cell r="F525" t="str">
            <v>223 5562 Sra. Rabat</v>
          </cell>
        </row>
        <row r="526">
          <cell r="C526" t="str">
            <v>UBS Asesores S.A:</v>
          </cell>
          <cell r="D526" t="str">
            <v>Alberto Fadul</v>
          </cell>
          <cell r="F526" t="str">
            <v>206 7049</v>
          </cell>
        </row>
        <row r="527">
          <cell r="C527" t="str">
            <v>UNIBANK, S.A.</v>
          </cell>
          <cell r="D527" t="str">
            <v>Christy Barsallo</v>
          </cell>
          <cell r="F527" t="str">
            <v>2976000</v>
          </cell>
        </row>
        <row r="528">
          <cell r="C528" t="str">
            <v>VEL HOLDING S.A</v>
          </cell>
          <cell r="D528" t="str">
            <v>FREDDY VELIZ</v>
          </cell>
          <cell r="E528" t="str">
            <v>velh2009@gmail.com</v>
          </cell>
          <cell r="F528" t="str">
            <v>209-3082</v>
          </cell>
        </row>
        <row r="529">
          <cell r="C529" t="str">
            <v>VIRGINIA MARIA ENDARA DE BLANCO</v>
          </cell>
          <cell r="F529" t="str">
            <v>6617 4571 tel. de Manolo</v>
          </cell>
        </row>
        <row r="530">
          <cell r="C530" t="str">
            <v>VOLDEX</v>
          </cell>
          <cell r="D530" t="str">
            <v>Alexandre Singer</v>
          </cell>
          <cell r="E530" t="str">
            <v>alex@voldex.net</v>
          </cell>
          <cell r="F530" t="str">
            <v>66348014</v>
          </cell>
        </row>
        <row r="531">
          <cell r="C531" t="str">
            <v>Wilson Teles Marconi</v>
          </cell>
        </row>
        <row r="532">
          <cell r="C532" t="str">
            <v>YARAI SAMANIEGO ORDOÑEZ</v>
          </cell>
          <cell r="E532" t="str">
            <v>ysamaniego27@hotmail.com</v>
          </cell>
          <cell r="F532" t="str">
            <v>6651 7762</v>
          </cell>
        </row>
        <row r="533">
          <cell r="C533" t="str">
            <v>DHL PANAMA, S.A.</v>
          </cell>
          <cell r="D533" t="str">
            <v>Gilberto Castro</v>
          </cell>
          <cell r="E533" t="str">
            <v>gilberto.castro@dhl.com</v>
          </cell>
          <cell r="F533" t="str">
            <v>6679-2043</v>
          </cell>
        </row>
        <row r="534">
          <cell r="C534" t="str">
            <v>OLYMPIA BIENES Y RAICES, S.A.</v>
          </cell>
          <cell r="E534" t="str">
            <v>baguilar@masespacios.net</v>
          </cell>
        </row>
        <row r="535">
          <cell r="C535" t="str">
            <v>ALFA OMEGA IMPRESORES</v>
          </cell>
          <cell r="E535" t="str">
            <v>ventas@aoimpresores.com</v>
          </cell>
          <cell r="F535" t="str">
            <v>224-2811</v>
          </cell>
        </row>
        <row r="536">
          <cell r="C536" t="str">
            <v>DOFERRA S.A.</v>
          </cell>
        </row>
        <row r="537">
          <cell r="C537" t="str">
            <v>HARINERA ORO DEL NORTE, S.A.</v>
          </cell>
          <cell r="D537" t="str">
            <v>Eric Alvarado</v>
          </cell>
          <cell r="E537" t="str">
            <v>eric-f26@hotmail.com</v>
          </cell>
          <cell r="F537" t="str">
            <v>998-5401</v>
          </cell>
        </row>
        <row r="538">
          <cell r="C538" t="str">
            <v>I. H. INTERNACIONAL, S.A.</v>
          </cell>
          <cell r="E538" t="str">
            <v>vivi@ihint.com</v>
          </cell>
          <cell r="F538" t="str">
            <v>66707665</v>
          </cell>
        </row>
        <row r="539">
          <cell r="C539" t="str">
            <v>JW BROTHERS</v>
          </cell>
          <cell r="D539" t="str">
            <v>JOSE MANUEL HERRERA</v>
          </cell>
        </row>
        <row r="540">
          <cell r="C540" t="str">
            <v>ORLYN, S.A (TERPEL PANAMA)</v>
          </cell>
          <cell r="D540" t="str">
            <v>Mayra Albornoz</v>
          </cell>
          <cell r="E540" t="str">
            <v>movilidad.corporativ@terpel.com</v>
          </cell>
          <cell r="F540" t="str">
            <v>321-0350 Ext. 8664</v>
          </cell>
        </row>
        <row r="541">
          <cell r="C541" t="str">
            <v>SERVICIOS DE HIGIENE ESPECIALIZADOS, S.A.</v>
          </cell>
          <cell r="F541" t="str">
            <v>2330770 EXT. 120</v>
          </cell>
        </row>
        <row r="542">
          <cell r="C542" t="str">
            <v>SIGN SYSTEMS S.A.</v>
          </cell>
          <cell r="D542" t="str">
            <v>LUIS BATISTA</v>
          </cell>
          <cell r="E542" t="str">
            <v>lbatista@signsyst.com</v>
          </cell>
          <cell r="F542" t="str">
            <v>2714144-43</v>
          </cell>
        </row>
        <row r="543">
          <cell r="C543" t="str">
            <v>TRASA THERMO KING DE PANAMA</v>
          </cell>
          <cell r="E543" t="str">
            <v>jgarcia@tkpanama.com</v>
          </cell>
          <cell r="F543" t="str">
            <v>2615961</v>
          </cell>
        </row>
        <row r="544">
          <cell r="C544" t="str">
            <v>T-SHIRTS INTERAMERICANA, S.A.</v>
          </cell>
          <cell r="D544" t="str">
            <v>ENRIQUE ORILLAC</v>
          </cell>
          <cell r="E544" t="str">
            <v>tshirts@t-shirts-pty.com</v>
          </cell>
          <cell r="F544" t="str">
            <v>274-7300</v>
          </cell>
        </row>
        <row r="545">
          <cell r="C545" t="str">
            <v>ASAP TMP</v>
          </cell>
          <cell r="D545" t="str">
            <v>Yasmirie Castañeda</v>
          </cell>
          <cell r="F545" t="str">
            <v>8307013</v>
          </cell>
        </row>
        <row r="546">
          <cell r="C546" t="str">
            <v>B12 PUBLICIDAD, S.A.</v>
          </cell>
        </row>
        <row r="547">
          <cell r="C547" t="str">
            <v>BAHIA AZUL INTERNACIONAL, S.A.</v>
          </cell>
          <cell r="F547" t="str">
            <v>6613 1681</v>
          </cell>
        </row>
        <row r="548">
          <cell r="C548" t="str">
            <v>BDO OUTSOURCING</v>
          </cell>
          <cell r="D548" t="str">
            <v>ALFONSO BUSTAMANTE</v>
          </cell>
          <cell r="F548" t="str">
            <v>2799700</v>
          </cell>
        </row>
        <row r="549">
          <cell r="C549" t="str">
            <v>BJ SERVICES</v>
          </cell>
          <cell r="D549" t="str">
            <v>Priscille Avila</v>
          </cell>
          <cell r="E549" t="str">
            <v>ops@bjservicespty.com</v>
          </cell>
          <cell r="F549" t="str">
            <v>6430-4245</v>
          </cell>
        </row>
        <row r="550">
          <cell r="C550" t="str">
            <v>CARGA INTELIGENTE</v>
          </cell>
        </row>
        <row r="551">
          <cell r="C551" t="str">
            <v>Cold Truck</v>
          </cell>
        </row>
        <row r="552">
          <cell r="C552" t="str">
            <v>CPSH, S.A</v>
          </cell>
          <cell r="D552" t="str">
            <v>Mark Hanly</v>
          </cell>
          <cell r="F552" t="str">
            <v>398-7212</v>
          </cell>
        </row>
        <row r="553">
          <cell r="C553" t="str">
            <v>ELECTROMECANICA INDUSTRIAL</v>
          </cell>
          <cell r="D553" t="str">
            <v>AMET ALEXIS CARRERA VELIZ</v>
          </cell>
          <cell r="E553" t="str">
            <v>crownametservice@hotmail.com</v>
          </cell>
          <cell r="F553" t="str">
            <v>238-9727</v>
          </cell>
        </row>
        <row r="554">
          <cell r="C554" t="str">
            <v>FRESCOMAR, S.A</v>
          </cell>
          <cell r="F554" t="str">
            <v>66131681</v>
          </cell>
        </row>
        <row r="555">
          <cell r="C555" t="str">
            <v>FRIO COMERCIAL</v>
          </cell>
          <cell r="E555" t="str">
            <v>angelfriocomercial@lvradvisor.com</v>
          </cell>
          <cell r="F555" t="str">
            <v>2668871</v>
          </cell>
        </row>
        <row r="556">
          <cell r="C556" t="str">
            <v>FRUIT AND FISH EXPORT, A.A.</v>
          </cell>
          <cell r="F556" t="str">
            <v>6613 1681</v>
          </cell>
        </row>
        <row r="557">
          <cell r="C557" t="str">
            <v>FUMIGADORA CONTROL ECOLOGICO DE PLAGAS, S.A</v>
          </cell>
          <cell r="D557" t="str">
            <v>ADRIANA ESPINOSA DE ARIAS</v>
          </cell>
          <cell r="E557" t="str">
            <v>controlecodeplagas@cwpanama.net</v>
          </cell>
          <cell r="F557" t="str">
            <v>221-3954</v>
          </cell>
        </row>
        <row r="558">
          <cell r="C558" t="str">
            <v>FUMIPEST</v>
          </cell>
          <cell r="E558" t="str">
            <v>zarkoradonjic@fumipestpanama.com</v>
          </cell>
          <cell r="F558" t="str">
            <v>3904555</v>
          </cell>
        </row>
        <row r="559">
          <cell r="C559" t="str">
            <v>GALORES LOGISTICA, S.A.</v>
          </cell>
        </row>
        <row r="560">
          <cell r="C560" t="str">
            <v>GRUPO HAGUS</v>
          </cell>
          <cell r="E560" t="str">
            <v>ventas@grupohagus.com</v>
          </cell>
          <cell r="F560" t="str">
            <v>300-4600 /02</v>
          </cell>
        </row>
        <row r="561">
          <cell r="C561" t="str">
            <v>HOPSA, S.A.</v>
          </cell>
        </row>
        <row r="562">
          <cell r="C562" t="str">
            <v>Mark Hanly</v>
          </cell>
        </row>
        <row r="563">
          <cell r="C563" t="str">
            <v>Medcom</v>
          </cell>
        </row>
        <row r="564">
          <cell r="C564" t="str">
            <v>NOW STUDIO S.A.</v>
          </cell>
          <cell r="D564" t="str">
            <v>Juan Andrade</v>
          </cell>
          <cell r="E564" t="str">
            <v>juan@caglobalpanama.com</v>
          </cell>
          <cell r="F564" t="str">
            <v>6613-6252</v>
          </cell>
        </row>
        <row r="565">
          <cell r="C565" t="str">
            <v>NUTRISERVI PANAMA S.A</v>
          </cell>
          <cell r="E565" t="str">
            <v>andreina.carrizo@nutriservipanama.net</v>
          </cell>
          <cell r="F565" t="str">
            <v>6319-9134</v>
          </cell>
        </row>
        <row r="566">
          <cell r="C566" t="str">
            <v>PANAMA TRUCKING CORPORATION</v>
          </cell>
          <cell r="F566" t="str">
            <v>6112-7392</v>
          </cell>
        </row>
        <row r="567">
          <cell r="C567" t="str">
            <v>PanaTruck</v>
          </cell>
        </row>
        <row r="568">
          <cell r="C568" t="str">
            <v>PURIFICADORA DE AGUA, S.A</v>
          </cell>
          <cell r="D568" t="str">
            <v>FELIX ANTONIO GUEVARA ALVARADO</v>
          </cell>
          <cell r="E568" t="str">
            <v>contabilidad@aquatriopanama.com</v>
          </cell>
        </row>
        <row r="569">
          <cell r="C569" t="str">
            <v>SEGURIDAD UNIDA S.A</v>
          </cell>
          <cell r="D569" t="str">
            <v>ALBERTO ARIAS</v>
          </cell>
          <cell r="E569" t="str">
            <v>operaciones@seguridadunida.com</v>
          </cell>
          <cell r="F569" t="str">
            <v>224-8499</v>
          </cell>
        </row>
        <row r="570">
          <cell r="C570" t="str">
            <v>Smart Storage, S.A - SMART LOGISTIC</v>
          </cell>
          <cell r="D570" t="str">
            <v>Griselle Sanchez</v>
          </cell>
          <cell r="E570" t="str">
            <v>griselle@smartlogistics.com.pa</v>
          </cell>
          <cell r="F570" t="str">
            <v>292-4549</v>
          </cell>
        </row>
        <row r="571">
          <cell r="C571" t="str">
            <v>Super Pisos</v>
          </cell>
        </row>
        <row r="572">
          <cell r="C572" t="str">
            <v>TOCUMEN LOGISTIC CENTER</v>
          </cell>
          <cell r="D572" t="str">
            <v>Jose Santos Motta Latorraca</v>
          </cell>
        </row>
        <row r="573">
          <cell r="C573" t="str">
            <v>Tocumen Logistic Services</v>
          </cell>
        </row>
        <row r="574">
          <cell r="C574" t="str">
            <v>TOMASA, S.A.</v>
          </cell>
          <cell r="E574" t="str">
            <v>gerenciatomasa@gmail.com</v>
          </cell>
          <cell r="F574" t="str">
            <v>260-3605 / 6676 ?6801</v>
          </cell>
        </row>
        <row r="575">
          <cell r="C575" t="str">
            <v>Top Logistic s</v>
          </cell>
        </row>
        <row r="576">
          <cell r="C576" t="str">
            <v>TOPLOGISTICS INC.</v>
          </cell>
        </row>
        <row r="577">
          <cell r="C577" t="str">
            <v>GBM</v>
          </cell>
        </row>
        <row r="578">
          <cell r="C578" t="str">
            <v>Banco de Alimentos Panama</v>
          </cell>
          <cell r="F578" t="str">
            <v>+507 292-0162</v>
          </cell>
        </row>
        <row r="579">
          <cell r="C579" t="str">
            <v>ROMANAP</v>
          </cell>
        </row>
        <row r="580">
          <cell r="C580" t="str">
            <v>----</v>
          </cell>
        </row>
        <row r="581">
          <cell r="C581" t="str">
            <v>-----</v>
          </cell>
        </row>
        <row r="582">
          <cell r="C582" t="str">
            <v>-------</v>
          </cell>
          <cell r="E582" t="str">
            <v>distral@distralpty.com</v>
          </cell>
          <cell r="F582" t="str">
            <v>830-5117 / 830-5453</v>
          </cell>
        </row>
        <row r="583">
          <cell r="C583" t="str">
            <v>---------</v>
          </cell>
        </row>
        <row r="584">
          <cell r="C584" t="str">
            <v>----------</v>
          </cell>
          <cell r="E584" t="str">
            <v>ventas@mundofino.com</v>
          </cell>
          <cell r="F584" t="str">
            <v>262-5710</v>
          </cell>
        </row>
        <row r="585">
          <cell r="C585" t="str">
            <v>-----------</v>
          </cell>
          <cell r="F585" t="str">
            <v>000000000</v>
          </cell>
        </row>
        <row r="586">
          <cell r="C586" t="str">
            <v>-------------</v>
          </cell>
        </row>
        <row r="587">
          <cell r="C587" t="str">
            <v>--------------</v>
          </cell>
          <cell r="D587" t="str">
            <v>Frances Wong</v>
          </cell>
        </row>
        <row r="588">
          <cell r="C588" t="str">
            <v>----------------</v>
          </cell>
          <cell r="D588" t="str">
            <v>Marisol Vallarino</v>
          </cell>
          <cell r="E588" t="str">
            <v>mvallarino@arrocha.com</v>
          </cell>
          <cell r="F588" t="str">
            <v>279-9000</v>
          </cell>
        </row>
        <row r="589">
          <cell r="C589" t="str">
            <v>----------------</v>
          </cell>
          <cell r="D589" t="str">
            <v>Sandra Rodriguez Gracía</v>
          </cell>
          <cell r="F589" t="str">
            <v>290-9150</v>
          </cell>
        </row>
        <row r="590">
          <cell r="C590" t="str">
            <v>----------------</v>
          </cell>
          <cell r="F590" t="str">
            <v>271-5384</v>
          </cell>
        </row>
        <row r="591">
          <cell r="C591" t="str">
            <v>------------------</v>
          </cell>
        </row>
        <row r="592">
          <cell r="C592" t="str">
            <v>*****DISTRIBUIDORA SEVILLA, S.A**** cerro</v>
          </cell>
          <cell r="D592" t="str">
            <v>Ariel Sevilla</v>
          </cell>
          <cell r="E592" t="str">
            <v>info@vilmoninternacional.com</v>
          </cell>
          <cell r="F592" t="str">
            <v>6458-2806</v>
          </cell>
        </row>
        <row r="593">
          <cell r="C593" t="str">
            <v>****TAGAROPULOS** CERRO EMPRESA</v>
          </cell>
          <cell r="D593" t="str">
            <v>SANDRAELI SALCEDO</v>
          </cell>
          <cell r="E593" t="str">
            <v>sandraeli@tagaropulos.com</v>
          </cell>
          <cell r="F593" t="str">
            <v>350-0317/16/40</v>
          </cell>
        </row>
        <row r="594">
          <cell r="C594" t="str">
            <v>AgroCarnes El Productor</v>
          </cell>
          <cell r="F594" t="str">
            <v>64608942</v>
          </cell>
        </row>
        <row r="595">
          <cell r="C595" t="str">
            <v>AJIMPEX</v>
          </cell>
          <cell r="E595" t="str">
            <v>ajimpex@ajimpex.com</v>
          </cell>
          <cell r="F595" t="str">
            <v>399-6275</v>
          </cell>
        </row>
        <row r="596">
          <cell r="C596" t="str">
            <v>Big Brands Importadores, S.A</v>
          </cell>
          <cell r="D596" t="str">
            <v>Yeremy Moreno</v>
          </cell>
          <cell r="E596" t="str">
            <v>ymoreno@bigbrandspanama.com</v>
          </cell>
          <cell r="F596" t="str">
            <v>201-0088</v>
          </cell>
        </row>
        <row r="597">
          <cell r="C597" t="str">
            <v>CALOX -- ESTA COMPAÑIA LA TIENE DICARINA</v>
          </cell>
          <cell r="D597" t="str">
            <v>Noris Jayes</v>
          </cell>
          <cell r="E597" t="str">
            <v>julloa@calox.com.pa</v>
          </cell>
          <cell r="F597" t="str">
            <v>3603600</v>
          </cell>
        </row>
        <row r="598">
          <cell r="C598" t="str">
            <v>CARIBBEAN FISHING TRADING, S.A.</v>
          </cell>
          <cell r="F598" t="str">
            <v>269 6606</v>
          </cell>
        </row>
        <row r="599">
          <cell r="C599" t="str">
            <v>CEREALES NUTRICIONALES ESPECIALIZADOS</v>
          </cell>
          <cell r="D599" t="str">
            <v>Kimberly Gonzalez</v>
          </cell>
        </row>
        <row r="600">
          <cell r="C600" t="str">
            <v>DAMPRAX INTERNATIONAL CORP</v>
          </cell>
          <cell r="D600" t="str">
            <v>DUBRASKA SUAREZ</v>
          </cell>
          <cell r="E600" t="str">
            <v>administracion@dampraxinternational.com</v>
          </cell>
          <cell r="F600" t="str">
            <v>391-9985/ 86</v>
          </cell>
        </row>
        <row r="601">
          <cell r="C601" t="str">
            <v>DINANT PANAMA S.A.**** YA CERRO ESTA EMPRESA ****</v>
          </cell>
          <cell r="D601" t="str">
            <v>EDGARDO ARIAS</v>
          </cell>
          <cell r="E601" t="str">
            <v>edgardo.arias@dinant.com</v>
          </cell>
          <cell r="F601" t="str">
            <v>2664809</v>
          </cell>
        </row>
        <row r="602">
          <cell r="C602" t="str">
            <v>DISTRIBUIDORA ELEGANTE</v>
          </cell>
          <cell r="F602" t="str">
            <v>2095760</v>
          </cell>
        </row>
        <row r="603">
          <cell r="C603" t="str">
            <v>DISTRIBUIDORA GENERAL DE PANAMA</v>
          </cell>
          <cell r="F603" t="str">
            <v>344 1900</v>
          </cell>
        </row>
        <row r="604">
          <cell r="C604" t="str">
            <v>DISTRIBUIDORA HNOS. GAGO - LA CASA DEL JAMON</v>
          </cell>
          <cell r="F604" t="str">
            <v>69807444</v>
          </cell>
        </row>
        <row r="605">
          <cell r="C605" t="str">
            <v>DISTRIBUIDORA SERGAVEL</v>
          </cell>
          <cell r="F605" t="str">
            <v>2290367</v>
          </cell>
        </row>
        <row r="606">
          <cell r="C606" t="str">
            <v>DISTRIBUIDORA SIEMA, S.A.- DUPLICADO</v>
          </cell>
          <cell r="E606" t="str">
            <v>info@dsiema.com</v>
          </cell>
          <cell r="F606" t="str">
            <v>310 0822</v>
          </cell>
        </row>
        <row r="607">
          <cell r="C607" t="str">
            <v>DISTRIBUIDORA UNICO</v>
          </cell>
          <cell r="E607" t="str">
            <v>lospueblos@distribuidoraunico.com</v>
          </cell>
          <cell r="F607" t="str">
            <v>2178647</v>
          </cell>
        </row>
        <row r="608">
          <cell r="C608" t="str">
            <v>DISTRIBUIDORA VERDEAZUL</v>
          </cell>
          <cell r="F608" t="str">
            <v>221 5999</v>
          </cell>
        </row>
        <row r="609">
          <cell r="C609" t="str">
            <v>DISTRIBUIDORA VIKINGO</v>
          </cell>
          <cell r="F609" t="str">
            <v>396 7112</v>
          </cell>
        </row>
        <row r="610">
          <cell r="C610" t="str">
            <v>DONACIONES VARIAS</v>
          </cell>
          <cell r="D610" t="str">
            <v>MARY Y LILY MARY Y LILY</v>
          </cell>
          <cell r="E610" t="str">
            <v>donaciones@bancodealimentospanama.com</v>
          </cell>
          <cell r="F610" t="str">
            <v>292-0162</v>
          </cell>
        </row>
        <row r="611">
          <cell r="C611" t="str">
            <v>Edenburg Household</v>
          </cell>
          <cell r="D611" t="str">
            <v>Esteban Edebnburg</v>
          </cell>
        </row>
        <row r="612">
          <cell r="C612" t="str">
            <v>EMPACADORA ALIMENTICIA</v>
          </cell>
          <cell r="F612" t="str">
            <v>251 0144</v>
          </cell>
        </row>
        <row r="613">
          <cell r="C613" t="str">
            <v>FELIPE MOTTA - AGUADULCE</v>
          </cell>
        </row>
        <row r="614">
          <cell r="C614" t="str">
            <v>FELIPE MOTTA - DAVID</v>
          </cell>
          <cell r="F614" t="str">
            <v>DAVID</v>
          </cell>
        </row>
        <row r="615">
          <cell r="C615" t="str">
            <v>GIESA GROUP, S.A</v>
          </cell>
          <cell r="D615" t="str">
            <v>FERNANDO JOSE VALERA RIVAS</v>
          </cell>
          <cell r="E615" t="str">
            <v>giesa@giesagroup.com</v>
          </cell>
          <cell r="F615" t="str">
            <v>392-5290/91</v>
          </cell>
        </row>
        <row r="616">
          <cell r="C616" t="str">
            <v>HERMANOS ZAKAY</v>
          </cell>
          <cell r="F616" t="str">
            <v>236 1460</v>
          </cell>
        </row>
        <row r="617">
          <cell r="C617" t="str">
            <v>Herrera Household</v>
          </cell>
          <cell r="D617" t="str">
            <v>Luis Herrera</v>
          </cell>
          <cell r="E617" t="str">
            <v>gerencia@mobilemail.net</v>
          </cell>
        </row>
        <row r="618">
          <cell r="C618" t="str">
            <v>IMPORTADORA Y DISTRIBUIDORA. DIN</v>
          </cell>
          <cell r="F618" t="str">
            <v>209-3006</v>
          </cell>
        </row>
        <row r="619">
          <cell r="C619" t="str">
            <v>INDUSTRIAS GRAJASA, S.A.</v>
          </cell>
          <cell r="F619" t="str">
            <v> 6674-8278</v>
          </cell>
        </row>
        <row r="620">
          <cell r="C620" t="str">
            <v>INDUSTRIAS PRIMA PANAMA</v>
          </cell>
          <cell r="F620" t="str">
            <v>261-3138</v>
          </cell>
        </row>
        <row r="621">
          <cell r="C621" t="str">
            <v>INDUSTRIAS Y PRODUCTOS EL ANTOJO</v>
          </cell>
          <cell r="F621" t="str">
            <v>261-7700</v>
          </cell>
        </row>
        <row r="622">
          <cell r="C622" t="str">
            <v>Javier Oteiza</v>
          </cell>
          <cell r="D622" t="str">
            <v>Javier Oteiza</v>
          </cell>
        </row>
        <row r="623">
          <cell r="C623" t="str">
            <v>PANAUSA</v>
          </cell>
          <cell r="F623" t="str">
            <v>388 6124</v>
          </cell>
        </row>
        <row r="624">
          <cell r="C624" t="str">
            <v>Productos Pime, S.A:</v>
          </cell>
          <cell r="F624" t="str">
            <v>295 2706</v>
          </cell>
        </row>
        <row r="625">
          <cell r="C625" t="str">
            <v>Promolatin S.A.</v>
          </cell>
          <cell r="D625" t="str">
            <v>Claret Valle</v>
          </cell>
          <cell r="E625" t="str">
            <v>claret.r.valle@gmail.com</v>
          </cell>
          <cell r="F625" t="str">
            <v>+507 226-8501</v>
          </cell>
        </row>
        <row r="626">
          <cell r="C626" t="str">
            <v>RODOLFO MORENO Y CIA</v>
          </cell>
          <cell r="E626" t="str">
            <v>romcia@cwpanama.net</v>
          </cell>
          <cell r="F626" t="str">
            <v>261 7011 / 293 3100</v>
          </cell>
        </row>
        <row r="627">
          <cell r="C627" t="str">
            <v>-----------------</v>
          </cell>
          <cell r="F627" t="str">
            <v>6674 5058</v>
          </cell>
        </row>
        <row r="628">
          <cell r="C628" t="str">
            <v>----</v>
          </cell>
        </row>
        <row r="629">
          <cell r="C629" t="str">
            <v>-----</v>
          </cell>
        </row>
        <row r="630">
          <cell r="C630" t="str">
            <v>--------</v>
          </cell>
          <cell r="D630" t="str">
            <v>EYLON ISRAELY</v>
          </cell>
        </row>
        <row r="631">
          <cell r="C631" t="str">
            <v>--------</v>
          </cell>
          <cell r="F631" t="str">
            <v>271-5384</v>
          </cell>
        </row>
        <row r="632">
          <cell r="C632" t="str">
            <v>--------</v>
          </cell>
          <cell r="F632" t="str">
            <v>66757391 / 66142478 / 69194863</v>
          </cell>
        </row>
        <row r="633">
          <cell r="C633" t="str">
            <v>--------</v>
          </cell>
        </row>
        <row r="634">
          <cell r="C634" t="str">
            <v>---------</v>
          </cell>
          <cell r="D634" t="str">
            <v>ALFONSO BUSTAMANTE</v>
          </cell>
        </row>
        <row r="635">
          <cell r="C635" t="str">
            <v>---------</v>
          </cell>
          <cell r="D635" t="str">
            <v>FREDERIK OBEDIENTE</v>
          </cell>
        </row>
        <row r="636">
          <cell r="C636" t="str">
            <v>---------</v>
          </cell>
          <cell r="D636" t="str">
            <v>Lupe Mendez</v>
          </cell>
        </row>
        <row r="637">
          <cell r="C637" t="str">
            <v>---------</v>
          </cell>
          <cell r="F637" t="str">
            <v>6070-9936</v>
          </cell>
        </row>
        <row r="638">
          <cell r="C638" t="str">
            <v>---------</v>
          </cell>
        </row>
        <row r="639">
          <cell r="C639" t="str">
            <v>----------</v>
          </cell>
          <cell r="D639" t="str">
            <v>ANABELLA HERRERA</v>
          </cell>
        </row>
        <row r="640">
          <cell r="C640" t="str">
            <v>----------</v>
          </cell>
          <cell r="F640" t="str">
            <v>0000</v>
          </cell>
        </row>
        <row r="641">
          <cell r="C641" t="str">
            <v>----------</v>
          </cell>
        </row>
        <row r="642">
          <cell r="C642" t="str">
            <v>-----------</v>
          </cell>
        </row>
        <row r="643">
          <cell r="C643" t="str">
            <v>------------</v>
          </cell>
          <cell r="E643" t="str">
            <v>claudia@integra.com.pa</v>
          </cell>
          <cell r="F643" t="str">
            <v>6674 1417</v>
          </cell>
        </row>
        <row r="644">
          <cell r="C644" t="str">
            <v>--------------</v>
          </cell>
        </row>
        <row r="645">
          <cell r="C645" t="str">
            <v>---------------</v>
          </cell>
        </row>
        <row r="646">
          <cell r="C646" t="str">
            <v>--------------------</v>
          </cell>
        </row>
        <row r="647">
          <cell r="C647" t="str">
            <v>----------------------</v>
          </cell>
        </row>
        <row r="648">
          <cell r="C648" t="str">
            <v>ADMINISTRADORA PROYECTA</v>
          </cell>
        </row>
        <row r="649">
          <cell r="C649" t="str">
            <v>CARLOS GARCIA DE PAREDES MOTTA Household</v>
          </cell>
          <cell r="D649" t="str">
            <v>CARLOS GARCIA DE PAREDES MOTTA</v>
          </cell>
          <cell r="F649" t="str">
            <v>Anamae Motta</v>
          </cell>
        </row>
        <row r="650">
          <cell r="C650" t="str">
            <v>----------</v>
          </cell>
          <cell r="D650" t="str">
            <v>Alexandre Patte</v>
          </cell>
          <cell r="F650" t="str">
            <v>301 9200</v>
          </cell>
        </row>
        <row r="651">
          <cell r="C651" t="str">
            <v>ALIMENTOS PRACTICOS</v>
          </cell>
          <cell r="F651" t="str">
            <v>217-3307</v>
          </cell>
        </row>
        <row r="652">
          <cell r="C652" t="str">
            <v>MITSUKO UNIQUE DESINGS, S.A.</v>
          </cell>
          <cell r="F652" t="str">
            <v>62167165</v>
          </cell>
        </row>
        <row r="653">
          <cell r="C653" t="str">
            <v>---------</v>
          </cell>
          <cell r="D653" t="str">
            <v>Monica Niño</v>
          </cell>
        </row>
        <row r="654">
          <cell r="C654" t="str">
            <v>-----------</v>
          </cell>
          <cell r="D654" t="str">
            <v>Sergio Jesús Caballero</v>
          </cell>
        </row>
        <row r="655">
          <cell r="C655" t="str">
            <v>---------------</v>
          </cell>
          <cell r="D655" t="str">
            <v>Eduardo Maga</v>
          </cell>
        </row>
        <row r="656">
          <cell r="C656" t="str">
            <v>----------------</v>
          </cell>
          <cell r="D656" t="str">
            <v>GISSEL BARRERA</v>
          </cell>
        </row>
        <row r="657">
          <cell r="C657" t="str">
            <v>-----------------</v>
          </cell>
        </row>
        <row r="658">
          <cell r="C658" t="str">
            <v>------------------------------</v>
          </cell>
          <cell r="D658" t="str">
            <v>Yexadira Archibolt</v>
          </cell>
        </row>
        <row r="659">
          <cell r="C659" t="str">
            <v>.------------</v>
          </cell>
          <cell r="D659" t="str">
            <v>Daniela Reyes</v>
          </cell>
        </row>
        <row r="660">
          <cell r="C660" t="str">
            <v>DISTRIBUIDIRA COMERCIAL UNIDA</v>
          </cell>
          <cell r="F660" t="str">
            <v>224 5827</v>
          </cell>
        </row>
        <row r="661">
          <cell r="C661" t="str">
            <v>----------</v>
          </cell>
          <cell r="D661" t="str">
            <v>ORDOÑEZ Y PEÑALBA Ordoñez</v>
          </cell>
        </row>
        <row r="662">
          <cell r="C662" t="str">
            <v>FUNDACION JMJ</v>
          </cell>
          <cell r="D662" t="str">
            <v>Jorge Espino</v>
          </cell>
          <cell r="F662" t="str">
            <v>6613-4103</v>
          </cell>
        </row>
        <row r="663">
          <cell r="C663" t="str">
            <v>----------</v>
          </cell>
          <cell r="D663" t="str">
            <v>ALBERTO ARIAS</v>
          </cell>
          <cell r="F663" t="str">
            <v>224-8499 / 224-8553</v>
          </cell>
        </row>
        <row r="664">
          <cell r="C664" t="str">
            <v>------------</v>
          </cell>
          <cell r="F664" t="str">
            <v>66717074</v>
          </cell>
        </row>
        <row r="665">
          <cell r="C665" t="str">
            <v>CORPORACION BBT</v>
          </cell>
          <cell r="D665" t="str">
            <v>HELIO NAVARRO</v>
          </cell>
          <cell r="E665" t="str">
            <v>gerencia@corpbbt.com</v>
          </cell>
          <cell r="F665" t="str">
            <v>897-8612</v>
          </cell>
        </row>
        <row r="666">
          <cell r="C666" t="str">
            <v>ACUA PANAMA</v>
          </cell>
          <cell r="D666" t="str">
            <v>Miguel Contreras</v>
          </cell>
          <cell r="E666" t="str">
            <v>mcontreras@acuapanama.com</v>
          </cell>
          <cell r="F666" t="str">
            <v>233 0136 / 69255786</v>
          </cell>
        </row>
        <row r="667">
          <cell r="C667" t="str">
            <v>Aegean Natural Quality Products, Inc.</v>
          </cell>
          <cell r="E667" t="str">
            <v>catherine@aegeanproducts.com</v>
          </cell>
          <cell r="F667" t="str">
            <v>6677-6078 / 394 3014</v>
          </cell>
        </row>
        <row r="668">
          <cell r="C668" t="str">
            <v>AGENCIA CONTINENTAL DE VENTAS</v>
          </cell>
          <cell r="D668" t="str">
            <v>JULIO NAVARRO</v>
          </cell>
          <cell r="E668" t="str">
            <v>jnavarro@acvgroup.com</v>
          </cell>
          <cell r="F668" t="str">
            <v>6212-9600</v>
          </cell>
        </row>
        <row r="669">
          <cell r="C669" t="str">
            <v>AGENCIA PALM LOPEZ</v>
          </cell>
          <cell r="F669" t="str">
            <v>221.9877 / 392.9885 / 221-0117</v>
          </cell>
        </row>
        <row r="670">
          <cell r="C670" t="str">
            <v>AGROSILOS</v>
          </cell>
          <cell r="D670" t="str">
            <v>Jackeline Sanchez</v>
          </cell>
          <cell r="E670" t="str">
            <v>jsanchez@agrosilos.com</v>
          </cell>
          <cell r="F670" t="str">
            <v>850-6418</v>
          </cell>
        </row>
        <row r="671">
          <cell r="C671" t="str">
            <v>AIP</v>
          </cell>
        </row>
        <row r="672">
          <cell r="C672" t="str">
            <v>ANEF</v>
          </cell>
          <cell r="D672" t="str">
            <v>Ante Fittonic</v>
          </cell>
          <cell r="E672" t="str">
            <v>afiftonic@hotmail.com</v>
          </cell>
          <cell r="F672" t="str">
            <v>771-2040</v>
          </cell>
        </row>
        <row r="673">
          <cell r="C673" t="str">
            <v>ASAMBLEA NACIONAL-DIPUTADOS</v>
          </cell>
        </row>
        <row r="674">
          <cell r="C674" t="str">
            <v>CAPRICHOS DEL ANGEL</v>
          </cell>
          <cell r="F674" t="str">
            <v>6550-2930</v>
          </cell>
        </row>
        <row r="675">
          <cell r="C675" t="str">
            <v>Carlos Ruben Herrera</v>
          </cell>
          <cell r="F675" t="str">
            <v>66129356</v>
          </cell>
        </row>
        <row r="676">
          <cell r="C676" t="str">
            <v>CASA CHINA/CARNICERIA STANDARD</v>
          </cell>
          <cell r="D676" t="str">
            <v>Lilian Lilian</v>
          </cell>
          <cell r="E676" t="str">
            <v>casachina19@hotmail.com</v>
          </cell>
          <cell r="F676" t="str">
            <v>775-3905</v>
          </cell>
        </row>
        <row r="677">
          <cell r="C677" t="str">
            <v>DISTRIBUIDORA AREL</v>
          </cell>
          <cell r="F677" t="str">
            <v>6248-4007</v>
          </cell>
        </row>
        <row r="678">
          <cell r="C678" t="str">
            <v>DISTRIBUIDORA DE ALIMENTOS ANCAR</v>
          </cell>
          <cell r="F678" t="str">
            <v>390 0368</v>
          </cell>
        </row>
        <row r="679">
          <cell r="C679" t="str">
            <v>DISTRIBUIDORA INTERNACIONAL DE ALIMENTOS</v>
          </cell>
          <cell r="F679" t="str">
            <v>282-7497</v>
          </cell>
        </row>
        <row r="680">
          <cell r="C680" t="str">
            <v>DISTRIBUIDORA INTERNACIONAL DE PRODUCTOS ALIMENTICIOS</v>
          </cell>
          <cell r="E680" t="str">
            <v>dipasa@dipasa.mx</v>
          </cell>
        </row>
        <row r="681">
          <cell r="C681" t="str">
            <v>DISTRIBUIDORA MIGROS</v>
          </cell>
          <cell r="E681" t="str">
            <v>remisapty@gmail.com</v>
          </cell>
          <cell r="F681" t="str">
            <v>261-8492</v>
          </cell>
        </row>
        <row r="682">
          <cell r="C682" t="str">
            <v>DISTRIBUIDORA UNICA, S.A.</v>
          </cell>
          <cell r="F682" t="str">
            <v>68681388./66661111</v>
          </cell>
        </row>
        <row r="683">
          <cell r="C683" t="str">
            <v>DORADO CENTER</v>
          </cell>
          <cell r="D683" t="str">
            <v>Sianeth Gomez</v>
          </cell>
          <cell r="E683" t="str">
            <v>recepcionsanmateo16@gmail.com</v>
          </cell>
          <cell r="F683" t="str">
            <v>7749189</v>
          </cell>
        </row>
        <row r="684">
          <cell r="C684" t="str">
            <v>DORADO CENTER</v>
          </cell>
          <cell r="D684" t="str">
            <v>Sianeth Gomez</v>
          </cell>
          <cell r="E684" t="str">
            <v>recepcionsanmateo16@gmail.com</v>
          </cell>
          <cell r="F684" t="str">
            <v>774-9189</v>
          </cell>
        </row>
        <row r="685">
          <cell r="C685" t="str">
            <v>GLOBAL FOODS, S.A</v>
          </cell>
          <cell r="F685" t="str">
            <v>264-4826</v>
          </cell>
        </row>
        <row r="686">
          <cell r="C686" t="str">
            <v>INDUSTRIAL ARROCERA CHIRIQUI</v>
          </cell>
          <cell r="E686" t="str">
            <v>ventas@industrialarrocera.com</v>
          </cell>
          <cell r="F686" t="str">
            <v>722-2033</v>
          </cell>
        </row>
        <row r="687">
          <cell r="C687" t="str">
            <v>JOSEPH DAPUD</v>
          </cell>
          <cell r="D687" t="str">
            <v>JOSEPH DAOUD</v>
          </cell>
          <cell r="E687" t="str">
            <v>josephdb1@gmail.com</v>
          </cell>
        </row>
        <row r="688">
          <cell r="C688" t="str">
            <v>Molino Santa Isabel</v>
          </cell>
          <cell r="D688" t="str">
            <v>Javier Tejerira</v>
          </cell>
          <cell r="E688" t="str">
            <v>molinosantaisabel@gmail.com</v>
          </cell>
          <cell r="F688" t="str">
            <v>987-3394</v>
          </cell>
        </row>
        <row r="689">
          <cell r="C689" t="str">
            <v>PILADORA MERCEDES</v>
          </cell>
          <cell r="D689" t="str">
            <v>Javier Tejerira</v>
          </cell>
          <cell r="E689" t="str">
            <v>lasmercedes@hotmail.com</v>
          </cell>
          <cell r="F689" t="str">
            <v>987-3394</v>
          </cell>
        </row>
        <row r="690">
          <cell r="C690" t="str">
            <v>PILADORA SAN FELIPE</v>
          </cell>
          <cell r="D690" t="str">
            <v>Rodolfo Steco</v>
          </cell>
          <cell r="E690" t="str">
            <v>piladorasanf@cwpanama.net</v>
          </cell>
          <cell r="F690" t="str">
            <v>998-1911</v>
          </cell>
        </row>
        <row r="691">
          <cell r="C691" t="str">
            <v>Procesadora La Piñuela</v>
          </cell>
          <cell r="D691" t="str">
            <v>Francisco Hurtado</v>
          </cell>
          <cell r="E691" t="str">
            <v>fhurtado@cwpanama.net</v>
          </cell>
          <cell r="F691" t="str">
            <v>2980002</v>
          </cell>
        </row>
        <row r="692">
          <cell r="C692" t="str">
            <v>PRODUCTOS HISPANOAMERICANOS</v>
          </cell>
          <cell r="F692" t="str">
            <v>832-7453</v>
          </cell>
        </row>
        <row r="693">
          <cell r="C693" t="str">
            <v>ROLEMAR FOOD</v>
          </cell>
          <cell r="F693" t="str">
            <v>3948676</v>
          </cell>
        </row>
        <row r="694">
          <cell r="C694" t="str">
            <v>TASTY CHOICE PANAMA</v>
          </cell>
          <cell r="F694" t="str">
            <v>293-5400</v>
          </cell>
        </row>
        <row r="695">
          <cell r="C695" t="str">
            <v>Yoav Tibi</v>
          </cell>
          <cell r="D695" t="str">
            <v>Yoav Tibi</v>
          </cell>
          <cell r="F695" t="str">
            <v>6672-0911</v>
          </cell>
        </row>
        <row r="696">
          <cell r="C696" t="str">
            <v>TEST Food Donor 1</v>
          </cell>
          <cell r="D696" t="str">
            <v>Anthony Kitchen</v>
          </cell>
          <cell r="E696" t="str">
            <v>tony@email.com</v>
          </cell>
          <cell r="F696" t="str">
            <v>987654</v>
          </cell>
        </row>
        <row r="697">
          <cell r="C697" t="str">
            <v>Test Food Donor 2</v>
          </cell>
          <cell r="D697" t="str">
            <v>Test Contactos</v>
          </cell>
          <cell r="E697" t="str">
            <v>test@org.com</v>
          </cell>
          <cell r="F697" t="str">
            <v>999-</v>
          </cell>
        </row>
        <row r="698">
          <cell r="C698" t="str">
            <v>Adultingsuckss - ALUVID</v>
          </cell>
        </row>
        <row r="699">
          <cell r="C699" t="str">
            <v>ASOCIACION NACIONAL DE PROCESADORES DE LECHE (ANAPROLE)</v>
          </cell>
          <cell r="D699" t="str">
            <v>Natzare Bermudez</v>
          </cell>
        </row>
        <row r="700">
          <cell r="C700" t="str">
            <v>CAMPAÑA NORWEGIAN CRUISE LINE</v>
          </cell>
        </row>
        <row r="701">
          <cell r="C701" t="str">
            <v>CAMPAÑA QUIERES SER REY</v>
          </cell>
          <cell r="E701" t="str">
            <v>claudia@integra.com.pa</v>
          </cell>
          <cell r="F701" t="str">
            <v>66731417</v>
          </cell>
        </row>
        <row r="702">
          <cell r="C702" t="str">
            <v>Woof Bite Solidario</v>
          </cell>
        </row>
        <row r="703">
          <cell r="C703" t="str">
            <v>A&amp;M CONSULTORES DE EMPRESAS, S.A</v>
          </cell>
          <cell r="D703" t="str">
            <v>AMIN MUCI</v>
          </cell>
          <cell r="E703" t="str">
            <v>aminmuci@gmail.com</v>
          </cell>
          <cell r="F703" t="str">
            <v>6473-0074</v>
          </cell>
        </row>
        <row r="704">
          <cell r="C704" t="str">
            <v>ABEL CHEVALIER</v>
          </cell>
          <cell r="D704" t="str">
            <v>ABEL CHEVALIER</v>
          </cell>
        </row>
        <row r="705">
          <cell r="C705" t="str">
            <v>ADITIVOS DE PANAMA, S.A.</v>
          </cell>
          <cell r="E705" t="str">
            <v>mmateu@adipan.com</v>
          </cell>
        </row>
        <row r="706">
          <cell r="C706" t="str">
            <v>Eduardo Jose Quiros</v>
          </cell>
        </row>
        <row r="707">
          <cell r="C707" t="str">
            <v>EDUARDO JOSE RODRIGUEZ</v>
          </cell>
          <cell r="F707" t="str">
            <v>6980 8900</v>
          </cell>
        </row>
        <row r="708">
          <cell r="C708" t="str">
            <v>Eduardo Oranges</v>
          </cell>
          <cell r="D708" t="str">
            <v>Eduardo Oranges</v>
          </cell>
          <cell r="E708" t="str">
            <v>eduardooranges@hotmail.com</v>
          </cell>
        </row>
        <row r="709">
          <cell r="C709" t="str">
            <v>FREDERICK OBEDIENTE</v>
          </cell>
        </row>
        <row r="710">
          <cell r="C710" t="str">
            <v>GABINO AYARZA SANCHEZ</v>
          </cell>
          <cell r="F710" t="str">
            <v>6614-6712</v>
          </cell>
        </row>
        <row r="711">
          <cell r="C711" t="str">
            <v>JACQUELINE ORILLAC DE GOMEZ</v>
          </cell>
        </row>
        <row r="712">
          <cell r="C712" t="str">
            <v>Maria Lourdes Marengo de Mcgowen</v>
          </cell>
          <cell r="F712" t="str">
            <v>6614 0569</v>
          </cell>
        </row>
        <row r="713">
          <cell r="C713" t="str">
            <v>Yajani Paredes</v>
          </cell>
          <cell r="D713" t="str">
            <v>Yajani Paredes</v>
          </cell>
        </row>
        <row r="714">
          <cell r="C714" t="str">
            <v>LUIS ALBERTO CHEVAS QUIEL</v>
          </cell>
          <cell r="E714" t="str">
            <v>chevita32@gmail.com</v>
          </cell>
          <cell r="F714" t="str">
            <v>63911638</v>
          </cell>
        </row>
        <row r="715">
          <cell r="C715" t="str">
            <v>FONDO UNIDO DE PANAMA</v>
          </cell>
        </row>
        <row r="716">
          <cell r="C716" t="str">
            <v>EIDA RAMOS</v>
          </cell>
          <cell r="D716" t="str">
            <v>EIDA RAMOS</v>
          </cell>
          <cell r="F716" t="str">
            <v>323 6600</v>
          </cell>
        </row>
        <row r="717">
          <cell r="C717" t="str">
            <v>GAETANO GABRIEL GOLDONI BELLIZZI</v>
          </cell>
          <cell r="F717" t="str">
            <v>66742817</v>
          </cell>
        </row>
        <row r="718">
          <cell r="C718" t="str">
            <v>GERMA BRAVO TORRES</v>
          </cell>
          <cell r="D718" t="str">
            <v>GERMAN BRAVO TORRES</v>
          </cell>
          <cell r="E718" t="str">
            <v>bravoger@cwpanama.net</v>
          </cell>
        </row>
        <row r="719">
          <cell r="C719" t="str">
            <v>MARIA JOSEFA DOVAL GARCIA</v>
          </cell>
          <cell r="D719" t="str">
            <v>Maria Josefa DOVAL</v>
          </cell>
          <cell r="E719" t="str">
            <v>chepy.doval.0310@gmail.com</v>
          </cell>
          <cell r="F719" t="str">
            <v>6672 6438</v>
          </cell>
        </row>
        <row r="720">
          <cell r="C720" t="str">
            <v>ROGELIO E. ALEMAN</v>
          </cell>
          <cell r="D720" t="str">
            <v>Rogelio Eduardo Aleman Arias</v>
          </cell>
        </row>
        <row r="721">
          <cell r="C721" t="str">
            <v>JULUGUI, S.A.</v>
          </cell>
          <cell r="E721" t="str">
            <v>industrialjulugui@gmail.com</v>
          </cell>
          <cell r="F721" t="str">
            <v>2312219</v>
          </cell>
        </row>
        <row r="722">
          <cell r="C722" t="str">
            <v>MEGABYTE, S.A</v>
          </cell>
          <cell r="E722" t="str">
            <v>mayra.miur@grupo-megabyte.net</v>
          </cell>
          <cell r="F722" t="str">
            <v>270-4444</v>
          </cell>
        </row>
        <row r="723">
          <cell r="C723" t="str">
            <v>MERCADEO INTERNACIONAL</v>
          </cell>
          <cell r="E723" t="str">
            <v>ventas@mercadeointernacional.net</v>
          </cell>
          <cell r="F723" t="str">
            <v>226-2622/226-5213</v>
          </cell>
        </row>
        <row r="724">
          <cell r="C724" t="str">
            <v>Test Accenture</v>
          </cell>
        </row>
        <row r="725">
          <cell r="C725" t="str">
            <v>ABASTECEDORA TIA MARIA</v>
          </cell>
          <cell r="F725" t="str">
            <v>730 7120</v>
          </cell>
        </row>
        <row r="726">
          <cell r="C726" t="str">
            <v>AGENCIA MIGUS</v>
          </cell>
          <cell r="F726" t="str">
            <v>2213685</v>
          </cell>
        </row>
        <row r="727">
          <cell r="C727" t="str">
            <v>APLEPC - ASOCIACIÓN DE PRODUCTORES DE LECHE DE PROVINCIAS CENTRALES</v>
          </cell>
          <cell r="F727" t="str">
            <v>974-5064</v>
          </cell>
        </row>
        <row r="728">
          <cell r="C728" t="str">
            <v>ATLANTICS PRODUCTS</v>
          </cell>
          <cell r="F728" t="str">
            <v>385 2321</v>
          </cell>
        </row>
        <row r="729">
          <cell r="C729" t="str">
            <v>AVICOLA CHANG, S.A.</v>
          </cell>
          <cell r="F729" t="str">
            <v>6480 1388</v>
          </cell>
        </row>
        <row r="730">
          <cell r="C730" t="str">
            <v>AVICOLA CHONG</v>
          </cell>
          <cell r="F730" t="str">
            <v>273 7113</v>
          </cell>
        </row>
        <row r="731">
          <cell r="C731" t="str">
            <v>AVICOLA FRANZ, S.A.</v>
          </cell>
          <cell r="F731" t="str">
            <v>9983939</v>
          </cell>
        </row>
        <row r="732">
          <cell r="C732" t="str">
            <v>Azucarera Nacional</v>
          </cell>
          <cell r="D732" t="str">
            <v>Geovany Sanchez</v>
          </cell>
          <cell r="E732" t="str">
            <v>gsanchez@azunal.com</v>
          </cell>
          <cell r="F732" t="str">
            <v>9878544 / 260 9359</v>
          </cell>
        </row>
        <row r="733">
          <cell r="C733" t="str">
            <v>Canal Movers &amp; Logistics Corp.</v>
          </cell>
          <cell r="D733" t="str">
            <v>Meryann Andrade</v>
          </cell>
          <cell r="E733" t="str">
            <v>m.andrade@canalmovers.com</v>
          </cell>
          <cell r="F733" t="str">
            <v>6030-6752</v>
          </cell>
        </row>
        <row r="734">
          <cell r="C734" t="str">
            <v>CARNES DE COCLE</v>
          </cell>
          <cell r="E734" t="str">
            <v>dgonzalez@cocasa.net</v>
          </cell>
          <cell r="F734" t="str">
            <v>225 4206</v>
          </cell>
        </row>
        <row r="735">
          <cell r="C735" t="str">
            <v>Cereales Nutricionales Especializados S.A.</v>
          </cell>
          <cell r="F735" t="str">
            <v>950 8015</v>
          </cell>
        </row>
        <row r="736">
          <cell r="C736" t="str">
            <v>COMPAÑIA MIRAGE, S.A.</v>
          </cell>
          <cell r="F736" t="str">
            <v>2215574</v>
          </cell>
        </row>
        <row r="737">
          <cell r="C737" t="str">
            <v>DELI FISH</v>
          </cell>
          <cell r="E737" t="str">
            <v>ventas@delifishpanama.com</v>
          </cell>
          <cell r="F737" t="str">
            <v>226-1313</v>
          </cell>
        </row>
        <row r="738">
          <cell r="C738" t="str">
            <v>DERILACPA Productos derivados leche</v>
          </cell>
          <cell r="E738" t="str">
            <v>derilacpa@gmail.com</v>
          </cell>
          <cell r="F738" t="str">
            <v>6316-5800</v>
          </cell>
        </row>
        <row r="739">
          <cell r="C739" t="str">
            <v>DISTRAL</v>
          </cell>
          <cell r="E739" t="str">
            <v>distral@distralpty.com</v>
          </cell>
          <cell r="F739" t="str">
            <v>830-5117 / 830-5453</v>
          </cell>
        </row>
        <row r="740">
          <cell r="C740" t="str">
            <v>DISTRIBUIDORA 138</v>
          </cell>
          <cell r="F740" t="str">
            <v>69083010</v>
          </cell>
        </row>
        <row r="741">
          <cell r="C741" t="str">
            <v>DISTRIBUIDORA 22</v>
          </cell>
          <cell r="F741" t="str">
            <v>203 6268</v>
          </cell>
        </row>
        <row r="742">
          <cell r="C742" t="str">
            <v>DISTRIBUIDORA AKYTA</v>
          </cell>
          <cell r="F742" t="str">
            <v>6735 9768</v>
          </cell>
        </row>
        <row r="743">
          <cell r="C743" t="str">
            <v>DISTRIBUIDORA BARSASH</v>
          </cell>
          <cell r="F743" t="str">
            <v>2215574</v>
          </cell>
        </row>
        <row r="744">
          <cell r="C744" t="str">
            <v>DISTRIBUIDORA CIELO AZUL</v>
          </cell>
          <cell r="F744" t="str">
            <v>2686286</v>
          </cell>
        </row>
        <row r="745">
          <cell r="C745" t="str">
            <v>DISTRIBUIDORA DE QUESO R &amp; N</v>
          </cell>
          <cell r="F745" t="str">
            <v>6406 1610</v>
          </cell>
        </row>
        <row r="746">
          <cell r="C746" t="str">
            <v>DISTRIBUIDORA DND QUALITY FOOD</v>
          </cell>
          <cell r="F746" t="str">
            <v>67476560</v>
          </cell>
        </row>
        <row r="747">
          <cell r="C747" t="str">
            <v>DISTRIBUIDORA HH</v>
          </cell>
          <cell r="F747" t="str">
            <v>217 8559</v>
          </cell>
        </row>
        <row r="748">
          <cell r="C748" t="str">
            <v>DISTRIBUIDORA IBERICA - DISA</v>
          </cell>
          <cell r="E748" t="str">
            <v>info@disapanama.net</v>
          </cell>
          <cell r="F748" t="str">
            <v>262-1497 832-7471</v>
          </cell>
        </row>
        <row r="749">
          <cell r="C749" t="str">
            <v>DISTRIBUIDORA IRIS PANAMA, S.A.</v>
          </cell>
          <cell r="E749" t="str">
            <v>distribuidorairispanama@gmail.com</v>
          </cell>
          <cell r="F749" t="str">
            <v>6688-1806</v>
          </cell>
        </row>
        <row r="750">
          <cell r="C750" t="str">
            <v>DISTRIBUIDORA ISTMEÑA DE ALIMENTOS - DIASA</v>
          </cell>
          <cell r="F750" t="str">
            <v>850-6403</v>
          </cell>
        </row>
        <row r="751">
          <cell r="C751" t="str">
            <v>DISTRIBUIDORA KM</v>
          </cell>
          <cell r="F751" t="str">
            <v>6521-2810</v>
          </cell>
        </row>
        <row r="752">
          <cell r="C752" t="str">
            <v>DISTRIBUIDORA LA GRAN MURALLA</v>
          </cell>
          <cell r="E752" t="str">
            <v>distrilagranmuralla@gmail.com</v>
          </cell>
          <cell r="F752" t="str">
            <v>6261-1227</v>
          </cell>
        </row>
        <row r="753">
          <cell r="C753" t="str">
            <v>DISTRIBUIDORA LI WANG</v>
          </cell>
          <cell r="F753" t="str">
            <v>2372868/2316233</v>
          </cell>
        </row>
        <row r="754">
          <cell r="C754" t="str">
            <v>DISTRIBUIDORA MADE</v>
          </cell>
          <cell r="F754" t="str">
            <v> 6176-5260 / 66005553</v>
          </cell>
        </row>
        <row r="755">
          <cell r="C755" t="str">
            <v>DISTRIBUIDORA MAYORISTA ANGELICA</v>
          </cell>
          <cell r="F755" t="str">
            <v>3437287</v>
          </cell>
        </row>
        <row r="756">
          <cell r="C756" t="str">
            <v>DISTRIBUIDORA MAYORISTA ML</v>
          </cell>
          <cell r="F756" t="str">
            <v>65500869</v>
          </cell>
        </row>
        <row r="757">
          <cell r="C757" t="str">
            <v>DISTRIBUIDORA MEGAPRECIO</v>
          </cell>
          <cell r="F757" t="str">
            <v>NO TIENE</v>
          </cell>
        </row>
        <row r="758">
          <cell r="C758" t="str">
            <v>DISTRIBUIDORA MERCADO DE ABASTOS</v>
          </cell>
          <cell r="F758" t="str">
            <v>262 1028</v>
          </cell>
        </row>
        <row r="759">
          <cell r="C759" t="str">
            <v>DISTRIBUIDORA MERCAMAX</v>
          </cell>
          <cell r="E759" t="str">
            <v>mercamaxt@gmail.com</v>
          </cell>
          <cell r="F759" t="str">
            <v>66600220</v>
          </cell>
        </row>
        <row r="760">
          <cell r="C760" t="str">
            <v>DISTRIBUIDORA PABLO</v>
          </cell>
          <cell r="F760" t="str">
            <v>66554702</v>
          </cell>
        </row>
        <row r="761">
          <cell r="C761" t="str">
            <v>DISTRIBUIDORA PANACU, S.A. - DISA</v>
          </cell>
          <cell r="F761" t="str">
            <v>6782-6055</v>
          </cell>
        </row>
        <row r="762">
          <cell r="C762" t="str">
            <v>DISTRIBUIDORA SAG</v>
          </cell>
          <cell r="F762" t="str">
            <v>61111294</v>
          </cell>
        </row>
        <row r="763">
          <cell r="C763" t="str">
            <v>DISTRIBUIDORA VERDE AZUL</v>
          </cell>
          <cell r="D763" t="str">
            <v>Alfredo Toribio</v>
          </cell>
          <cell r="E763" t="str">
            <v>a_toribios@yahoo.es</v>
          </cell>
          <cell r="F763" t="str">
            <v>221-5999</v>
          </cell>
        </row>
        <row r="764">
          <cell r="C764" t="str">
            <v>DISTRIBUIDORA Y MULTISERVICIOS ISASE</v>
          </cell>
          <cell r="F764" t="str">
            <v>215-8526</v>
          </cell>
        </row>
        <row r="765">
          <cell r="C765" t="str">
            <v>DULCERIA MOMI, S.A.</v>
          </cell>
          <cell r="F765" t="str">
            <v>2607344</v>
          </cell>
        </row>
        <row r="766">
          <cell r="C766" t="str">
            <v>EUROPASTRY PANAMÁ S.A.</v>
          </cell>
          <cell r="D766" t="str">
            <v>Yessika Viena</v>
          </cell>
          <cell r="E766" t="str">
            <v>j.dugarte@grupoeurofoods.com</v>
          </cell>
          <cell r="F766" t="str">
            <v>6417-8341</v>
          </cell>
        </row>
        <row r="767">
          <cell r="C767" t="str">
            <v>FEAX INTERNATIONAL, S.A</v>
          </cell>
          <cell r="D767" t="str">
            <v>Jorge Zisopulos</v>
          </cell>
          <cell r="E767" t="str">
            <v>jorgz@feaxint.com</v>
          </cell>
          <cell r="F767" t="str">
            <v>278-0784</v>
          </cell>
        </row>
        <row r="768">
          <cell r="C768" t="str">
            <v>FRIGOCARNE</v>
          </cell>
          <cell r="E768" t="str">
            <v>rodrigospiegel@frigocarne.com</v>
          </cell>
          <cell r="F768" t="str">
            <v>9985666</v>
          </cell>
        </row>
        <row r="769">
          <cell r="C769" t="str">
            <v>GC DEV, S.A.</v>
          </cell>
          <cell r="D769" t="str">
            <v>Ricardo Wong</v>
          </cell>
          <cell r="F769" t="str">
            <v>6626-7202</v>
          </cell>
        </row>
        <row r="770">
          <cell r="C770" t="str">
            <v>GLOBAL BANK</v>
          </cell>
        </row>
        <row r="771">
          <cell r="C771" t="str">
            <v>GRUPO ATHANASIAIDS RAMOS</v>
          </cell>
          <cell r="E771" t="str">
            <v>secretariag@gathanasiadisr.com</v>
          </cell>
        </row>
        <row r="772">
          <cell r="C772" t="str">
            <v>GRUPO BARSASH, S.A</v>
          </cell>
          <cell r="D772" t="str">
            <v>Vivian Barahona</v>
          </cell>
          <cell r="F772" t="str">
            <v>340-3422</v>
          </cell>
        </row>
        <row r="773">
          <cell r="C773" t="str">
            <v>GRUPO HASETH</v>
          </cell>
          <cell r="D773" t="str">
            <v>Christiaan De Haseth</v>
          </cell>
          <cell r="E773" t="str">
            <v>mcampbell@grupodehaseth.com</v>
          </cell>
          <cell r="F773" t="str">
            <v>301-4000</v>
          </cell>
        </row>
        <row r="774">
          <cell r="C774" t="str">
            <v>GRUPO MIL PANAMA</v>
          </cell>
          <cell r="F774" t="str">
            <v>6316-5800</v>
          </cell>
        </row>
        <row r="775">
          <cell r="C775" t="str">
            <v>HACIENDA EL PROGRESO</v>
          </cell>
          <cell r="F775" t="str">
            <v>220 9243</v>
          </cell>
        </row>
        <row r="776">
          <cell r="C776" t="str">
            <v>HACIENDA EL RODEO</v>
          </cell>
          <cell r="E776" t="str">
            <v>hrodeo@cwpanama.net</v>
          </cell>
          <cell r="F776" t="str">
            <v>998-2821</v>
          </cell>
        </row>
        <row r="777">
          <cell r="C777" t="str">
            <v>HACIENDA LOS GUAYACANES</v>
          </cell>
          <cell r="E777" t="str">
            <v>guayacanespenonome@hotmail.com</v>
          </cell>
          <cell r="F777" t="str">
            <v>983-8340</v>
          </cell>
        </row>
        <row r="778">
          <cell r="C778" t="str">
            <v>HOTEL HILTON</v>
          </cell>
        </row>
        <row r="779">
          <cell r="C779" t="str">
            <v>HUEVOS CARIBEÑOS</v>
          </cell>
          <cell r="E779" t="str">
            <v>elsiledezma@italcol.com</v>
          </cell>
          <cell r="F779" t="str">
            <v>6895-6804</v>
          </cell>
        </row>
        <row r="780">
          <cell r="C780" t="str">
            <v>IMPORTADORA Y DISTRIBUIDORA SAGSA</v>
          </cell>
          <cell r="E780" t="str">
            <v>importadoraydistribuidorasag@gmail.com</v>
          </cell>
          <cell r="F780" t="str">
            <v>61111294</v>
          </cell>
        </row>
        <row r="781">
          <cell r="C781" t="str">
            <v>Industrial Agrícola de Azuero, S.A.</v>
          </cell>
          <cell r="E781" t="str">
            <v>indazuero@hotmail.com</v>
          </cell>
          <cell r="F781" t="str">
            <v>9950011 / 995 0269</v>
          </cell>
        </row>
        <row r="782">
          <cell r="C782" t="str">
            <v>INDUSTRIAL ARROCERA</v>
          </cell>
          <cell r="D782" t="str">
            <v>Ivanna Quintero</v>
          </cell>
          <cell r="E782" t="str">
            <v>mercadeo@industrialarrocera.com</v>
          </cell>
          <cell r="F782" t="str">
            <v>722-2033</v>
          </cell>
        </row>
        <row r="783">
          <cell r="C783" t="str">
            <v>INDUSTRIAS ALIMENTENCIAS DORAZ</v>
          </cell>
          <cell r="F783" t="str">
            <v>220-6062</v>
          </cell>
        </row>
        <row r="784">
          <cell r="C784" t="str">
            <v>IRIS PANAMA</v>
          </cell>
          <cell r="F784" t="str">
            <v>6688 1806</v>
          </cell>
        </row>
        <row r="785">
          <cell r="C785" t="str">
            <v>KING´S PANAMA FOOD SERVICES</v>
          </cell>
          <cell r="F785" t="str">
            <v>60813794</v>
          </cell>
        </row>
        <row r="786">
          <cell r="C786" t="str">
            <v>LA MAYORISTA REAL</v>
          </cell>
          <cell r="F786" t="str">
            <v>6527 5386</v>
          </cell>
        </row>
        <row r="787">
          <cell r="C787" t="str">
            <v>MANITOBA LTDA</v>
          </cell>
          <cell r="D787" t="str">
            <v>Daniela LLano Ulloa</v>
          </cell>
        </row>
        <row r="788">
          <cell r="C788" t="str">
            <v>MAROLI, SA.</v>
          </cell>
          <cell r="F788" t="str">
            <v>2638464</v>
          </cell>
        </row>
        <row r="789">
          <cell r="C789" t="str">
            <v>MARS WRIGLEY PANAMA</v>
          </cell>
          <cell r="F789" t="str">
            <v>6618 5450</v>
          </cell>
        </row>
        <row r="790">
          <cell r="C790" t="str">
            <v>MAX E. JIMENEZ</v>
          </cell>
          <cell r="D790" t="str">
            <v>José Miguez Jimenez</v>
          </cell>
          <cell r="F790" t="str">
            <v>236-1777</v>
          </cell>
        </row>
        <row r="791">
          <cell r="C791" t="str">
            <v>MEDIPAN,S.A</v>
          </cell>
        </row>
        <row r="792">
          <cell r="C792" t="str">
            <v>MERCANTILE SHIP STORES, S.A</v>
          </cell>
          <cell r="D792" t="str">
            <v>Anita Bhakta Kalanidhi de Deepak</v>
          </cell>
          <cell r="F792" t="str">
            <v>67471093</v>
          </cell>
        </row>
        <row r="793">
          <cell r="C793" t="str">
            <v>MOLINO DON CLEMENTE</v>
          </cell>
          <cell r="E793" t="str">
            <v>mdonclemente@gmail.com</v>
          </cell>
          <cell r="F793" t="str">
            <v>722 7209</v>
          </cell>
        </row>
        <row r="794">
          <cell r="C794" t="str">
            <v>Molino Hermanos Bee, S.A.</v>
          </cell>
          <cell r="E794" t="str">
            <v>molinobee@hotmail.com</v>
          </cell>
          <cell r="F794" t="str">
            <v>998 5353</v>
          </cell>
        </row>
        <row r="795">
          <cell r="C795" t="str">
            <v>Molino Lezcano, S.A.</v>
          </cell>
          <cell r="E795" t="str">
            <v>molinolezcano@yahoo.com</v>
          </cell>
          <cell r="F795" t="str">
            <v>772 2288</v>
          </cell>
        </row>
        <row r="796">
          <cell r="C796" t="str">
            <v>MOLINO SAN PABLO</v>
          </cell>
          <cell r="D796" t="str">
            <v>Timothy Charles</v>
          </cell>
        </row>
        <row r="797">
          <cell r="C797" t="str">
            <v>PANADERIA SANTA LIBRADA</v>
          </cell>
          <cell r="D797" t="str">
            <v>Maribel Concepcion</v>
          </cell>
        </row>
        <row r="798">
          <cell r="C798" t="str">
            <v>PILADORA LAS MERCEDES</v>
          </cell>
          <cell r="F798" t="str">
            <v>66152012</v>
          </cell>
        </row>
        <row r="799">
          <cell r="C799" t="str">
            <v>PROCESADORA AVICOLA JUAN XXIII</v>
          </cell>
          <cell r="E799" t="str">
            <v>secretaria.gerencia@juan-xxiii.com</v>
          </cell>
          <cell r="F799" t="str">
            <v>9984575</v>
          </cell>
        </row>
        <row r="800">
          <cell r="C800" t="str">
            <v>PROCESADORA LO NUESTRO</v>
          </cell>
          <cell r="F800" t="str">
            <v>60903072</v>
          </cell>
        </row>
        <row r="801">
          <cell r="C801" t="str">
            <v>PROCESADORA MONICA, S.A</v>
          </cell>
          <cell r="E801" t="str">
            <v>vepifaniom@cwpanama.net</v>
          </cell>
          <cell r="F801" t="str">
            <v>2248339</v>
          </cell>
        </row>
        <row r="802">
          <cell r="C802" t="str">
            <v>PRODISA TRADING S.A.</v>
          </cell>
          <cell r="D802" t="str">
            <v>Melissa Fernández</v>
          </cell>
          <cell r="E802" t="str">
            <v>mmfernandez@lynns.com.pa</v>
          </cell>
          <cell r="F802" t="str">
            <v>6671-5091</v>
          </cell>
        </row>
        <row r="803">
          <cell r="C803" t="str">
            <v>Productos Alimenticios Masa</v>
          </cell>
          <cell r="F803" t="str">
            <v>69865558</v>
          </cell>
        </row>
        <row r="804">
          <cell r="C804" t="str">
            <v>PRODUCTOS DON SABOR PANAMA</v>
          </cell>
          <cell r="F804" t="str">
            <v>67605088</v>
          </cell>
        </row>
        <row r="805">
          <cell r="C805" t="str">
            <v>REFRESCOS TROPICALES</v>
          </cell>
          <cell r="E805" t="str">
            <v>felipe@refrescostropicales.com</v>
          </cell>
          <cell r="F805" t="str">
            <v>6949-1325</v>
          </cell>
        </row>
        <row r="806">
          <cell r="C806" t="str">
            <v>RIQUEZAS DEL MAR</v>
          </cell>
          <cell r="F806" t="str">
            <v>399 8789</v>
          </cell>
        </row>
        <row r="807">
          <cell r="C807" t="str">
            <v>SHANGHAI DISTRIBUIDORA</v>
          </cell>
          <cell r="E807" t="str">
            <v>shanghaiinterprise.sa.@hotmail.com</v>
          </cell>
          <cell r="F807" t="str">
            <v>65469898 - 2368128</v>
          </cell>
        </row>
        <row r="808">
          <cell r="C808" t="str">
            <v>VC PRODUCTS INC. - OCEAN GOURMET</v>
          </cell>
          <cell r="F808" t="str">
            <v>2224457</v>
          </cell>
        </row>
        <row r="809">
          <cell r="C809" t="str">
            <v>YOBEL SCM</v>
          </cell>
          <cell r="D809" t="str">
            <v>Suhel Patel</v>
          </cell>
          <cell r="E809" t="str">
            <v>spatel@yobelscm.biz</v>
          </cell>
          <cell r="F809" t="str">
            <v>292 2034</v>
          </cell>
        </row>
        <row r="810">
          <cell r="C810" t="str">
            <v>Agrícola La Lomita, S.A.</v>
          </cell>
          <cell r="D810" t="str">
            <v>Yara Martínez</v>
          </cell>
          <cell r="E810" t="str">
            <v>creditosycobros@agricolalomita.com</v>
          </cell>
          <cell r="F810" t="str">
            <v>6317-6692</v>
          </cell>
        </row>
        <row r="811">
          <cell r="C811" t="str">
            <v>DISTRIBUIDORA CENTROAMERICANA - DICASA</v>
          </cell>
          <cell r="F811" t="str">
            <v>3995702/03/04</v>
          </cell>
        </row>
        <row r="812">
          <cell r="C812" t="str">
            <v>DISTRIBUIDORA CENTROAMERICANA, S.A. - DICASA</v>
          </cell>
          <cell r="F812" t="str">
            <v>399 5702/03 Y 04</v>
          </cell>
        </row>
        <row r="813">
          <cell r="C813" t="str">
            <v>AGROINDUSTRIAS ALIMENTICIAS DE VERAGUAS</v>
          </cell>
          <cell r="E813" t="str">
            <v>rvirzi@productoslaparmigiana.com</v>
          </cell>
          <cell r="F813" t="str">
            <v>998 2662</v>
          </cell>
        </row>
        <row r="814">
          <cell r="C814" t="str">
            <v>HARINAS DEL ISTMO</v>
          </cell>
          <cell r="E814" t="str">
            <v>camilo@haristmo.net</v>
          </cell>
          <cell r="F814" t="str">
            <v>220-2599</v>
          </cell>
        </row>
        <row r="815">
          <cell r="C815" t="str">
            <v>LA CASA DE LA BATERIA</v>
          </cell>
          <cell r="F815" t="str">
            <v>800 6666</v>
          </cell>
        </row>
        <row r="816">
          <cell r="C816" t="str">
            <v>MERCADO SAN FELIPE NERI</v>
          </cell>
        </row>
        <row r="817">
          <cell r="C817" t="str">
            <v>AGENCIAS MOTTA, S.A</v>
          </cell>
          <cell r="D817" t="str">
            <v>Malena Calvit</v>
          </cell>
          <cell r="E817" t="str">
            <v>mcalvit@agmotta.com</v>
          </cell>
          <cell r="F817" t="str">
            <v>300-7800</v>
          </cell>
        </row>
        <row r="818">
          <cell r="C818" t="str">
            <v>DISTRIBUIDORA JABAR</v>
          </cell>
          <cell r="F818" t="str">
            <v>6679 9705</v>
          </cell>
        </row>
        <row r="819">
          <cell r="C819" t="str">
            <v>IMPORTADORA MUNDO FINO</v>
          </cell>
          <cell r="E819" t="str">
            <v>ido@mundofino.com</v>
          </cell>
          <cell r="F819" t="str">
            <v>66170036</v>
          </cell>
        </row>
        <row r="820">
          <cell r="C820" t="str">
            <v>PROLAT</v>
          </cell>
          <cell r="F820" t="str">
            <v>229 2929</v>
          </cell>
        </row>
        <row r="821">
          <cell r="C821" t="str">
            <v>VARELA HERMANOS</v>
          </cell>
          <cell r="E821" t="str">
            <v>eflores@varelahermanos.com</v>
          </cell>
          <cell r="F821" t="str">
            <v>377-5000</v>
          </cell>
        </row>
        <row r="822">
          <cell r="C822" t="str">
            <v>Alstom</v>
          </cell>
          <cell r="D822" t="str">
            <v>Fior Díaz</v>
          </cell>
          <cell r="E822" t="str">
            <v>fior.diaz-ext@alstomgroup.com</v>
          </cell>
          <cell r="F822" t="str">
            <v>377-3801</v>
          </cell>
        </row>
        <row r="823">
          <cell r="C823" t="str">
            <v>MINISTERIO DE DESARROLLO SOCIAL</v>
          </cell>
        </row>
        <row r="824">
          <cell r="C824" t="str">
            <v>INDUPLAST</v>
          </cell>
          <cell r="E824" t="str">
            <v>ventas@induplast.com.pa</v>
          </cell>
          <cell r="F824" t="str">
            <v>+507 231-2219</v>
          </cell>
        </row>
        <row r="825">
          <cell r="C825" t="str">
            <v>Darien Technology</v>
          </cell>
        </row>
        <row r="826">
          <cell r="C826" t="str">
            <v>FALCON SERVICIOS INTEGRADOS S.A</v>
          </cell>
          <cell r="E826" t="str">
            <v>gestion@falcompa.com</v>
          </cell>
          <cell r="F826" t="str">
            <v>373- 8245 / 373-8246</v>
          </cell>
        </row>
        <row r="827">
          <cell r="C827" t="str">
            <v>GRUAS &amp; TRANSPORTES, S.A</v>
          </cell>
          <cell r="D827" t="str">
            <v>Santiago Gonzalez</v>
          </cell>
          <cell r="F827" t="str">
            <v>66748033</v>
          </cell>
        </row>
        <row r="828">
          <cell r="C828" t="str">
            <v>Motta Internacional</v>
          </cell>
        </row>
        <row r="829">
          <cell r="C829" t="str">
            <v>Servi Entrega</v>
          </cell>
        </row>
        <row r="830">
          <cell r="C830" t="str">
            <v>Servicontrol Panama</v>
          </cell>
        </row>
        <row r="831">
          <cell r="C831" t="str">
            <v>SolucIones Servicios Industriales Logistica, S.A.</v>
          </cell>
        </row>
        <row r="832">
          <cell r="C832" t="str">
            <v>AcuaPanamá</v>
          </cell>
        </row>
        <row r="833">
          <cell r="C833" t="str">
            <v>Alimentos Superconcentrados</v>
          </cell>
          <cell r="F833" t="str">
            <v>2908200</v>
          </cell>
        </row>
        <row r="834">
          <cell r="C834" t="str">
            <v>AMASA</v>
          </cell>
          <cell r="F834" t="str">
            <v>62014105</v>
          </cell>
        </row>
        <row r="835">
          <cell r="C835" t="str">
            <v>AMERICAN FOODS</v>
          </cell>
          <cell r="D835" t="str">
            <v>Isabel Rojas</v>
          </cell>
          <cell r="E835" t="str">
            <v>irojas@americanfoodsllc.com</v>
          </cell>
          <cell r="F835" t="str">
            <v>375-6336</v>
          </cell>
        </row>
        <row r="836">
          <cell r="C836" t="str">
            <v>ARMANDO GONZALEZ</v>
          </cell>
        </row>
        <row r="837">
          <cell r="C837" t="str">
            <v>ARTESANOS DEL BOCADO, S.A.</v>
          </cell>
          <cell r="F837" t="str">
            <v>6470-9540</v>
          </cell>
        </row>
        <row r="838">
          <cell r="C838" t="str">
            <v>CORPORACIÓN MENDELA S.A.</v>
          </cell>
          <cell r="D838" t="str">
            <v>Libert Mendoza</v>
          </cell>
          <cell r="E838" t="str">
            <v>gerencia@mendelacorp.com</v>
          </cell>
          <cell r="F838" t="str">
            <v>6208-2310</v>
          </cell>
        </row>
        <row r="839">
          <cell r="C839" t="str">
            <v>GOURMET IMPORTS, S.A.</v>
          </cell>
          <cell r="D839" t="str">
            <v>Isis Pineda de Chiari</v>
          </cell>
          <cell r="E839" t="str">
            <v>ventas@gourmetimportspty.com</v>
          </cell>
          <cell r="F839" t="str">
            <v>392-5304 / 6615-2158</v>
          </cell>
        </row>
        <row r="840">
          <cell r="C840" t="str">
            <v>GRUPO REY, S.A.</v>
          </cell>
        </row>
        <row r="841">
          <cell r="C841" t="str">
            <v>INVERSIONES MAKAPANA, S.A</v>
          </cell>
          <cell r="D841" t="str">
            <v>Brenda Mejías</v>
          </cell>
          <cell r="E841" t="str">
            <v>b.mejias@keybrands-pa.com</v>
          </cell>
          <cell r="F841" t="str">
            <v>6749-2181</v>
          </cell>
        </row>
        <row r="842">
          <cell r="C842" t="str">
            <v>Mercantile International Ship Store Panama SA</v>
          </cell>
          <cell r="D842" t="str">
            <v>Marianela Hurtado</v>
          </cell>
          <cell r="E842" t="str">
            <v>mhurtado@inkoop-group.com</v>
          </cell>
          <cell r="F842" t="str">
            <v>388-7434</v>
          </cell>
        </row>
        <row r="843">
          <cell r="C843" t="str">
            <v>Molino Abrego, S.A.</v>
          </cell>
          <cell r="E843" t="str">
            <v>fabrego@cableonda.net</v>
          </cell>
          <cell r="F843" t="str">
            <v>775 0349</v>
          </cell>
        </row>
        <row r="844">
          <cell r="C844" t="str">
            <v>PRODUCTOS LILI</v>
          </cell>
          <cell r="F844" t="str">
            <v>270 4927</v>
          </cell>
        </row>
        <row r="845">
          <cell r="C845" t="str">
            <v>SUPER CARNES</v>
          </cell>
          <cell r="D845" t="str">
            <v>Liurys Jimenez</v>
          </cell>
          <cell r="E845" t="str">
            <v>liurys.jimenez@supercarnes.com</v>
          </cell>
          <cell r="F845" t="str">
            <v>958-9699</v>
          </cell>
        </row>
        <row r="846">
          <cell r="C846" t="str">
            <v>CAMPANA JEWELRY VIJANAS</v>
          </cell>
          <cell r="E846" t="str">
            <v>vijanajewelry@gmail.com</v>
          </cell>
          <cell r="F846" t="str">
            <v>6349-6273</v>
          </cell>
        </row>
        <row r="847">
          <cell r="C847" t="str">
            <v>CAMPAÑA MEAT HOUSE</v>
          </cell>
          <cell r="E847" t="str">
            <v>mvguiraud@gmail.com</v>
          </cell>
        </row>
        <row r="848">
          <cell r="C848" t="str">
            <v>DULICADO CAMPAÑA COSTA RECICLA</v>
          </cell>
        </row>
        <row r="849">
          <cell r="C849" t="str">
            <v>KERRY PANAMÁ</v>
          </cell>
        </row>
        <row r="850">
          <cell r="C850" t="str">
            <v>UNIVERSIDAD POLITÉCNICA INTERNACIONAL</v>
          </cell>
          <cell r="D850" t="str">
            <v>Angela Torres</v>
          </cell>
        </row>
        <row r="851">
          <cell r="C851" t="str">
            <v>BARRIO PIZZA</v>
          </cell>
          <cell r="D851" t="str">
            <v>Carlos Levy</v>
          </cell>
          <cell r="F851" t="str">
            <v>387-4444</v>
          </cell>
        </row>
        <row r="852">
          <cell r="C852" t="str">
            <v>ANABELA CORREA de TRIBALDOS</v>
          </cell>
        </row>
        <row r="853">
          <cell r="C853" t="str">
            <v>BETTINA RAQUEL GRISOLIA GALLOL</v>
          </cell>
        </row>
        <row r="854">
          <cell r="C854" t="str">
            <v>ELKA ILIANA STROCCHIA DE ROBLES</v>
          </cell>
        </row>
        <row r="855">
          <cell r="C855" t="str">
            <v>ELSA ELENA RAMIREZ BLAZQUEZ TAPIA</v>
          </cell>
        </row>
        <row r="856">
          <cell r="C856" t="str">
            <v>EUGENIA DE LAS MERCEDES GUTIERREZ CHARRIS</v>
          </cell>
        </row>
        <row r="857">
          <cell r="C857" t="str">
            <v>Ithiel Tribaldos</v>
          </cell>
        </row>
        <row r="858">
          <cell r="C858" t="str">
            <v>JUAN ANTONIO APARICIO GARCIA</v>
          </cell>
        </row>
        <row r="859">
          <cell r="C859" t="str">
            <v>Julieta Alfaro de Romero</v>
          </cell>
          <cell r="F859" t="str">
            <v>6612 7419</v>
          </cell>
        </row>
        <row r="860">
          <cell r="C860" t="str">
            <v>LESBIA GABRIELA SANDOVAL VELASQUEZ</v>
          </cell>
        </row>
        <row r="861">
          <cell r="C861" t="str">
            <v>LILI ANN DEL CARMEN VALDES de GANDASEGUI</v>
          </cell>
        </row>
        <row r="862">
          <cell r="C862" t="str">
            <v>LIODETTE NOIRAN de PINIL</v>
          </cell>
        </row>
        <row r="863">
          <cell r="C863" t="str">
            <v>Lolitin Arias de Canavaggio</v>
          </cell>
        </row>
        <row r="864">
          <cell r="C864" t="str">
            <v>MARTHA ESTELA MATOS DE HEILBRON</v>
          </cell>
        </row>
        <row r="865">
          <cell r="C865" t="str">
            <v>MARY LUZ TRIBALDOS GIRALDEZ</v>
          </cell>
        </row>
        <row r="866">
          <cell r="C866" t="str">
            <v>MICHELLE DESIREE TOUZARD CARRASCO</v>
          </cell>
          <cell r="F866" t="str">
            <v>6671 7471</v>
          </cell>
        </row>
        <row r="867">
          <cell r="C867" t="str">
            <v>MIGUEL ENRIQUE VASQUEZ OMLIN</v>
          </cell>
        </row>
        <row r="868">
          <cell r="C868" t="str">
            <v>MONICA MARIE CHING WONG</v>
          </cell>
        </row>
        <row r="869">
          <cell r="C869" t="str">
            <v>Nicole Marie Tribaldos</v>
          </cell>
        </row>
        <row r="870">
          <cell r="C870" t="str">
            <v>THAIS DEL CARMEN CHALMERS HERMES</v>
          </cell>
          <cell r="F870" t="str">
            <v>6619 6771</v>
          </cell>
        </row>
        <row r="871">
          <cell r="C871" t="str">
            <v>Winanda Tribaldos</v>
          </cell>
        </row>
        <row r="872">
          <cell r="C872" t="str">
            <v>WYNANDA ETHEL EISENMANN</v>
          </cell>
        </row>
        <row r="873">
          <cell r="C873" t="str">
            <v>ALBERTO ALEMÁN ZUBIETA</v>
          </cell>
        </row>
        <row r="874">
          <cell r="C874" t="str">
            <v>ANA PAULA CORREA DEBONI</v>
          </cell>
        </row>
        <row r="875">
          <cell r="C875" t="str">
            <v>Angel Larrea Cornejo Household</v>
          </cell>
          <cell r="D875" t="str">
            <v>Angel Larrea Cornejo</v>
          </cell>
        </row>
        <row r="876">
          <cell r="C876" t="str">
            <v>ARENERA BALBOA. S.A</v>
          </cell>
          <cell r="D876" t="str">
            <v>BENJAMIN BOYD</v>
          </cell>
          <cell r="E876" t="str">
            <v>jortega@arenerabalboa.com</v>
          </cell>
          <cell r="F876" t="str">
            <v>830-6021</v>
          </cell>
        </row>
        <row r="877">
          <cell r="C877" t="str">
            <v>DALYS HAYDE CUERVO GUTIERREZ</v>
          </cell>
        </row>
        <row r="878">
          <cell r="C878" t="str">
            <v>EDUARDO ENRIQUE MORGAN BOYD</v>
          </cell>
        </row>
        <row r="879">
          <cell r="C879" t="str">
            <v>GARCIA DE PAREDES Household</v>
          </cell>
          <cell r="D879" t="str">
            <v>PABLO GARCIA DE PAREDES</v>
          </cell>
          <cell r="E879" t="str">
            <v>ps@inmaquip.com</v>
          </cell>
        </row>
        <row r="880">
          <cell r="C880" t="str">
            <v>George Love</v>
          </cell>
        </row>
        <row r="881">
          <cell r="C881" t="str">
            <v>GIANINA M. DE CORREA Household</v>
          </cell>
          <cell r="D881" t="str">
            <v>GIANINA M DE CORREA</v>
          </cell>
          <cell r="E881" t="str">
            <v>gianinadecorrea@gmaill.com</v>
          </cell>
          <cell r="F881" t="str">
            <v>271-3317</v>
          </cell>
        </row>
        <row r="882">
          <cell r="C882" t="str">
            <v>Gonzalez Household</v>
          </cell>
          <cell r="D882" t="str">
            <v>BETZY Gonzalez</v>
          </cell>
        </row>
        <row r="883">
          <cell r="C883" t="str">
            <v>GRACIELA QUELQUEJEU</v>
          </cell>
        </row>
        <row r="884">
          <cell r="C884" t="str">
            <v>HECTOR RODRIGUEZ VELASQUEZ</v>
          </cell>
        </row>
        <row r="885">
          <cell r="C885" t="str">
            <v>HERMES ANTONIO CARRIZO ARANGO</v>
          </cell>
        </row>
        <row r="886">
          <cell r="C886" t="str">
            <v>Ingrid Rosas de Diaz</v>
          </cell>
          <cell r="D886" t="str">
            <v>Ingrid Rosas de Diaz</v>
          </cell>
          <cell r="E886" t="str">
            <v>ingridrosas@hotmail.com</v>
          </cell>
          <cell r="F886" t="str">
            <v>3871398</v>
          </cell>
        </row>
        <row r="887">
          <cell r="C887" t="str">
            <v>Jorge A. López Berroa</v>
          </cell>
        </row>
        <row r="888">
          <cell r="C888" t="str">
            <v>JOSE Y MARIA MIGUEZ</v>
          </cell>
        </row>
        <row r="889">
          <cell r="C889" t="str">
            <v>JUAN RAMON HUMBERT</v>
          </cell>
          <cell r="D889" t="str">
            <v>JUAN RAUL HUMBERT</v>
          </cell>
          <cell r="E889" t="str">
            <v>afabrega60@gmail.com</v>
          </cell>
        </row>
        <row r="890">
          <cell r="C890" t="str">
            <v>Marianela Brostella</v>
          </cell>
        </row>
        <row r="891">
          <cell r="C891" t="str">
            <v>Maritza Vallarino</v>
          </cell>
        </row>
        <row r="892">
          <cell r="C892" t="str">
            <v>MARTIN PLAZA</v>
          </cell>
          <cell r="D892" t="str">
            <v>VALENTIN MARTIN PLAZA</v>
          </cell>
          <cell r="E892" t="str">
            <v>vplazas@yahoo.com</v>
          </cell>
        </row>
        <row r="893">
          <cell r="C893" t="str">
            <v>Monica Chin</v>
          </cell>
        </row>
        <row r="894">
          <cell r="C894" t="str">
            <v>Nathalie Michelle Vallarino Dominguez</v>
          </cell>
        </row>
        <row r="895">
          <cell r="C895" t="str">
            <v>NEMANIC CARRILLO</v>
          </cell>
        </row>
        <row r="896">
          <cell r="C896" t="str">
            <v>Norma Martinez Maslivar</v>
          </cell>
          <cell r="F896" t="str">
            <v>6780-6507</v>
          </cell>
        </row>
        <row r="897">
          <cell r="C897" t="str">
            <v>SILKA MARTINEZ</v>
          </cell>
          <cell r="D897" t="str">
            <v>SILKA MARTINEZ</v>
          </cell>
          <cell r="E897" t="str">
            <v>smartinez@cirsa.com</v>
          </cell>
        </row>
        <row r="898">
          <cell r="C898" t="str">
            <v>INDUSTRIAL ARROCERA</v>
          </cell>
          <cell r="D898" t="str">
            <v>Ivanna Quintero</v>
          </cell>
          <cell r="E898" t="str">
            <v>ventas@industrialarrocera.com</v>
          </cell>
          <cell r="F898" t="str">
            <v>6679-2146</v>
          </cell>
        </row>
        <row r="899">
          <cell r="C899" t="str">
            <v>PANAMÁ SHIP WAREHOUSE</v>
          </cell>
        </row>
        <row r="900">
          <cell r="C900" t="str">
            <v>PRODUCTOS DIVERSOS</v>
          </cell>
          <cell r="D900" t="str">
            <v>Melissa Fernández</v>
          </cell>
          <cell r="E900" t="str">
            <v>mmfernandez@lynns.com.pa</v>
          </cell>
        </row>
        <row r="901">
          <cell r="C901" t="str">
            <v>Rogelio Aleman Arias</v>
          </cell>
          <cell r="D901" t="str">
            <v>Rogelio Eduardo Aleman Arias</v>
          </cell>
        </row>
        <row r="902">
          <cell r="C902" t="str">
            <v>AGRICOLA FONSECA, S.A.</v>
          </cell>
          <cell r="D902" t="str">
            <v>Ricardo Fonseca</v>
          </cell>
          <cell r="F902" t="str">
            <v>67 874266 / 62561070</v>
          </cell>
        </row>
        <row r="903">
          <cell r="C903" t="str">
            <v>AGROPACK CERRO PUNTA</v>
          </cell>
          <cell r="F903" t="str">
            <v>387 4517/16 7712891</v>
          </cell>
        </row>
        <row r="904">
          <cell r="C904" t="str">
            <v>AGRORIOS VEGETALES Y FRUTAS</v>
          </cell>
          <cell r="F904" t="str">
            <v>6268620</v>
          </cell>
        </row>
        <row r="905">
          <cell r="C905" t="str">
            <v>AGROVEGETALES DE PANAMA</v>
          </cell>
          <cell r="F905" t="str">
            <v>69453548</v>
          </cell>
        </row>
        <row r="906">
          <cell r="C906" t="str">
            <v>ALEXIS DE LEON</v>
          </cell>
          <cell r="D906" t="str">
            <v>Oliver Diaz</v>
          </cell>
          <cell r="F906" t="str">
            <v>64-015300</v>
          </cell>
        </row>
        <row r="907">
          <cell r="C907" t="str">
            <v>ALEXIS JOSE FLORES</v>
          </cell>
          <cell r="D907" t="str">
            <v>Alexis Jose Flores</v>
          </cell>
        </row>
        <row r="908">
          <cell r="C908" t="str">
            <v>ALEXIS MARIN</v>
          </cell>
          <cell r="F908" t="str">
            <v>64949582</v>
          </cell>
        </row>
        <row r="909">
          <cell r="C909" t="str">
            <v>ALEXIS MELA</v>
          </cell>
          <cell r="D909" t="str">
            <v>Alexis Mela</v>
          </cell>
          <cell r="F909" t="str">
            <v>6349-2543</v>
          </cell>
        </row>
        <row r="910">
          <cell r="C910" t="str">
            <v>AMIGOS DEL REY</v>
          </cell>
          <cell r="D910" t="str">
            <v>ERICK FUENTES</v>
          </cell>
        </row>
        <row r="911">
          <cell r="C911" t="str">
            <v>ANGEL SANTOS DE LEON</v>
          </cell>
          <cell r="D911" t="str">
            <v>Angel Santos De Leon</v>
          </cell>
        </row>
        <row r="912">
          <cell r="C912" t="str">
            <v>ANTONIO SOLIS</v>
          </cell>
          <cell r="D912" t="str">
            <v>ANTONIO SOLIS</v>
          </cell>
          <cell r="F912" t="str">
            <v>68064979</v>
          </cell>
        </row>
        <row r="913">
          <cell r="C913" t="str">
            <v>ARGELIA DE GOMEZ</v>
          </cell>
          <cell r="F913" t="str">
            <v>63998073</v>
          </cell>
        </row>
        <row r="914">
          <cell r="C914" t="str">
            <v>Aristides Espinoza</v>
          </cell>
          <cell r="D914" t="str">
            <v>Aristides Espinoza</v>
          </cell>
        </row>
        <row r="915">
          <cell r="C915" t="str">
            <v>ARSENIO GONZALEZ</v>
          </cell>
          <cell r="D915" t="str">
            <v>Arsenio Gonzalez</v>
          </cell>
        </row>
        <row r="916">
          <cell r="C916" t="str">
            <v>AURELIO REMON</v>
          </cell>
          <cell r="D916" t="str">
            <v>Aurelio Remon</v>
          </cell>
          <cell r="F916" t="str">
            <v>63511707</v>
          </cell>
        </row>
        <row r="917">
          <cell r="C917" t="str">
            <v>BENJAMIN SANTOS</v>
          </cell>
          <cell r="D917" t="str">
            <v>Benjamin Santos</v>
          </cell>
          <cell r="F917" t="str">
            <v>6283-4312</v>
          </cell>
        </row>
        <row r="918">
          <cell r="C918" t="str">
            <v>CAMILO APARICIO</v>
          </cell>
          <cell r="D918" t="str">
            <v>Camilo Aparicio</v>
          </cell>
          <cell r="F918" t="str">
            <v>69041560</v>
          </cell>
        </row>
        <row r="919">
          <cell r="C919" t="str">
            <v>CESAR MORENO</v>
          </cell>
          <cell r="D919" t="str">
            <v>Cesar Moreno</v>
          </cell>
          <cell r="F919" t="str">
            <v>63612609</v>
          </cell>
        </row>
        <row r="920">
          <cell r="C920" t="str">
            <v>DARIO REYNA</v>
          </cell>
          <cell r="D920" t="str">
            <v>Dario Reyna</v>
          </cell>
        </row>
        <row r="921">
          <cell r="C921" t="str">
            <v>Diomedes Bonilla</v>
          </cell>
        </row>
        <row r="922">
          <cell r="C922" t="str">
            <v>DOLINDO ROSAS RAMOS</v>
          </cell>
          <cell r="F922" t="str">
            <v>68 808220</v>
          </cell>
        </row>
        <row r="923">
          <cell r="C923" t="str">
            <v>Edgardo Rodriguez</v>
          </cell>
          <cell r="D923" t="str">
            <v>Edgardo Rodriguez</v>
          </cell>
        </row>
        <row r="924">
          <cell r="C924" t="str">
            <v>Edgardo Rodriguez</v>
          </cell>
        </row>
        <row r="925">
          <cell r="C925" t="str">
            <v>EDILBERTO MARIN</v>
          </cell>
          <cell r="D925" t="str">
            <v>Edilberto Marin</v>
          </cell>
          <cell r="F925" t="str">
            <v>65576474</v>
          </cell>
        </row>
        <row r="926">
          <cell r="C926" t="str">
            <v>EDILBERTO MARIN</v>
          </cell>
          <cell r="F926" t="str">
            <v>65576474</v>
          </cell>
        </row>
        <row r="927">
          <cell r="C927" t="str">
            <v>Edilberto Sanchez</v>
          </cell>
          <cell r="F927" t="str">
            <v>6541-0510</v>
          </cell>
        </row>
        <row r="928">
          <cell r="C928" t="str">
            <v>EDWIN APARICIO</v>
          </cell>
        </row>
        <row r="929">
          <cell r="C929" t="str">
            <v>EDWIN RIOS</v>
          </cell>
        </row>
        <row r="930">
          <cell r="C930" t="str">
            <v>ELIECER GALVEZ</v>
          </cell>
          <cell r="D930" t="str">
            <v>Eliecer Galvez</v>
          </cell>
          <cell r="F930" t="str">
            <v>64469579</v>
          </cell>
        </row>
        <row r="931">
          <cell r="C931" t="str">
            <v>ELISEO MORENO</v>
          </cell>
          <cell r="D931" t="str">
            <v>Eliseo Moreno</v>
          </cell>
          <cell r="F931" t="str">
            <v>67862851</v>
          </cell>
        </row>
        <row r="932">
          <cell r="C932" t="str">
            <v>Erick Maure</v>
          </cell>
        </row>
        <row r="933">
          <cell r="C933" t="str">
            <v>EUGENIO CASTREJON</v>
          </cell>
          <cell r="D933" t="str">
            <v>Eugenio Castrejon</v>
          </cell>
        </row>
        <row r="934">
          <cell r="C934" t="str">
            <v>EVELIO PINTO</v>
          </cell>
          <cell r="D934" t="str">
            <v>Evelio Pinto</v>
          </cell>
        </row>
        <row r="935">
          <cell r="C935" t="str">
            <v>FELIX CORTES</v>
          </cell>
          <cell r="D935" t="str">
            <v>Felix Cortes</v>
          </cell>
          <cell r="F935" t="str">
            <v>66230665</v>
          </cell>
        </row>
        <row r="936">
          <cell r="C936" t="str">
            <v>FERNANDO UREÑA</v>
          </cell>
          <cell r="D936" t="str">
            <v>Fernando Ureña</v>
          </cell>
        </row>
        <row r="937">
          <cell r="C937" t="str">
            <v>FRANCISCO GONZALEZ</v>
          </cell>
          <cell r="F937" t="str">
            <v>64 176062</v>
          </cell>
        </row>
        <row r="938">
          <cell r="C938" t="str">
            <v>FRANKLIN SALINA</v>
          </cell>
          <cell r="D938" t="str">
            <v>Franklin Salinas</v>
          </cell>
          <cell r="F938" t="str">
            <v>65644972</v>
          </cell>
        </row>
        <row r="939">
          <cell r="C939" t="str">
            <v>GABRIEL MEDINA</v>
          </cell>
          <cell r="D939" t="str">
            <v>Gabriel Medina</v>
          </cell>
          <cell r="F939" t="str">
            <v>6735-8460</v>
          </cell>
        </row>
        <row r="940">
          <cell r="C940" t="str">
            <v>GEORGE Y RAUL MARTINEZ</v>
          </cell>
          <cell r="D940" t="str">
            <v>George Martinez</v>
          </cell>
          <cell r="F940" t="str">
            <v>67 178891</v>
          </cell>
        </row>
        <row r="941">
          <cell r="C941" t="str">
            <v>GILBERTO DE LA CRUZ</v>
          </cell>
          <cell r="D941" t="str">
            <v>Gilberto De la Cruz</v>
          </cell>
          <cell r="F941" t="str">
            <v>68331820</v>
          </cell>
        </row>
        <row r="942">
          <cell r="C942" t="str">
            <v>GILBERTO RIVAS</v>
          </cell>
          <cell r="D942" t="str">
            <v>Simon Abrego</v>
          </cell>
          <cell r="F942" t="str">
            <v>63 981656</v>
          </cell>
        </row>
        <row r="943">
          <cell r="C943" t="str">
            <v>GLORIELA GONZALEZ</v>
          </cell>
          <cell r="D943" t="str">
            <v>Gloriela Gonzalez</v>
          </cell>
        </row>
        <row r="944">
          <cell r="C944" t="str">
            <v>HERMANOS VILLARREAL</v>
          </cell>
          <cell r="D944" t="str">
            <v>Jaime Robles</v>
          </cell>
          <cell r="F944" t="str">
            <v>68005440</v>
          </cell>
        </row>
        <row r="945">
          <cell r="C945" t="str">
            <v>JACINTO CUEVAS</v>
          </cell>
          <cell r="F945" t="str">
            <v>69789755</v>
          </cell>
        </row>
        <row r="946">
          <cell r="C946" t="str">
            <v>JACINTO RODRIGUEZ</v>
          </cell>
          <cell r="D946" t="str">
            <v>Jacinto Rodriguez</v>
          </cell>
        </row>
        <row r="947">
          <cell r="C947" t="str">
            <v>JESUS BARRIA</v>
          </cell>
          <cell r="D947" t="str">
            <v>Jesus Barria</v>
          </cell>
        </row>
        <row r="948">
          <cell r="C948" t="str">
            <v>JESUS CHEN</v>
          </cell>
          <cell r="D948" t="str">
            <v>Jesus Chen</v>
          </cell>
          <cell r="F948" t="str">
            <v>66 409300</v>
          </cell>
        </row>
        <row r="949">
          <cell r="C949" t="str">
            <v>JORGE SZCZUR RIOS</v>
          </cell>
          <cell r="D949" t="str">
            <v>Jorge Szczur Rios</v>
          </cell>
        </row>
        <row r="950">
          <cell r="C950" t="str">
            <v>JOSE ALONSO</v>
          </cell>
          <cell r="D950" t="str">
            <v>Jose Alonso</v>
          </cell>
        </row>
        <row r="951">
          <cell r="C951" t="str">
            <v>JOSE CASTILLO</v>
          </cell>
        </row>
        <row r="952">
          <cell r="C952" t="str">
            <v>JOSE FLORES</v>
          </cell>
          <cell r="D952" t="str">
            <v>Henry Valdes</v>
          </cell>
          <cell r="F952" t="str">
            <v>67 387187</v>
          </cell>
        </row>
        <row r="953">
          <cell r="C953" t="str">
            <v>JOSE FRIAS</v>
          </cell>
          <cell r="D953" t="str">
            <v>Jose Frias</v>
          </cell>
        </row>
        <row r="954">
          <cell r="C954" t="str">
            <v>JOSE GOMEZ</v>
          </cell>
          <cell r="D954" t="str">
            <v>JOSE GOMEZ</v>
          </cell>
        </row>
        <row r="955">
          <cell r="C955" t="str">
            <v>JOSE HIGUERO</v>
          </cell>
          <cell r="D955" t="str">
            <v>Jose Higuero</v>
          </cell>
          <cell r="F955" t="str">
            <v>6618-0342</v>
          </cell>
        </row>
        <row r="956">
          <cell r="C956" t="str">
            <v>Jose Magallon.</v>
          </cell>
        </row>
        <row r="957">
          <cell r="C957" t="str">
            <v>JOSE PEÑA</v>
          </cell>
          <cell r="D957" t="str">
            <v>Jose Peña</v>
          </cell>
          <cell r="F957" t="str">
            <v>6418-4945</v>
          </cell>
        </row>
        <row r="958">
          <cell r="C958" t="str">
            <v>JUAN ELIECER SERRANO</v>
          </cell>
          <cell r="D958" t="str">
            <v>Juan Eliecer Serrano</v>
          </cell>
          <cell r="F958" t="str">
            <v>6951-0304/6682-0467</v>
          </cell>
        </row>
        <row r="959">
          <cell r="C959" t="str">
            <v>JUAN GAITAN</v>
          </cell>
          <cell r="F959" t="str">
            <v>64756071</v>
          </cell>
        </row>
        <row r="960">
          <cell r="C960" t="str">
            <v>JUAN JOSE MUÑOZ</v>
          </cell>
          <cell r="D960" t="str">
            <v>Juan Jose Muñoz</v>
          </cell>
        </row>
        <row r="961">
          <cell r="C961" t="str">
            <v>JUAN MUÑOZ</v>
          </cell>
          <cell r="F961" t="str">
            <v>68 238155</v>
          </cell>
        </row>
        <row r="962">
          <cell r="C962" t="str">
            <v>JUAN PEREZ</v>
          </cell>
          <cell r="F962" t="str">
            <v>67176585</v>
          </cell>
        </row>
        <row r="963">
          <cell r="C963" t="str">
            <v>JUAN PITTI</v>
          </cell>
          <cell r="D963" t="str">
            <v>Juan Pitti</v>
          </cell>
        </row>
        <row r="964">
          <cell r="C964" t="str">
            <v>Juan Ramos</v>
          </cell>
        </row>
        <row r="965">
          <cell r="C965" t="str">
            <v>JULIAN RAMOS</v>
          </cell>
          <cell r="F965" t="str">
            <v>68771268</v>
          </cell>
        </row>
        <row r="966">
          <cell r="C966" t="str">
            <v>JULIAN RAMOS - ALEXIS CHAVEZ- EDWIN VARGAS</v>
          </cell>
          <cell r="D966" t="str">
            <v>Julian Ramos</v>
          </cell>
          <cell r="F966" t="str">
            <v>68168941</v>
          </cell>
        </row>
        <row r="967">
          <cell r="C967" t="str">
            <v>LUIS F. MORENO SANCHEZ</v>
          </cell>
          <cell r="D967" t="str">
            <v>Luis Francisco Moreno</v>
          </cell>
        </row>
        <row r="968">
          <cell r="C968" t="str">
            <v>MANUEL APARICIO</v>
          </cell>
          <cell r="D968" t="str">
            <v>Manuel Aparicio</v>
          </cell>
          <cell r="F968" t="str">
            <v>68 649538</v>
          </cell>
        </row>
        <row r="969">
          <cell r="C969" t="str">
            <v>MARCELO DEGAIZA</v>
          </cell>
          <cell r="D969" t="str">
            <v>Marcelo Degaiza</v>
          </cell>
          <cell r="F969" t="str">
            <v>64 963095</v>
          </cell>
        </row>
        <row r="970">
          <cell r="C970" t="str">
            <v>MARGARITO RIVAS GONZALEZ</v>
          </cell>
          <cell r="D970" t="str">
            <v>Margarito Rivas</v>
          </cell>
          <cell r="F970" t="str">
            <v>65239092</v>
          </cell>
        </row>
        <row r="971">
          <cell r="C971" t="str">
            <v>MARISOL DIAZ</v>
          </cell>
          <cell r="D971" t="str">
            <v>Marisol Diaz</v>
          </cell>
          <cell r="F971" t="str">
            <v>65583429</v>
          </cell>
        </row>
        <row r="972">
          <cell r="C972" t="str">
            <v>MARYSUS</v>
          </cell>
          <cell r="F972" t="str">
            <v>65238730</v>
          </cell>
        </row>
        <row r="973">
          <cell r="C973" t="str">
            <v>MELGAR</v>
          </cell>
        </row>
        <row r="974">
          <cell r="C974" t="str">
            <v>Miguel Guarin Olarte</v>
          </cell>
          <cell r="E974" t="str">
            <v>granvivienda18@hotmail.com</v>
          </cell>
          <cell r="F974" t="str">
            <v>66156791</v>
          </cell>
        </row>
        <row r="975">
          <cell r="C975" t="str">
            <v>MILCIADES ALONSO</v>
          </cell>
          <cell r="F975" t="str">
            <v>66926824</v>
          </cell>
        </row>
        <row r="976">
          <cell r="C976" t="str">
            <v>Mileyka Moreno.</v>
          </cell>
        </row>
        <row r="977">
          <cell r="C977" t="str">
            <v>NELSON LEONEL RODRIGUEZ</v>
          </cell>
          <cell r="F977" t="str">
            <v>66-445188 / 62-167495 / 67-430542</v>
          </cell>
        </row>
        <row r="978">
          <cell r="C978" t="str">
            <v>Nelson Medina</v>
          </cell>
          <cell r="D978" t="str">
            <v>Nelson Medina</v>
          </cell>
          <cell r="F978" t="str">
            <v>668-8401</v>
          </cell>
        </row>
        <row r="979">
          <cell r="C979" t="str">
            <v>NELSON PIMENTEL</v>
          </cell>
          <cell r="F979" t="str">
            <v>66073763</v>
          </cell>
        </row>
        <row r="980">
          <cell r="C980" t="str">
            <v>OMAR NUÑEZ MOLINA</v>
          </cell>
          <cell r="D980" t="str">
            <v>Alberto Perez</v>
          </cell>
          <cell r="F980" t="str">
            <v>65 853813</v>
          </cell>
        </row>
        <row r="981">
          <cell r="C981" t="str">
            <v>ORICE MORENO</v>
          </cell>
          <cell r="D981" t="str">
            <v>Orice Moreno</v>
          </cell>
          <cell r="F981" t="str">
            <v>68651663</v>
          </cell>
        </row>
        <row r="982">
          <cell r="C982" t="str">
            <v>ORLANDO VARGAS</v>
          </cell>
          <cell r="F982" t="str">
            <v>64 889088</v>
          </cell>
        </row>
        <row r="983">
          <cell r="C983" t="str">
            <v>OVIDIO GONZALEZ</v>
          </cell>
          <cell r="F983" t="str">
            <v>no quiso dar</v>
          </cell>
        </row>
        <row r="984">
          <cell r="C984" t="str">
            <v>Ovidio Vargas</v>
          </cell>
        </row>
        <row r="985">
          <cell r="C985" t="str">
            <v>RENE MARIN</v>
          </cell>
          <cell r="D985" t="str">
            <v>Rene Marin</v>
          </cell>
        </row>
        <row r="986">
          <cell r="C986" t="str">
            <v>Reynelda Lozada</v>
          </cell>
          <cell r="D986" t="str">
            <v>Reynelda Lozada</v>
          </cell>
        </row>
        <row r="987">
          <cell r="C987" t="str">
            <v>RIGO RIOS</v>
          </cell>
          <cell r="D987" t="str">
            <v>Rigo Rios</v>
          </cell>
        </row>
        <row r="988">
          <cell r="C988" t="str">
            <v>ROLMER ARAUZ</v>
          </cell>
          <cell r="F988" t="str">
            <v>67 617429</v>
          </cell>
        </row>
        <row r="989">
          <cell r="C989" t="str">
            <v>ROOSVELT CASTILLO</v>
          </cell>
          <cell r="D989" t="str">
            <v>Roosvelt Castillo</v>
          </cell>
          <cell r="F989" t="str">
            <v>6226-9276</v>
          </cell>
        </row>
        <row r="990">
          <cell r="C990" t="str">
            <v>RUBEN RIVERA</v>
          </cell>
          <cell r="D990" t="str">
            <v>Ruben Rivera</v>
          </cell>
        </row>
        <row r="991">
          <cell r="C991" t="str">
            <v>SATURNINO VERGARA</v>
          </cell>
          <cell r="D991" t="str">
            <v>Saturnino Vergara</v>
          </cell>
          <cell r="F991" t="str">
            <v>65430429</v>
          </cell>
        </row>
        <row r="992">
          <cell r="C992" t="str">
            <v>SERGIO ENRIQUE GOMEZ</v>
          </cell>
        </row>
        <row r="993">
          <cell r="C993" t="str">
            <v>SILVIA RIOS</v>
          </cell>
        </row>
        <row r="994">
          <cell r="C994" t="str">
            <v>VPC Vida Produce Company</v>
          </cell>
          <cell r="D994" t="str">
            <v>José Alberto Pérez</v>
          </cell>
          <cell r="E994" t="str">
            <v>japerez@vpcom.com</v>
          </cell>
        </row>
        <row r="995">
          <cell r="C995" t="str">
            <v>UNITED WAY</v>
          </cell>
        </row>
        <row r="996">
          <cell r="C996" t="str">
            <v>AGENCIAS MOTTA</v>
          </cell>
          <cell r="D996" t="str">
            <v>Malena Calvit</v>
          </cell>
          <cell r="F996" t="str">
            <v>3007800</v>
          </cell>
        </row>
        <row r="997">
          <cell r="C997" t="str">
            <v>Angelica Arosemena</v>
          </cell>
          <cell r="D997" t="str">
            <v>Angélica Arosemena</v>
          </cell>
        </row>
        <row r="998">
          <cell r="C998" t="str">
            <v>BAP - ADMINSITRATIVO</v>
          </cell>
        </row>
        <row r="999">
          <cell r="C999" t="str">
            <v>COPCYTA</v>
          </cell>
          <cell r="E999" t="str">
            <v>presidente@copcyta.org.pa</v>
          </cell>
          <cell r="F999" t="str">
            <v>65297410</v>
          </cell>
        </row>
        <row r="1000">
          <cell r="C1000" t="str">
            <v>GFN</v>
          </cell>
        </row>
        <row r="1001">
          <cell r="C1001" t="str">
            <v>Interum S.A.</v>
          </cell>
          <cell r="D1001" t="str">
            <v>Carmen Rosado</v>
          </cell>
          <cell r="F1001" t="str">
            <v>6588-1345</v>
          </cell>
        </row>
        <row r="1002">
          <cell r="C1002" t="str">
            <v>Merma Interna</v>
          </cell>
        </row>
        <row r="1003">
          <cell r="C1003" t="str">
            <v>PANAMÁ MARINE LOGISTIC</v>
          </cell>
          <cell r="E1003" t="str">
            <v>sales@pmlc.com.pa</v>
          </cell>
          <cell r="F1003" t="str">
            <v>388-2267</v>
          </cell>
        </row>
        <row r="1004">
          <cell r="C1004" t="str">
            <v>Romero Household</v>
          </cell>
          <cell r="D1004" t="str">
            <v>Maria Romero</v>
          </cell>
          <cell r="E1004" t="str">
            <v>pastoramariaromero10@gmail.com</v>
          </cell>
        </row>
        <row r="1005">
          <cell r="C1005" t="str">
            <v>Santuario Nacional Corazón de María</v>
          </cell>
          <cell r="D1005" t="str">
            <v>Padre Averlaes</v>
          </cell>
          <cell r="E1005" t="str">
            <v>santuario.cmf.pa@gmail.com</v>
          </cell>
          <cell r="F1005" t="str">
            <v>263 9833 / 63228179</v>
          </cell>
        </row>
        <row r="1006">
          <cell r="C1006" t="str">
            <v>ALEXIS VIANOR HE</v>
          </cell>
        </row>
        <row r="1007">
          <cell r="C1007" t="str">
            <v>David Brandon Eisenmann Field (Padre) David Brandon Eisenmann Delvalle (Hijo)"</v>
          </cell>
        </row>
        <row r="1008">
          <cell r="C1008" t="str">
            <v>David Eisenmann</v>
          </cell>
          <cell r="D1008" t="str">
            <v>David Eisenmann</v>
          </cell>
        </row>
        <row r="1009">
          <cell r="C1009" t="str">
            <v>EYLON ISRAELY</v>
          </cell>
          <cell r="D1009" t="str">
            <v>EYLON ISRAELY</v>
          </cell>
          <cell r="E1009" t="str">
            <v>eylon@redwoodvisions.com</v>
          </cell>
        </row>
        <row r="1010">
          <cell r="C1010" t="str">
            <v>GIOVANNI SPIRITO GORDON Household</v>
          </cell>
          <cell r="D1010" t="str">
            <v>GIOVANNI SPIRITO GORDON</v>
          </cell>
        </row>
        <row r="1011">
          <cell r="C1011" t="str">
            <v>JULIE CARRIZO DE BRENES</v>
          </cell>
          <cell r="D1011" t="str">
            <v>JULIETA CARRIZO DE BRENES</v>
          </cell>
          <cell r="E1011" t="str">
            <v>juliecarrizo@hotmail.com</v>
          </cell>
          <cell r="F1011" t="str">
            <v>271-5082</v>
          </cell>
        </row>
        <row r="1012">
          <cell r="C1012" t="str">
            <v>MIGUEL HERAS CASTRO</v>
          </cell>
        </row>
        <row r="1013">
          <cell r="C1013" t="str">
            <v>GILBERTO G. PINZON</v>
          </cell>
          <cell r="F1013" t="str">
            <v>6468-9229</v>
          </cell>
        </row>
        <row r="1014">
          <cell r="C1014" t="str">
            <v>RAMIRO APARICIO</v>
          </cell>
        </row>
        <row r="1015">
          <cell r="C1015" t="str">
            <v>Abadía Household</v>
          </cell>
          <cell r="D1015" t="str">
            <v>Ana Abadía</v>
          </cell>
        </row>
        <row r="1016">
          <cell r="C1016" t="str">
            <v>ABREGO Household</v>
          </cell>
          <cell r="D1016" t="str">
            <v>Angie Abrego</v>
          </cell>
        </row>
        <row r="1017">
          <cell r="C1017" t="str">
            <v>ABREGO Household</v>
          </cell>
          <cell r="D1017" t="str">
            <v>GILDA ABREGO</v>
          </cell>
        </row>
        <row r="1018">
          <cell r="C1018" t="str">
            <v>ABREGO Household</v>
          </cell>
          <cell r="D1018" t="str">
            <v>Juan Carlos Abrego</v>
          </cell>
          <cell r="F1018" t="str">
            <v>6618-6489</v>
          </cell>
        </row>
        <row r="1019">
          <cell r="C1019" t="str">
            <v>ABREGO Household</v>
          </cell>
          <cell r="D1019" t="str">
            <v>Juan Carlos Abrego</v>
          </cell>
        </row>
        <row r="1020">
          <cell r="C1020" t="str">
            <v>ABREGO Household</v>
          </cell>
          <cell r="D1020" t="str">
            <v>Zelibeth Abrego</v>
          </cell>
        </row>
        <row r="1021">
          <cell r="C1021" t="str">
            <v>Acedo Household</v>
          </cell>
          <cell r="D1021" t="str">
            <v>Eliana Acedo</v>
          </cell>
        </row>
        <row r="1022">
          <cell r="C1022" t="str">
            <v>Acevedo Household</v>
          </cell>
          <cell r="D1022" t="str">
            <v>Nelson Acevedo</v>
          </cell>
        </row>
        <row r="1023">
          <cell r="C1023" t="str">
            <v>ACOSTA Household</v>
          </cell>
          <cell r="D1023" t="str">
            <v>Edward Acosta</v>
          </cell>
        </row>
        <row r="1024">
          <cell r="C1024" t="str">
            <v>ACOSTA Household</v>
          </cell>
          <cell r="D1024" t="str">
            <v>NIURKA ACOSTA</v>
          </cell>
        </row>
        <row r="1025">
          <cell r="C1025" t="str">
            <v>Adarme Household</v>
          </cell>
          <cell r="D1025" t="str">
            <v>Andrea Sofía Adarme</v>
          </cell>
          <cell r="F1025" t="str">
            <v>6140-2589</v>
          </cell>
        </row>
        <row r="1026">
          <cell r="C1026" t="str">
            <v>ADLWARTH Household</v>
          </cell>
          <cell r="D1026" t="str">
            <v>NIKOLAJ ADLWARTH</v>
          </cell>
        </row>
        <row r="1027">
          <cell r="C1027" t="str">
            <v>Adonican Household</v>
          </cell>
          <cell r="D1027" t="str">
            <v>Johana Adonican</v>
          </cell>
        </row>
        <row r="1028">
          <cell r="C1028" t="str">
            <v>Adonican J. Cain &amp; Co Household</v>
          </cell>
          <cell r="D1028" t="str">
            <v>Johana Adonican J. Cain &amp; Co</v>
          </cell>
        </row>
        <row r="1029">
          <cell r="C1029" t="str">
            <v>Afonso Ultradent Household</v>
          </cell>
          <cell r="D1029" t="str">
            <v>Gina Afonso Ultradent</v>
          </cell>
        </row>
        <row r="1030">
          <cell r="C1030" t="str">
            <v>Agrazal Household</v>
          </cell>
          <cell r="D1030" t="str">
            <v>Indira Agrazal</v>
          </cell>
        </row>
        <row r="1031">
          <cell r="C1031" t="str">
            <v>Aguilar Household</v>
          </cell>
          <cell r="D1031" t="str">
            <v>Ana Aguilar</v>
          </cell>
          <cell r="F1031" t="str">
            <v>66721566</v>
          </cell>
        </row>
        <row r="1032">
          <cell r="C1032" t="str">
            <v>Aguilar Household</v>
          </cell>
          <cell r="D1032" t="str">
            <v>Bernardo Aguilar</v>
          </cell>
        </row>
        <row r="1033">
          <cell r="C1033" t="str">
            <v>Aguilar Household</v>
          </cell>
          <cell r="D1033" t="str">
            <v>Keyla Aguilar</v>
          </cell>
        </row>
        <row r="1034">
          <cell r="C1034" t="str">
            <v>Aguirre de Cheung Household</v>
          </cell>
          <cell r="D1034" t="str">
            <v>Francia Aguirre de Cheung</v>
          </cell>
        </row>
        <row r="1035">
          <cell r="C1035" t="str">
            <v>Aguirre Household</v>
          </cell>
          <cell r="D1035" t="str">
            <v>Isabel Aguirre</v>
          </cell>
        </row>
        <row r="1036">
          <cell r="C1036" t="str">
            <v>Aguirre Household</v>
          </cell>
          <cell r="D1036" t="str">
            <v>Karina Aguirre</v>
          </cell>
        </row>
        <row r="1037">
          <cell r="C1037" t="str">
            <v>Aguirre Household</v>
          </cell>
          <cell r="D1037" t="str">
            <v>Luz Aguirre</v>
          </cell>
          <cell r="F1037" t="str">
            <v>63303636</v>
          </cell>
        </row>
        <row r="1038">
          <cell r="C1038" t="str">
            <v>Agurto Household</v>
          </cell>
          <cell r="D1038" t="str">
            <v>Belkis Agurto</v>
          </cell>
        </row>
        <row r="1039">
          <cell r="C1039" t="str">
            <v>Aizprúa Household</v>
          </cell>
          <cell r="D1039" t="str">
            <v>Eveling Aizprúa</v>
          </cell>
        </row>
        <row r="1040">
          <cell r="C1040" t="str">
            <v>Alana Croon Household</v>
          </cell>
          <cell r="D1040" t="str">
            <v>MET Alana Croon</v>
          </cell>
        </row>
        <row r="1041">
          <cell r="C1041" t="str">
            <v>Albornoz Household</v>
          </cell>
          <cell r="D1041" t="str">
            <v>Yeimi Albornoz</v>
          </cell>
        </row>
        <row r="1042">
          <cell r="C1042" t="str">
            <v>Alcanzar Saint John Household</v>
          </cell>
          <cell r="D1042" t="str">
            <v>Reyna Alcanzar Saint John</v>
          </cell>
        </row>
        <row r="1043">
          <cell r="C1043" t="str">
            <v>Alcedo de Vaccaro Household</v>
          </cell>
          <cell r="D1043" t="str">
            <v>Angelica Alcedo de Vaccaro</v>
          </cell>
        </row>
        <row r="1044">
          <cell r="C1044" t="str">
            <v>Alegria Household</v>
          </cell>
          <cell r="D1044" t="str">
            <v>Adayn Alegria</v>
          </cell>
        </row>
        <row r="1045">
          <cell r="C1045" t="str">
            <v>Aleman Household</v>
          </cell>
          <cell r="D1045" t="str">
            <v>Allyson Aleman</v>
          </cell>
        </row>
        <row r="1046">
          <cell r="C1046" t="str">
            <v>Alfaro Davivienda Household</v>
          </cell>
          <cell r="D1046" t="str">
            <v>Maria Lorena Alfaro Davivienda</v>
          </cell>
        </row>
        <row r="1047">
          <cell r="C1047" t="str">
            <v>Alfaro Household</v>
          </cell>
          <cell r="D1047" t="str">
            <v>Andrea Alfaro</v>
          </cell>
        </row>
        <row r="1048">
          <cell r="C1048" t="str">
            <v>Ali Household</v>
          </cell>
          <cell r="D1048" t="str">
            <v>Katherina Ali</v>
          </cell>
        </row>
        <row r="1049">
          <cell r="C1049" t="str">
            <v>almanza Household</v>
          </cell>
          <cell r="D1049" t="str">
            <v>Carolina almanza</v>
          </cell>
        </row>
        <row r="1050">
          <cell r="C1050" t="str">
            <v>almanza Household</v>
          </cell>
          <cell r="D1050" t="str">
            <v>Janeth Almanza</v>
          </cell>
        </row>
        <row r="1051">
          <cell r="C1051" t="str">
            <v>Almendras Household</v>
          </cell>
          <cell r="D1051" t="str">
            <v>Martha Almendras</v>
          </cell>
        </row>
        <row r="1052">
          <cell r="C1052" t="str">
            <v>Alonso Household</v>
          </cell>
          <cell r="D1052" t="str">
            <v>Darlenis Alonso</v>
          </cell>
        </row>
        <row r="1053">
          <cell r="C1053" t="str">
            <v>Alonso Household</v>
          </cell>
          <cell r="D1053" t="str">
            <v>Samaris Alonso</v>
          </cell>
        </row>
        <row r="1054">
          <cell r="C1054" t="str">
            <v>Alonso Household</v>
          </cell>
          <cell r="D1054" t="str">
            <v>Tania Alonso</v>
          </cell>
        </row>
        <row r="1055">
          <cell r="C1055" t="str">
            <v>Alonzo Household</v>
          </cell>
          <cell r="D1055" t="str">
            <v>Anelena Alonzo</v>
          </cell>
        </row>
        <row r="1056">
          <cell r="C1056" t="str">
            <v>ALUVID DE PANAMA S.A. Household</v>
          </cell>
          <cell r="D1056" t="str">
            <v>ALUVID DE PANAMA S.A. ALUVID DE PANAMA S.A.</v>
          </cell>
        </row>
        <row r="1057">
          <cell r="C1057" t="str">
            <v>Alvarado Household</v>
          </cell>
          <cell r="D1057" t="str">
            <v>BYRON ALVARADO</v>
          </cell>
        </row>
        <row r="1058">
          <cell r="C1058" t="str">
            <v>Alvarado Household</v>
          </cell>
          <cell r="D1058" t="str">
            <v>Ilse Alvarado</v>
          </cell>
        </row>
        <row r="1059">
          <cell r="C1059" t="str">
            <v>Alvarez Household</v>
          </cell>
          <cell r="D1059" t="str">
            <v>Juan David Alvarez</v>
          </cell>
        </row>
        <row r="1060">
          <cell r="C1060" t="str">
            <v>Alvarez ISP Household</v>
          </cell>
          <cell r="D1060" t="str">
            <v>Valeria Alvarez ISP</v>
          </cell>
        </row>
        <row r="1061">
          <cell r="C1061" t="str">
            <v>ALVAREZ MORENO Household</v>
          </cell>
          <cell r="D1061" t="str">
            <v>ANA CRISTINA ALVAREZ MORENO</v>
          </cell>
        </row>
        <row r="1062">
          <cell r="C1062" t="str">
            <v>Alzate Household</v>
          </cell>
          <cell r="D1062" t="str">
            <v>Yuliana Alzate Alzate</v>
          </cell>
        </row>
        <row r="1063">
          <cell r="C1063" t="str">
            <v>Amaya Household</v>
          </cell>
          <cell r="D1063" t="str">
            <v>Arturo Amaya</v>
          </cell>
        </row>
        <row r="1064">
          <cell r="C1064" t="str">
            <v>Amaya Household</v>
          </cell>
          <cell r="D1064" t="str">
            <v>Daniela Amaya</v>
          </cell>
        </row>
        <row r="1065">
          <cell r="C1065" t="str">
            <v>Andrade Canal Movers Household</v>
          </cell>
          <cell r="D1065" t="str">
            <v>Meryann Andrade Canal Movers</v>
          </cell>
        </row>
        <row r="1066">
          <cell r="C1066" t="str">
            <v>Andrade Household</v>
          </cell>
          <cell r="D1066" t="str">
            <v>Juan Andrade</v>
          </cell>
        </row>
        <row r="1067">
          <cell r="C1067" t="str">
            <v>Andrade Household</v>
          </cell>
          <cell r="D1067" t="str">
            <v>Meryann Andrade</v>
          </cell>
          <cell r="F1067" t="str">
            <v>6030-6752</v>
          </cell>
        </row>
        <row r="1068">
          <cell r="C1068" t="str">
            <v>Andrade Household</v>
          </cell>
          <cell r="D1068" t="str">
            <v>Rommel Andrade</v>
          </cell>
        </row>
        <row r="1069">
          <cell r="C1069" t="str">
            <v>Andrade Saint John Household</v>
          </cell>
          <cell r="D1069" t="str">
            <v>Ashly Andrade Saint John</v>
          </cell>
        </row>
        <row r="1070">
          <cell r="C1070" t="str">
            <v>ANDREA ALFARO Household</v>
          </cell>
          <cell r="D1070" t="str">
            <v>FELIPE MOTA ANDREA ALFARO</v>
          </cell>
        </row>
        <row r="1071">
          <cell r="C1071" t="str">
            <v>ANGUILA Household</v>
          </cell>
          <cell r="D1071" t="str">
            <v>LUIS ANGUILA</v>
          </cell>
        </row>
        <row r="1072">
          <cell r="C1072" t="str">
            <v>Anónima Household</v>
          </cell>
          <cell r="D1072" t="str">
            <v>Adolfo Icaza</v>
          </cell>
        </row>
        <row r="1073">
          <cell r="C1073" t="str">
            <v>Anónima Household</v>
          </cell>
          <cell r="D1073" t="str">
            <v>Alejandrina Corpas</v>
          </cell>
        </row>
        <row r="1074">
          <cell r="C1074" t="str">
            <v>Anónima Household</v>
          </cell>
          <cell r="D1074" t="str">
            <v>Ana Delgado</v>
          </cell>
        </row>
        <row r="1075">
          <cell r="C1075" t="str">
            <v>Anónima Household</v>
          </cell>
          <cell r="D1075" t="str">
            <v>Demetrio Aguilar</v>
          </cell>
        </row>
        <row r="1076">
          <cell r="C1076" t="str">
            <v>Anónima Household</v>
          </cell>
          <cell r="D1076" t="str">
            <v>Eva Bettzak</v>
          </cell>
        </row>
        <row r="1077">
          <cell r="C1077" t="str">
            <v>Anónima Household</v>
          </cell>
          <cell r="D1077" t="str">
            <v>Geovany Sanchez</v>
          </cell>
        </row>
        <row r="1078">
          <cell r="C1078" t="str">
            <v>Anónima Household</v>
          </cell>
          <cell r="D1078" t="str">
            <v>Irin Galvez</v>
          </cell>
        </row>
        <row r="1079">
          <cell r="C1079" t="str">
            <v>Anónima Household</v>
          </cell>
          <cell r="D1079" t="str">
            <v>Laisa Monterrey</v>
          </cell>
        </row>
        <row r="1080">
          <cell r="C1080" t="str">
            <v>Anónima Household</v>
          </cell>
          <cell r="D1080" t="str">
            <v>Maribel Moore</v>
          </cell>
        </row>
        <row r="1081">
          <cell r="C1081" t="str">
            <v>Anónima Household</v>
          </cell>
          <cell r="D1081" t="str">
            <v>MARY Y LILY MARY Y LILY</v>
          </cell>
        </row>
        <row r="1082">
          <cell r="C1082" t="str">
            <v>Anónima Household</v>
          </cell>
          <cell r="D1082" t="str">
            <v>Moises Ilarlan</v>
          </cell>
        </row>
        <row r="1083">
          <cell r="C1083" t="str">
            <v>Anónima Household</v>
          </cell>
          <cell r="D1083" t="str">
            <v>Monica Niño</v>
          </cell>
        </row>
        <row r="1084">
          <cell r="C1084" t="str">
            <v>Anónima Household</v>
          </cell>
          <cell r="D1084" t="str">
            <v>SERGIO METIVIER</v>
          </cell>
        </row>
        <row r="1085">
          <cell r="C1085" t="str">
            <v>Anónima Household</v>
          </cell>
          <cell r="D1085" t="str">
            <v>Timothy Charles</v>
          </cell>
        </row>
        <row r="1086">
          <cell r="C1086" t="str">
            <v>Anónima Household</v>
          </cell>
        </row>
        <row r="1087">
          <cell r="C1087" t="str">
            <v>Anonymous Household</v>
          </cell>
          <cell r="D1087" t="str">
            <v>JOSE MANUEL HERRERA</v>
          </cell>
        </row>
        <row r="1088">
          <cell r="C1088" t="str">
            <v>Antony Santos Household</v>
          </cell>
          <cell r="D1088" t="str">
            <v>COMEDOR NUEVO PACTO ARCO IRIS Antony Santos</v>
          </cell>
        </row>
        <row r="1089">
          <cell r="C1089" t="str">
            <v>Añino Household</v>
          </cell>
          <cell r="D1089" t="str">
            <v>Joys Añino</v>
          </cell>
        </row>
        <row r="1090">
          <cell r="C1090" t="str">
            <v>Aparicio Household</v>
          </cell>
          <cell r="D1090" t="str">
            <v>Edwin Aparicio</v>
          </cell>
        </row>
        <row r="1091">
          <cell r="C1091" t="str">
            <v>Aparicio Household</v>
          </cell>
          <cell r="D1091" t="str">
            <v>Madelayne Aparicio</v>
          </cell>
        </row>
        <row r="1092">
          <cell r="C1092" t="str">
            <v>Apolayo Household</v>
          </cell>
          <cell r="D1092" t="str">
            <v>Ismael Apolayo</v>
          </cell>
        </row>
        <row r="1093">
          <cell r="C1093" t="str">
            <v>Araica Household</v>
          </cell>
          <cell r="D1093" t="str">
            <v>Cesar Araica</v>
          </cell>
        </row>
        <row r="1094">
          <cell r="C1094" t="str">
            <v>ARANDA Household</v>
          </cell>
          <cell r="D1094" t="str">
            <v>JUAN ARANDA</v>
          </cell>
        </row>
        <row r="1095">
          <cell r="C1095" t="str">
            <v>Arango Household</v>
          </cell>
          <cell r="D1095" t="str">
            <v>Lucia Arango</v>
          </cell>
        </row>
        <row r="1096">
          <cell r="C1096" t="str">
            <v>Arauz C. Abba Padre Household</v>
          </cell>
          <cell r="D1096" t="str">
            <v>Nathaly Arauz C. Abba Padre</v>
          </cell>
        </row>
        <row r="1097">
          <cell r="C1097" t="str">
            <v>Arauz Household</v>
          </cell>
          <cell r="D1097" t="str">
            <v>Alexander Arauz</v>
          </cell>
        </row>
        <row r="1098">
          <cell r="C1098" t="str">
            <v>Araúz Household</v>
          </cell>
          <cell r="D1098" t="str">
            <v>Johandra Araúz</v>
          </cell>
        </row>
        <row r="1099">
          <cell r="C1099" t="str">
            <v>Araúz Instituto Alberto Einstein Household</v>
          </cell>
          <cell r="D1099" t="str">
            <v>Giselle Araúz Instituto Alberto Einstein</v>
          </cell>
        </row>
        <row r="1100">
          <cell r="C1100" t="str">
            <v>Arcia Household</v>
          </cell>
          <cell r="D1100" t="str">
            <v>Marlia Isora Arcia</v>
          </cell>
        </row>
        <row r="1101">
          <cell r="C1101" t="str">
            <v>Arcila Household</v>
          </cell>
          <cell r="D1101" t="str">
            <v>Sabrina Arcila</v>
          </cell>
        </row>
        <row r="1102">
          <cell r="C1102" t="str">
            <v>Arcoiris Household</v>
          </cell>
          <cell r="D1102" t="str">
            <v>Iglesia Nuevo Pacto Arcoiris</v>
          </cell>
        </row>
        <row r="1103">
          <cell r="C1103" t="str">
            <v>Ardines Household</v>
          </cell>
          <cell r="D1103" t="str">
            <v>Priscilla Ardines</v>
          </cell>
        </row>
        <row r="1104">
          <cell r="C1104" t="str">
            <v>Arguello Household</v>
          </cell>
          <cell r="D1104" t="str">
            <v>Henry Arguello</v>
          </cell>
        </row>
        <row r="1105">
          <cell r="C1105" t="str">
            <v>Arias and Leandro Household</v>
          </cell>
          <cell r="D1105" t="str">
            <v>Dayra Arias</v>
          </cell>
        </row>
        <row r="1106">
          <cell r="C1106" t="str">
            <v>ARIAS Household</v>
          </cell>
          <cell r="D1106" t="str">
            <v>ANA MAE ARIAS</v>
          </cell>
        </row>
        <row r="1107">
          <cell r="C1107" t="str">
            <v>ARIAS Household</v>
          </cell>
          <cell r="D1107" t="str">
            <v>EDGARDO ARIAS</v>
          </cell>
        </row>
        <row r="1108">
          <cell r="C1108" t="str">
            <v>ARIAS Household</v>
          </cell>
          <cell r="D1108" t="str">
            <v>FERNANDA ARIAS</v>
          </cell>
        </row>
        <row r="1109">
          <cell r="C1109" t="str">
            <v>ARIAS Household</v>
          </cell>
          <cell r="D1109" t="str">
            <v>Jimy Arias</v>
          </cell>
        </row>
        <row r="1110">
          <cell r="C1110" t="str">
            <v>ARIAS Household</v>
          </cell>
          <cell r="D1110" t="str">
            <v>Jorge Arias</v>
          </cell>
        </row>
        <row r="1111">
          <cell r="C1111" t="str">
            <v>ARIAS Household</v>
          </cell>
          <cell r="D1111" t="str">
            <v>MARLINA ARIAS</v>
          </cell>
        </row>
        <row r="1112">
          <cell r="C1112" t="str">
            <v>Ariela Mizrachi Household</v>
          </cell>
          <cell r="D1112" t="str">
            <v>Cerro Punta Ariela Mizrachi</v>
          </cell>
        </row>
        <row r="1113">
          <cell r="C1113" t="str">
            <v>Arispe Household</v>
          </cell>
          <cell r="D1113" t="str">
            <v>Luis Arispe</v>
          </cell>
        </row>
        <row r="1114">
          <cell r="C1114" t="str">
            <v>Arjona Household</v>
          </cell>
          <cell r="D1114" t="str">
            <v>Zuleymi Arjona</v>
          </cell>
        </row>
        <row r="1115">
          <cell r="C1115" t="str">
            <v>Armenteros Household</v>
          </cell>
          <cell r="D1115" t="str">
            <v>Keren Armenteros</v>
          </cell>
          <cell r="F1115" t="str">
            <v>6254-5006</v>
          </cell>
        </row>
        <row r="1116">
          <cell r="C1116" t="str">
            <v>Arosemena Graziadei Household</v>
          </cell>
          <cell r="D1116" t="str">
            <v>Juan Pablo Arosemena Graziadei</v>
          </cell>
        </row>
        <row r="1117">
          <cell r="C1117" t="str">
            <v>AROSEMENA Household</v>
          </cell>
          <cell r="D1117" t="str">
            <v>EDUARDO AROSEMENA</v>
          </cell>
        </row>
        <row r="1118">
          <cell r="C1118" t="str">
            <v>AROSEMENA Household</v>
          </cell>
          <cell r="D1118" t="str">
            <v>Gabriela Arosemena</v>
          </cell>
        </row>
        <row r="1119">
          <cell r="C1119" t="str">
            <v>AROSEMENA Household</v>
          </cell>
          <cell r="D1119" t="str">
            <v>MARIA ELENA AROSEMENA</v>
          </cell>
        </row>
        <row r="1120">
          <cell r="C1120" t="str">
            <v>AROSEMENA Household</v>
          </cell>
          <cell r="D1120" t="str">
            <v>SHALIMAR AROSEMENA</v>
          </cell>
        </row>
        <row r="1121">
          <cell r="C1121" t="str">
            <v>AROSEMENA Household</v>
          </cell>
          <cell r="D1121" t="str">
            <v>Tzanetatos Joel Arosemena</v>
          </cell>
        </row>
        <row r="1122">
          <cell r="C1122" t="str">
            <v>Arroniz Household</v>
          </cell>
          <cell r="D1122" t="str">
            <v>Natasha Arroniz</v>
          </cell>
        </row>
        <row r="1123">
          <cell r="C1123" t="str">
            <v>ASCUNTAR Household</v>
          </cell>
          <cell r="D1123" t="str">
            <v>YERALDIM ASCUNTAR</v>
          </cell>
        </row>
        <row r="1124">
          <cell r="C1124" t="str">
            <v>Asfall Household</v>
          </cell>
          <cell r="D1124" t="str">
            <v>Zurianty Asfall</v>
          </cell>
        </row>
        <row r="1125">
          <cell r="C1125" t="str">
            <v>ASPRILLA Household</v>
          </cell>
          <cell r="D1125" t="str">
            <v>RUBIELA ASPRILLA</v>
          </cell>
        </row>
        <row r="1126">
          <cell r="C1126" t="str">
            <v>Atencio C. Saint Mary Household</v>
          </cell>
          <cell r="D1126" t="str">
            <v>Mia Atencio C. Saint Mary</v>
          </cell>
        </row>
        <row r="1127">
          <cell r="C1127" t="str">
            <v>Atencio Household</v>
          </cell>
          <cell r="D1127" t="str">
            <v>Flor Atencio</v>
          </cell>
        </row>
        <row r="1128">
          <cell r="C1128" t="str">
            <v>Atencio Household</v>
          </cell>
          <cell r="D1128" t="str">
            <v>Jilia Atencio</v>
          </cell>
        </row>
        <row r="1129">
          <cell r="C1129" t="str">
            <v>Atencio Household</v>
          </cell>
          <cell r="D1129" t="str">
            <v>Karina Atencio</v>
          </cell>
        </row>
        <row r="1130">
          <cell r="C1130" t="str">
            <v>Atencio Household</v>
          </cell>
          <cell r="D1130" t="str">
            <v>KARINE ATENCIO</v>
          </cell>
        </row>
        <row r="1131">
          <cell r="C1131" t="str">
            <v>attie angel Household</v>
          </cell>
          <cell r="D1131" t="str">
            <v>Grace tamar attie angel</v>
          </cell>
        </row>
        <row r="1132">
          <cell r="C1132" t="str">
            <v>Aubert Household</v>
          </cell>
          <cell r="D1132" t="str">
            <v>Charlène Aubert</v>
          </cell>
        </row>
        <row r="1133">
          <cell r="C1133" t="str">
            <v>Avecilla Household</v>
          </cell>
          <cell r="D1133" t="str">
            <v>Yariela Avecilla</v>
          </cell>
        </row>
        <row r="1134">
          <cell r="C1134" t="str">
            <v>Averlaes Household</v>
          </cell>
          <cell r="D1134" t="str">
            <v>Padre Averlaes</v>
          </cell>
          <cell r="F1134" t="str">
            <v>6322-8179</v>
          </cell>
        </row>
        <row r="1135">
          <cell r="C1135" t="str">
            <v>AVILA DE LOO Household</v>
          </cell>
          <cell r="D1135" t="str">
            <v>PAMELA AVILA DE LOO</v>
          </cell>
        </row>
        <row r="1136">
          <cell r="C1136" t="str">
            <v>Avila Household</v>
          </cell>
          <cell r="D1136" t="str">
            <v>Ilanis Avila</v>
          </cell>
        </row>
        <row r="1137">
          <cell r="C1137" t="str">
            <v>Azuaje Household</v>
          </cell>
          <cell r="D1137" t="str">
            <v>Maideline Azuaje</v>
          </cell>
          <cell r="F1137" t="str">
            <v>398-1411</v>
          </cell>
        </row>
        <row r="1138">
          <cell r="C1138" t="str">
            <v>BAKER Household</v>
          </cell>
          <cell r="D1138" t="str">
            <v>EDWARD BAKER</v>
          </cell>
        </row>
        <row r="1139">
          <cell r="C1139" t="str">
            <v>Balabarca Household</v>
          </cell>
          <cell r="D1139" t="str">
            <v>Joseph Balabarca</v>
          </cell>
        </row>
        <row r="1140">
          <cell r="C1140" t="str">
            <v>Ballard Household</v>
          </cell>
          <cell r="D1140" t="str">
            <v>Isabelle Ballard</v>
          </cell>
        </row>
        <row r="1141">
          <cell r="C1141" t="str">
            <v>Ballesteros Household</v>
          </cell>
          <cell r="D1141" t="str">
            <v>Roberto Ballesteros</v>
          </cell>
        </row>
        <row r="1142">
          <cell r="C1142" t="str">
            <v>Bambú Household</v>
          </cell>
          <cell r="D1142" t="str">
            <v>Ana Bambú</v>
          </cell>
        </row>
        <row r="1143">
          <cell r="C1143" t="str">
            <v>Banco de Alimentos Panamá - Global FoodBanking Network</v>
          </cell>
        </row>
        <row r="1144">
          <cell r="C1144" t="str">
            <v>BAP Household</v>
          </cell>
          <cell r="D1144" t="str">
            <v>COMUNICACIONES BAP</v>
          </cell>
        </row>
        <row r="1145">
          <cell r="C1145" t="str">
            <v>Barahona Household</v>
          </cell>
          <cell r="D1145" t="str">
            <v>Arlen Barahona</v>
          </cell>
        </row>
        <row r="1146">
          <cell r="C1146" t="str">
            <v>Barahona Household</v>
          </cell>
          <cell r="D1146" t="str">
            <v>Juan Barahona</v>
          </cell>
        </row>
        <row r="1147">
          <cell r="C1147" t="str">
            <v>Barahona Household</v>
          </cell>
          <cell r="D1147" t="str">
            <v>Vivian Barahona</v>
          </cell>
          <cell r="F1147" t="str">
            <v>66750227</v>
          </cell>
        </row>
        <row r="1148">
          <cell r="C1148" t="str">
            <v>Barahona Household</v>
          </cell>
          <cell r="D1148" t="str">
            <v>Vivian Barahona</v>
          </cell>
        </row>
        <row r="1149">
          <cell r="C1149" t="str">
            <v>Bárbaro Household</v>
          </cell>
          <cell r="D1149" t="str">
            <v>Andrés Bárbaro</v>
          </cell>
        </row>
        <row r="1150">
          <cell r="C1150" t="str">
            <v>Barletta Household</v>
          </cell>
          <cell r="D1150" t="str">
            <v>Joaly Barletta</v>
          </cell>
        </row>
        <row r="1151">
          <cell r="C1151" t="str">
            <v>Barrera Household</v>
          </cell>
          <cell r="D1151" t="str">
            <v>IGNACIA BARRERA</v>
          </cell>
        </row>
        <row r="1152">
          <cell r="C1152" t="str">
            <v>Barrera Household</v>
          </cell>
          <cell r="D1152" t="str">
            <v>Marjorie Barrera</v>
          </cell>
        </row>
        <row r="1153">
          <cell r="C1153" t="str">
            <v>Barria Household</v>
          </cell>
          <cell r="D1153" t="str">
            <v>Jesus Barria</v>
          </cell>
        </row>
        <row r="1154">
          <cell r="C1154" t="str">
            <v>Barria Household</v>
          </cell>
          <cell r="D1154" t="str">
            <v>MAURO BARRIA</v>
          </cell>
        </row>
        <row r="1155">
          <cell r="C1155" t="str">
            <v>BARRIOS Household</v>
          </cell>
          <cell r="D1155" t="str">
            <v>Adriana Barrios</v>
          </cell>
        </row>
        <row r="1156">
          <cell r="C1156" t="str">
            <v>BARRIOS Household</v>
          </cell>
          <cell r="D1156" t="str">
            <v>ALEXANDRA BARRIOS</v>
          </cell>
        </row>
        <row r="1157">
          <cell r="C1157" t="str">
            <v>BARRIOS Household</v>
          </cell>
          <cell r="D1157" t="str">
            <v>Katherine Barrios</v>
          </cell>
        </row>
        <row r="1158">
          <cell r="C1158" t="str">
            <v>Barroso Household</v>
          </cell>
          <cell r="D1158" t="str">
            <v>Jose Barroso</v>
          </cell>
        </row>
        <row r="1159">
          <cell r="C1159" t="str">
            <v>Barsallo Household</v>
          </cell>
          <cell r="D1159" t="str">
            <v>Unibank Christy Barsallo</v>
          </cell>
        </row>
        <row r="1160">
          <cell r="C1160" t="str">
            <v>Bastardo Castillejos Household</v>
          </cell>
          <cell r="D1160" t="str">
            <v>Jesús A. Bastardo Castillejos</v>
          </cell>
        </row>
        <row r="1161">
          <cell r="C1161" t="str">
            <v>Basto Household</v>
          </cell>
          <cell r="D1161" t="str">
            <v>Lili Basto</v>
          </cell>
        </row>
        <row r="1162">
          <cell r="C1162" t="str">
            <v>Basurto Household</v>
          </cell>
          <cell r="D1162" t="str">
            <v>Jackeline Basurto</v>
          </cell>
        </row>
        <row r="1163">
          <cell r="C1163" t="str">
            <v>BATISTA GONZALEZ Household</v>
          </cell>
          <cell r="D1163" t="str">
            <v>CELIO BATISTA GONZALEZ</v>
          </cell>
        </row>
        <row r="1164">
          <cell r="C1164" t="str">
            <v>Batista Household</v>
          </cell>
          <cell r="D1164" t="str">
            <v>Erick Batista</v>
          </cell>
        </row>
        <row r="1165">
          <cell r="C1165" t="str">
            <v>Batista Household</v>
          </cell>
          <cell r="D1165" t="str">
            <v>LUIS BATISTA</v>
          </cell>
        </row>
        <row r="1166">
          <cell r="C1166" t="str">
            <v>Baule Household</v>
          </cell>
          <cell r="D1166" t="str">
            <v>Maybelline Baule</v>
          </cell>
        </row>
        <row r="1167">
          <cell r="C1167" t="str">
            <v>Baules Household</v>
          </cell>
          <cell r="D1167" t="str">
            <v>Belkis Baules</v>
          </cell>
        </row>
        <row r="1168">
          <cell r="C1168" t="str">
            <v>Bazan Household</v>
          </cell>
          <cell r="D1168" t="str">
            <v>Paola Bazan</v>
          </cell>
        </row>
        <row r="1169">
          <cell r="C1169" t="str">
            <v>Beitia Household</v>
          </cell>
          <cell r="D1169" t="str">
            <v>Evelyn Beitia</v>
          </cell>
        </row>
        <row r="1170">
          <cell r="C1170" t="str">
            <v>Beitia Household</v>
          </cell>
          <cell r="D1170" t="str">
            <v>Sandra Beitia</v>
          </cell>
          <cell r="F1170" t="str">
            <v>6400-9043</v>
          </cell>
        </row>
        <row r="1171">
          <cell r="C1171" t="str">
            <v>Bejarano Granillo (oxford) Household</v>
          </cell>
          <cell r="D1171" t="str">
            <v>Valentina Bejarano Granillo (oxford)</v>
          </cell>
        </row>
        <row r="1172">
          <cell r="C1172" t="str">
            <v>Bejarano Household</v>
          </cell>
          <cell r="D1172" t="str">
            <v>Edgardo Bejarano</v>
          </cell>
        </row>
        <row r="1173">
          <cell r="C1173" t="str">
            <v>BELLORÍN ZEPEDA Household</v>
          </cell>
          <cell r="D1173" t="str">
            <v>ALVIN BELLORÍN ZEPEDA</v>
          </cell>
        </row>
        <row r="1174">
          <cell r="C1174" t="str">
            <v>Benavides Household</v>
          </cell>
          <cell r="D1174" t="str">
            <v>Andrea Benavides</v>
          </cell>
        </row>
        <row r="1175">
          <cell r="C1175" t="str">
            <v>Benitez Household</v>
          </cell>
          <cell r="D1175" t="str">
            <v>Emelida Benitez</v>
          </cell>
        </row>
        <row r="1176">
          <cell r="C1176" t="str">
            <v>Benítez Household</v>
          </cell>
          <cell r="D1176" t="str">
            <v>Gloria Benítez</v>
          </cell>
        </row>
        <row r="1177">
          <cell r="C1177" t="str">
            <v>Bennett de Martinelli Household</v>
          </cell>
          <cell r="D1177" t="str">
            <v>Denise Bennett de Martinelli</v>
          </cell>
        </row>
        <row r="1178">
          <cell r="C1178" t="str">
            <v>Berberian Household</v>
          </cell>
          <cell r="D1178" t="str">
            <v>Andres Berberian</v>
          </cell>
        </row>
        <row r="1179">
          <cell r="C1179" t="str">
            <v>Berberian Household</v>
          </cell>
          <cell r="D1179" t="str">
            <v>Juan Jose Berberian</v>
          </cell>
        </row>
        <row r="1180">
          <cell r="C1180" t="str">
            <v>Bermudez Household</v>
          </cell>
          <cell r="D1180" t="str">
            <v>Marianela Bermudez</v>
          </cell>
        </row>
        <row r="1181">
          <cell r="C1181" t="str">
            <v>Bermudez Household</v>
          </cell>
          <cell r="D1181" t="str">
            <v>Natzare Bermudez</v>
          </cell>
        </row>
        <row r="1182">
          <cell r="C1182" t="str">
            <v>BERNAL Household</v>
          </cell>
          <cell r="D1182" t="str">
            <v>Angisell Bernal</v>
          </cell>
        </row>
        <row r="1183">
          <cell r="C1183" t="str">
            <v>BERNAL Household</v>
          </cell>
          <cell r="D1183" t="str">
            <v>Gabriela Bernal</v>
          </cell>
        </row>
        <row r="1184">
          <cell r="C1184" t="str">
            <v>BERNAL Household</v>
          </cell>
          <cell r="D1184" t="str">
            <v>MELANIE BERNAL</v>
          </cell>
        </row>
        <row r="1185">
          <cell r="C1185" t="str">
            <v>Berrio Household</v>
          </cell>
          <cell r="D1185" t="str">
            <v>Kayra Berrio</v>
          </cell>
        </row>
        <row r="1186">
          <cell r="C1186" t="str">
            <v>Berrio Saint John Household</v>
          </cell>
          <cell r="D1186" t="str">
            <v>Iris Berrio Saint John</v>
          </cell>
        </row>
        <row r="1187">
          <cell r="C1187" t="str">
            <v>Berroa Household</v>
          </cell>
          <cell r="D1187" t="str">
            <v>Stephany Berroa</v>
          </cell>
        </row>
        <row r="1188">
          <cell r="C1188" t="str">
            <v>Bertello Household</v>
          </cell>
          <cell r="D1188" t="str">
            <v>Nato Bertello</v>
          </cell>
        </row>
        <row r="1189">
          <cell r="C1189" t="str">
            <v>Bethancourt Household</v>
          </cell>
          <cell r="D1189" t="str">
            <v>Amisaday Bethancourt</v>
          </cell>
        </row>
        <row r="1190">
          <cell r="C1190" t="str">
            <v>Bethancourt Household</v>
          </cell>
          <cell r="D1190" t="str">
            <v>Keyri Bethancourt</v>
          </cell>
        </row>
        <row r="1191">
          <cell r="C1191" t="str">
            <v>Bethancourt Household</v>
          </cell>
          <cell r="D1191" t="str">
            <v>Moisés Bethancourt</v>
          </cell>
        </row>
        <row r="1192">
          <cell r="C1192" t="str">
            <v>Bethancourt Household</v>
          </cell>
          <cell r="D1192" t="str">
            <v>Yuleimy Bethancourt</v>
          </cell>
        </row>
        <row r="1193">
          <cell r="C1193" t="str">
            <v>Bethancourth Household</v>
          </cell>
          <cell r="D1193" t="str">
            <v>Claribeth Bethancourth</v>
          </cell>
        </row>
        <row r="1194">
          <cell r="C1194" t="str">
            <v>Blake Household</v>
          </cell>
          <cell r="D1194" t="str">
            <v>Emineth Blake</v>
          </cell>
        </row>
        <row r="1195">
          <cell r="C1195" t="str">
            <v>Blanco Household</v>
          </cell>
          <cell r="D1195" t="str">
            <v>Gietsseth Blanco</v>
          </cell>
        </row>
        <row r="1196">
          <cell r="C1196" t="str">
            <v>Blanco Household</v>
          </cell>
          <cell r="D1196" t="str">
            <v>Lidabel Blanco</v>
          </cell>
        </row>
        <row r="1197">
          <cell r="C1197" t="str">
            <v>Bolaños Household</v>
          </cell>
          <cell r="D1197" t="str">
            <v>Andrea Bolaños</v>
          </cell>
        </row>
        <row r="1198">
          <cell r="C1198" t="str">
            <v>Bolobosky Household</v>
          </cell>
          <cell r="D1198" t="str">
            <v>Mashelle Bolobosky</v>
          </cell>
          <cell r="F1198" t="str">
            <v>62172251</v>
          </cell>
        </row>
        <row r="1199">
          <cell r="C1199" t="str">
            <v>Bonfante Household</v>
          </cell>
          <cell r="D1199" t="str">
            <v>Marlon Bonfante</v>
          </cell>
        </row>
        <row r="1200">
          <cell r="C1200" t="str">
            <v>Bonilla Household</v>
          </cell>
          <cell r="D1200" t="str">
            <v>Diomedes Bonilla</v>
          </cell>
        </row>
        <row r="1201">
          <cell r="C1201" t="str">
            <v>Bósquez Household</v>
          </cell>
          <cell r="D1201" t="str">
            <v>David Bósquez</v>
          </cell>
        </row>
        <row r="1202">
          <cell r="C1202" t="str">
            <v>Botacio Household</v>
          </cell>
          <cell r="D1202" t="str">
            <v>Jose Luis Botacio</v>
          </cell>
        </row>
        <row r="1203">
          <cell r="C1203" t="str">
            <v>BouR Household</v>
          </cell>
          <cell r="D1203" t="str">
            <v>Julinne BouR</v>
          </cell>
        </row>
        <row r="1204">
          <cell r="C1204" t="str">
            <v>Bourdett Household</v>
          </cell>
          <cell r="D1204" t="str">
            <v>Julinne Bourdett</v>
          </cell>
        </row>
        <row r="1205">
          <cell r="C1205" t="str">
            <v>BOYD Household</v>
          </cell>
          <cell r="D1205" t="str">
            <v>JOHANA BOYD</v>
          </cell>
        </row>
        <row r="1206">
          <cell r="C1206" t="str">
            <v>BOYD Household</v>
          </cell>
          <cell r="D1206" t="str">
            <v>JULIETA BOYD</v>
          </cell>
        </row>
        <row r="1207">
          <cell r="C1207" t="str">
            <v>Bravo Household</v>
          </cell>
          <cell r="D1207" t="str">
            <v>Jaime Bravo</v>
          </cell>
        </row>
        <row r="1208">
          <cell r="C1208" t="str">
            <v>Brewster Household</v>
          </cell>
          <cell r="D1208" t="str">
            <v>Jennia Brewster</v>
          </cell>
        </row>
        <row r="1209">
          <cell r="C1209" t="str">
            <v>Briceno Household</v>
          </cell>
          <cell r="D1209" t="str">
            <v>Karen Briceno</v>
          </cell>
        </row>
        <row r="1210">
          <cell r="C1210" t="str">
            <v>Brin Household</v>
          </cell>
          <cell r="D1210" t="str">
            <v>Joaquin Brin</v>
          </cell>
        </row>
        <row r="1211">
          <cell r="C1211" t="str">
            <v>Brito Household</v>
          </cell>
          <cell r="D1211" t="str">
            <v>Roselys Brito</v>
          </cell>
          <cell r="F1211" t="str">
            <v>6890-3543</v>
          </cell>
        </row>
        <row r="1212">
          <cell r="C1212" t="str">
            <v>Bronce Household</v>
          </cell>
          <cell r="D1212" t="str">
            <v>Elias Bronce</v>
          </cell>
        </row>
        <row r="1213">
          <cell r="C1213" t="str">
            <v>BROWN Household</v>
          </cell>
          <cell r="D1213" t="str">
            <v>MELVIN BROWN</v>
          </cell>
        </row>
        <row r="1214">
          <cell r="C1214" t="str">
            <v>Buglione Household</v>
          </cell>
          <cell r="D1214" t="str">
            <v>Hian Buglione</v>
          </cell>
        </row>
        <row r="1215">
          <cell r="C1215" t="str">
            <v>Buglione Moreno Household</v>
          </cell>
          <cell r="D1215" t="str">
            <v>Hian Buglione Moreno</v>
          </cell>
        </row>
        <row r="1216">
          <cell r="C1216" t="str">
            <v>Bultrón Household</v>
          </cell>
          <cell r="D1216" t="str">
            <v>Roberto Bultrón</v>
          </cell>
        </row>
        <row r="1217">
          <cell r="C1217" t="str">
            <v>Burke Oxford Household</v>
          </cell>
          <cell r="D1217" t="str">
            <v>Rogelio Burke Oxford</v>
          </cell>
        </row>
        <row r="1218">
          <cell r="C1218" t="str">
            <v>Burrowes Household</v>
          </cell>
          <cell r="D1218" t="str">
            <v>Roselyn Burrowes</v>
          </cell>
        </row>
        <row r="1219">
          <cell r="C1219" t="str">
            <v>Caballero Household</v>
          </cell>
          <cell r="D1219" t="str">
            <v>Ana Caballero</v>
          </cell>
        </row>
        <row r="1220">
          <cell r="C1220" t="str">
            <v>Caballero Household</v>
          </cell>
          <cell r="D1220" t="str">
            <v>Calixto Caballero</v>
          </cell>
        </row>
        <row r="1221">
          <cell r="C1221" t="str">
            <v>Caballero Household</v>
          </cell>
          <cell r="D1221" t="str">
            <v>Freddy Caballero</v>
          </cell>
        </row>
        <row r="1222">
          <cell r="C1222" t="str">
            <v>Caballero Household</v>
          </cell>
          <cell r="D1222" t="str">
            <v>Itzel Caballero</v>
          </cell>
        </row>
        <row r="1223">
          <cell r="C1223" t="str">
            <v>Caballero Household</v>
          </cell>
          <cell r="D1223" t="str">
            <v>Lydia Caballero</v>
          </cell>
        </row>
        <row r="1224">
          <cell r="C1224" t="str">
            <v>Caballero Household</v>
          </cell>
          <cell r="D1224" t="str">
            <v>Marta Caballero</v>
          </cell>
        </row>
        <row r="1225">
          <cell r="C1225" t="str">
            <v>Caballero Household</v>
          </cell>
          <cell r="D1225" t="str">
            <v>Martir Caballero</v>
          </cell>
          <cell r="F1225" t="str">
            <v>6742-0053</v>
          </cell>
        </row>
        <row r="1226">
          <cell r="C1226" t="str">
            <v>Cabrera Household</v>
          </cell>
          <cell r="D1226" t="str">
            <v>Ana Larisa Cabrera</v>
          </cell>
        </row>
        <row r="1227">
          <cell r="C1227" t="str">
            <v>Cabrera Household</v>
          </cell>
          <cell r="D1227" t="str">
            <v>Edward Cabrera</v>
          </cell>
        </row>
        <row r="1228">
          <cell r="C1228" t="str">
            <v>Cabrera Household</v>
          </cell>
          <cell r="D1228" t="str">
            <v>Sebastian Cabrera</v>
          </cell>
        </row>
        <row r="1229">
          <cell r="C1229" t="str">
            <v>Caceres Household</v>
          </cell>
          <cell r="D1229" t="str">
            <v>Kiriam Caceres</v>
          </cell>
        </row>
        <row r="1230">
          <cell r="C1230" t="str">
            <v>Caceres Household</v>
          </cell>
          <cell r="D1230" t="str">
            <v>Omar Caceres</v>
          </cell>
        </row>
        <row r="1231">
          <cell r="C1231" t="str">
            <v>Cadiz Household</v>
          </cell>
          <cell r="D1231" t="str">
            <v>Kiara Cadiz</v>
          </cell>
        </row>
        <row r="1232">
          <cell r="C1232" t="str">
            <v>CAICEDO Household</v>
          </cell>
          <cell r="D1232" t="str">
            <v>Amy Caicedo</v>
          </cell>
        </row>
        <row r="1233">
          <cell r="C1233" t="str">
            <v>CAICEDO Household</v>
          </cell>
          <cell r="D1233" t="str">
            <v>RAQUEL CAICEDO</v>
          </cell>
        </row>
        <row r="1234">
          <cell r="C1234" t="str">
            <v>Cairoza Household</v>
          </cell>
          <cell r="D1234" t="str">
            <v>Yanitzia Cairoza</v>
          </cell>
        </row>
        <row r="1235">
          <cell r="C1235" t="str">
            <v>CAIZ Household</v>
          </cell>
          <cell r="D1235" t="str">
            <v>CRISTIAN CAIZ</v>
          </cell>
        </row>
        <row r="1236">
          <cell r="C1236" t="str">
            <v>Calderon Household</v>
          </cell>
          <cell r="D1236" t="str">
            <v>Manuel Calderon</v>
          </cell>
        </row>
        <row r="1237">
          <cell r="C1237" t="str">
            <v>Calderón Household</v>
          </cell>
          <cell r="D1237" t="str">
            <v>Carla Calderón</v>
          </cell>
        </row>
        <row r="1238">
          <cell r="C1238" t="str">
            <v>Calderón Household</v>
          </cell>
          <cell r="D1238" t="str">
            <v>María Calderón</v>
          </cell>
        </row>
        <row r="1239">
          <cell r="C1239" t="str">
            <v>Calderón Household</v>
          </cell>
          <cell r="D1239" t="str">
            <v>María Eugenia Calderón</v>
          </cell>
        </row>
        <row r="1240">
          <cell r="C1240" t="str">
            <v>Calvit Household</v>
          </cell>
          <cell r="D1240" t="str">
            <v>Malena Calvit</v>
          </cell>
        </row>
        <row r="1241">
          <cell r="C1241" t="str">
            <v>Calvo Household</v>
          </cell>
          <cell r="D1241" t="str">
            <v>Vilma Calvo</v>
          </cell>
        </row>
        <row r="1242">
          <cell r="C1242" t="str">
            <v>Camaño Household</v>
          </cell>
          <cell r="D1242" t="str">
            <v>Anacarina Camaño</v>
          </cell>
        </row>
        <row r="1243">
          <cell r="C1243" t="str">
            <v>Camaño Household</v>
          </cell>
          <cell r="D1243" t="str">
            <v>Atzela Camaño</v>
          </cell>
        </row>
        <row r="1244">
          <cell r="C1244" t="str">
            <v>Camaño Household</v>
          </cell>
          <cell r="D1244" t="str">
            <v>Hector Camaño</v>
          </cell>
        </row>
        <row r="1245">
          <cell r="C1245" t="str">
            <v>Camarena Instituto Bern Household</v>
          </cell>
          <cell r="D1245" t="str">
            <v>Sharick Camarena Instituto Bern</v>
          </cell>
        </row>
        <row r="1246">
          <cell r="C1246" t="str">
            <v>Camargo Household</v>
          </cell>
          <cell r="D1246" t="str">
            <v>EMEL CAMARGO</v>
          </cell>
        </row>
        <row r="1247">
          <cell r="C1247" t="str">
            <v>Camargo Household</v>
          </cell>
          <cell r="D1247" t="str">
            <v>Yarabis Camargo</v>
          </cell>
        </row>
        <row r="1248">
          <cell r="C1248" t="str">
            <v>Campbell Household</v>
          </cell>
          <cell r="D1248" t="str">
            <v>Anyela Campbell</v>
          </cell>
        </row>
        <row r="1249">
          <cell r="C1249" t="str">
            <v>Campble Household</v>
          </cell>
          <cell r="D1249" t="str">
            <v>Ambar Campble</v>
          </cell>
        </row>
        <row r="1250">
          <cell r="C1250" t="str">
            <v>Campiña Household</v>
          </cell>
          <cell r="D1250" t="str">
            <v>Vielka Campiña</v>
          </cell>
        </row>
        <row r="1251">
          <cell r="C1251" t="str">
            <v>Campos Household</v>
          </cell>
          <cell r="D1251" t="str">
            <v>Jennyfer Campos</v>
          </cell>
        </row>
        <row r="1252">
          <cell r="C1252" t="str">
            <v>Campos Household</v>
          </cell>
          <cell r="D1252" t="str">
            <v>JULIA CAMPOS</v>
          </cell>
        </row>
        <row r="1253">
          <cell r="C1253" t="str">
            <v>Campos Household</v>
          </cell>
          <cell r="D1253" t="str">
            <v>Luz Campos</v>
          </cell>
          <cell r="F1253" t="str">
            <v>251-0144</v>
          </cell>
        </row>
        <row r="1254">
          <cell r="C1254" t="str">
            <v>Campos Household</v>
          </cell>
          <cell r="D1254" t="str">
            <v>Yohaira Campos</v>
          </cell>
        </row>
        <row r="1255">
          <cell r="C1255" t="str">
            <v>Cano Household</v>
          </cell>
          <cell r="D1255" t="str">
            <v>Jesus Alberto Cano</v>
          </cell>
        </row>
        <row r="1256">
          <cell r="C1256" t="str">
            <v>Cano Importadora Ricamar Household</v>
          </cell>
          <cell r="D1256" t="str">
            <v>Ana Cano Importadora Ricamar</v>
          </cell>
        </row>
        <row r="1257">
          <cell r="C1257" t="str">
            <v>Canton Household</v>
          </cell>
          <cell r="D1257" t="str">
            <v>John Canton</v>
          </cell>
        </row>
        <row r="1258">
          <cell r="C1258" t="str">
            <v>Cantore Household</v>
          </cell>
          <cell r="D1258" t="str">
            <v>Walter Cantore</v>
          </cell>
        </row>
        <row r="1259">
          <cell r="C1259" t="str">
            <v>Cañate Household</v>
          </cell>
          <cell r="D1259" t="str">
            <v>Vicente Cañate</v>
          </cell>
        </row>
        <row r="1260">
          <cell r="C1260" t="str">
            <v>Cañaveral Oxford Household</v>
          </cell>
          <cell r="D1260" t="str">
            <v>Jorge Cañaveral Oxford</v>
          </cell>
        </row>
        <row r="1261">
          <cell r="C1261" t="str">
            <v>Capriles Household</v>
          </cell>
          <cell r="D1261" t="str">
            <v>Virgilio Capriles</v>
          </cell>
        </row>
        <row r="1262">
          <cell r="C1262" t="str">
            <v>Carbonell Household</v>
          </cell>
          <cell r="D1262" t="str">
            <v>Eduardo Carbonell</v>
          </cell>
        </row>
        <row r="1263">
          <cell r="C1263" t="str">
            <v>Carbonell Household</v>
          </cell>
          <cell r="D1263" t="str">
            <v>JORGE LUIS CARBONELL</v>
          </cell>
        </row>
        <row r="1264">
          <cell r="C1264" t="str">
            <v>Cárcamo Household</v>
          </cell>
          <cell r="D1264" t="str">
            <v>Evelyn Cárcamo</v>
          </cell>
        </row>
        <row r="1265">
          <cell r="C1265" t="str">
            <v>Cardenas Household</v>
          </cell>
          <cell r="D1265" t="str">
            <v>Jorge Cardenas</v>
          </cell>
        </row>
        <row r="1266">
          <cell r="C1266" t="str">
            <v>CÁRDENAS Household</v>
          </cell>
          <cell r="D1266" t="str">
            <v>AMELIA CÁRDENAS</v>
          </cell>
          <cell r="F1266" t="str">
            <v>6493 0384</v>
          </cell>
        </row>
        <row r="1267">
          <cell r="C1267" t="str">
            <v>CÁRDENAS Household</v>
          </cell>
          <cell r="D1267" t="str">
            <v>AMELIA CÁRDENAS</v>
          </cell>
        </row>
        <row r="1268">
          <cell r="C1268" t="str">
            <v>CARLES Household</v>
          </cell>
          <cell r="D1268" t="str">
            <v>GUADALUPE CARLES</v>
          </cell>
        </row>
        <row r="1269">
          <cell r="C1269" t="str">
            <v>Carlos Asprilla Household</v>
          </cell>
          <cell r="D1269" t="str">
            <v>Dios es mi Proveedor y Sustento Carlos Asprilla</v>
          </cell>
        </row>
        <row r="1270">
          <cell r="C1270" t="str">
            <v>Caro Household</v>
          </cell>
          <cell r="D1270" t="str">
            <v>Eric Caro</v>
          </cell>
        </row>
        <row r="1271">
          <cell r="C1271" t="str">
            <v>Carolina Rodriguez Household</v>
          </cell>
          <cell r="D1271" t="str">
            <v>Sandbox Panamà Carolina Rodriguez</v>
          </cell>
        </row>
        <row r="1272">
          <cell r="C1272" t="str">
            <v>CARRERA VELIZ Household</v>
          </cell>
          <cell r="D1272" t="str">
            <v>AMET ALEXIS CARRERA VELIZ</v>
          </cell>
        </row>
        <row r="1273">
          <cell r="C1273" t="str">
            <v>Carrillo Household</v>
          </cell>
          <cell r="D1273" t="str">
            <v>Marisel Carrillo</v>
          </cell>
        </row>
        <row r="1274">
          <cell r="C1274" t="str">
            <v>Carrion Household</v>
          </cell>
          <cell r="D1274" t="str">
            <v>Didimo Carrion</v>
          </cell>
        </row>
        <row r="1275">
          <cell r="C1275" t="str">
            <v>Carrizo Household</v>
          </cell>
          <cell r="D1275" t="str">
            <v>Maria Carrizo</v>
          </cell>
        </row>
        <row r="1276">
          <cell r="C1276" t="str">
            <v>Cartín Household</v>
          </cell>
          <cell r="D1276" t="str">
            <v>Zaratí (Banco Aliado) Cartín</v>
          </cell>
        </row>
        <row r="1277">
          <cell r="C1277" t="str">
            <v>CASTELL ROS-ZANET Household</v>
          </cell>
          <cell r="D1277" t="str">
            <v>CARLES GABRIEL CASTELL ROS-ZANET</v>
          </cell>
        </row>
        <row r="1278">
          <cell r="C1278" t="str">
            <v>Castillero Bacardí Household</v>
          </cell>
          <cell r="D1278" t="str">
            <v>Paola Castillero Bacardí</v>
          </cell>
        </row>
        <row r="1279">
          <cell r="C1279" t="str">
            <v>CASTILLERO Household</v>
          </cell>
          <cell r="D1279" t="str">
            <v>Anayansi Castillero</v>
          </cell>
        </row>
        <row r="1280">
          <cell r="C1280" t="str">
            <v>CASTILLERO Household</v>
          </cell>
          <cell r="D1280" t="str">
            <v>Elias CASTILLERO</v>
          </cell>
        </row>
        <row r="1281">
          <cell r="C1281" t="str">
            <v>Castillo Household</v>
          </cell>
          <cell r="D1281" t="str">
            <v>ALEXANDER CASTILLO</v>
          </cell>
        </row>
        <row r="1282">
          <cell r="C1282" t="str">
            <v>Castillo Household</v>
          </cell>
          <cell r="D1282" t="str">
            <v>AURA DE CASTILLO</v>
          </cell>
        </row>
        <row r="1283">
          <cell r="C1283" t="str">
            <v>Castillo Household</v>
          </cell>
          <cell r="D1283" t="str">
            <v>Denisse Castillo</v>
          </cell>
          <cell r="F1283" t="str">
            <v>6537-6517</v>
          </cell>
        </row>
        <row r="1284">
          <cell r="C1284" t="str">
            <v>Castillo Household</v>
          </cell>
          <cell r="D1284" t="str">
            <v>Diego Castillo</v>
          </cell>
        </row>
        <row r="1285">
          <cell r="C1285" t="str">
            <v>Castillo Household</v>
          </cell>
          <cell r="D1285" t="str">
            <v>Dilsa Castillo</v>
          </cell>
        </row>
        <row r="1286">
          <cell r="C1286" t="str">
            <v>Castillo Household</v>
          </cell>
          <cell r="D1286" t="str">
            <v>Edyangel Castillo</v>
          </cell>
        </row>
        <row r="1287">
          <cell r="C1287" t="str">
            <v>Castillo Household</v>
          </cell>
          <cell r="D1287" t="str">
            <v>Gleiberlys Castillo</v>
          </cell>
        </row>
        <row r="1288">
          <cell r="C1288" t="str">
            <v>Castillo Household</v>
          </cell>
          <cell r="D1288" t="str">
            <v>IVAN CASTILLO</v>
          </cell>
        </row>
        <row r="1289">
          <cell r="C1289" t="str">
            <v>Castillo Household</v>
          </cell>
          <cell r="D1289" t="str">
            <v>Janelis Castillo</v>
          </cell>
        </row>
        <row r="1290">
          <cell r="C1290" t="str">
            <v>Castillo Household</v>
          </cell>
          <cell r="D1290" t="str">
            <v>Jenniffer Castillo</v>
          </cell>
        </row>
        <row r="1291">
          <cell r="C1291" t="str">
            <v>Castillo Household</v>
          </cell>
          <cell r="D1291" t="str">
            <v>Katia Castillo</v>
          </cell>
        </row>
        <row r="1292">
          <cell r="C1292" t="str">
            <v>Castillo Household</v>
          </cell>
          <cell r="D1292" t="str">
            <v>Leidys Castillo</v>
          </cell>
        </row>
        <row r="1293">
          <cell r="C1293" t="str">
            <v>Castillo Household</v>
          </cell>
          <cell r="D1293" t="str">
            <v>Nadyne Castillo</v>
          </cell>
        </row>
        <row r="1294">
          <cell r="C1294" t="str">
            <v>Castillo Household</v>
          </cell>
          <cell r="D1294" t="str">
            <v>Nicolas Castillo</v>
          </cell>
        </row>
        <row r="1295">
          <cell r="C1295" t="str">
            <v>Castillo Household</v>
          </cell>
          <cell r="D1295" t="str">
            <v>PADRE ALEXANDER CASTILLO</v>
          </cell>
        </row>
        <row r="1296">
          <cell r="C1296" t="str">
            <v>Castillo Household</v>
          </cell>
          <cell r="D1296" t="str">
            <v>Roosvelt Castillo</v>
          </cell>
        </row>
        <row r="1297">
          <cell r="C1297" t="str">
            <v>Castillo Household</v>
          </cell>
          <cell r="D1297" t="str">
            <v>Veronica Castillo</v>
          </cell>
        </row>
        <row r="1298">
          <cell r="C1298" t="str">
            <v>Castillo Toyota Household</v>
          </cell>
          <cell r="D1298" t="str">
            <v>Jenniffer Castillo Toyota</v>
          </cell>
        </row>
        <row r="1299">
          <cell r="C1299" t="str">
            <v>Castillo. Household</v>
          </cell>
          <cell r="D1299" t="str">
            <v>Michelle Castillo.</v>
          </cell>
          <cell r="F1299" t="str">
            <v>6563-9610</v>
          </cell>
        </row>
        <row r="1300">
          <cell r="C1300" t="str">
            <v>Castrejon Household</v>
          </cell>
          <cell r="D1300" t="str">
            <v>Eugenio Castrejon</v>
          </cell>
        </row>
        <row r="1301">
          <cell r="C1301" t="str">
            <v>Castrellón Household</v>
          </cell>
          <cell r="D1301" t="str">
            <v>Pahola Castrellón</v>
          </cell>
        </row>
        <row r="1302">
          <cell r="C1302" t="str">
            <v>Castro Household</v>
          </cell>
          <cell r="D1302" t="str">
            <v>Cupertino Castro</v>
          </cell>
        </row>
        <row r="1303">
          <cell r="C1303" t="str">
            <v>Castro Household</v>
          </cell>
          <cell r="D1303" t="str">
            <v>FLOR CASTRO</v>
          </cell>
        </row>
        <row r="1304">
          <cell r="C1304" t="str">
            <v>Castro Household</v>
          </cell>
          <cell r="D1304" t="str">
            <v>Fresia Castro</v>
          </cell>
        </row>
        <row r="1305">
          <cell r="C1305" t="str">
            <v>Castro Household</v>
          </cell>
          <cell r="D1305" t="str">
            <v>Gina Castro</v>
          </cell>
        </row>
        <row r="1306">
          <cell r="C1306" t="str">
            <v>Castro Household</v>
          </cell>
          <cell r="D1306" t="str">
            <v>Milagros Castro</v>
          </cell>
        </row>
        <row r="1307">
          <cell r="C1307" t="str">
            <v>Castro Oxford Household</v>
          </cell>
          <cell r="D1307" t="str">
            <v>Norman Castro Oxford</v>
          </cell>
        </row>
        <row r="1308">
          <cell r="C1308" t="str">
            <v>cavadia Household</v>
          </cell>
          <cell r="D1308" t="str">
            <v>Laura cavadia</v>
          </cell>
        </row>
        <row r="1309">
          <cell r="C1309" t="str">
            <v>CEDEÑO Household</v>
          </cell>
          <cell r="D1309" t="str">
            <v>Alexia Cedeño</v>
          </cell>
        </row>
        <row r="1310">
          <cell r="C1310" t="str">
            <v>CEDEÑO Household</v>
          </cell>
          <cell r="D1310" t="str">
            <v>Elsi Cedeño</v>
          </cell>
        </row>
        <row r="1311">
          <cell r="C1311" t="str">
            <v>CEDEÑO Household</v>
          </cell>
          <cell r="D1311" t="str">
            <v>Jose Cedeño</v>
          </cell>
        </row>
        <row r="1312">
          <cell r="C1312" t="str">
            <v>CEDEÑO Household</v>
          </cell>
          <cell r="D1312" t="str">
            <v>KAREN CEDEÑO</v>
          </cell>
        </row>
        <row r="1313">
          <cell r="C1313" t="str">
            <v>CEDEÑO Household</v>
          </cell>
          <cell r="D1313" t="str">
            <v>Yamileth Cedeño</v>
          </cell>
        </row>
        <row r="1314">
          <cell r="C1314" t="str">
            <v>Celys Household</v>
          </cell>
          <cell r="D1314" t="str">
            <v>Jenni Celys</v>
          </cell>
        </row>
        <row r="1315">
          <cell r="C1315" t="str">
            <v>Cenci Household</v>
          </cell>
          <cell r="D1315" t="str">
            <v>Meredith Cenci</v>
          </cell>
        </row>
        <row r="1316">
          <cell r="C1316" t="str">
            <v>Cermeño Household</v>
          </cell>
          <cell r="D1316" t="str">
            <v>Maria Cermeño</v>
          </cell>
          <cell r="F1316" t="str">
            <v>229-1333</v>
          </cell>
        </row>
        <row r="1317">
          <cell r="C1317" t="str">
            <v>Cerrud Household</v>
          </cell>
          <cell r="D1317" t="str">
            <v>Omaris Cerrud</v>
          </cell>
        </row>
        <row r="1318">
          <cell r="C1318" t="str">
            <v>Cerrud Household</v>
          </cell>
          <cell r="D1318" t="str">
            <v>Rafael Cerrud</v>
          </cell>
        </row>
        <row r="1319">
          <cell r="C1319" t="str">
            <v>Chacon Household</v>
          </cell>
          <cell r="D1319" t="str">
            <v>Iliana Chacon</v>
          </cell>
        </row>
        <row r="1320">
          <cell r="C1320" t="str">
            <v>Chacón. Household</v>
          </cell>
          <cell r="D1320" t="str">
            <v>José Chacón.</v>
          </cell>
        </row>
        <row r="1321">
          <cell r="C1321" t="str">
            <v>Chanis Household</v>
          </cell>
          <cell r="D1321" t="str">
            <v>Yanina Chanis</v>
          </cell>
          <cell r="F1321" t="str">
            <v>6731-6390</v>
          </cell>
        </row>
        <row r="1322">
          <cell r="C1322" t="str">
            <v>Charres Household</v>
          </cell>
          <cell r="D1322" t="str">
            <v>Valeska Charres</v>
          </cell>
        </row>
        <row r="1323">
          <cell r="C1323" t="str">
            <v>Chavarria Household</v>
          </cell>
          <cell r="D1323" t="str">
            <v>Angel Chavarria</v>
          </cell>
        </row>
        <row r="1324">
          <cell r="C1324" t="str">
            <v>Chavez C. Saint Jones Household</v>
          </cell>
          <cell r="D1324" t="str">
            <v>Janeth Chavez C. Saint Jones</v>
          </cell>
        </row>
        <row r="1325">
          <cell r="C1325" t="str">
            <v>Chavez C. Saint Mary Household</v>
          </cell>
          <cell r="D1325" t="str">
            <v>Janeth Chavez C. Saint Mary</v>
          </cell>
        </row>
        <row r="1326">
          <cell r="C1326" t="str">
            <v>Chavez Grupo Rey Household</v>
          </cell>
          <cell r="D1326" t="str">
            <v>Ricardo Chavez Grupo Rey</v>
          </cell>
        </row>
        <row r="1327">
          <cell r="C1327" t="str">
            <v>Chavez Household</v>
          </cell>
          <cell r="D1327" t="str">
            <v>Ricardo Chavez</v>
          </cell>
        </row>
        <row r="1328">
          <cell r="C1328" t="str">
            <v>Chávez Household</v>
          </cell>
          <cell r="D1328" t="str">
            <v>Ricardo Chávez</v>
          </cell>
          <cell r="F1328" t="str">
            <v>6868-1690</v>
          </cell>
        </row>
        <row r="1329">
          <cell r="C1329" t="str">
            <v>Chávez Rodríguez Household</v>
          </cell>
          <cell r="D1329" t="str">
            <v>José Franklin Chávez Rodríguez</v>
          </cell>
        </row>
        <row r="1330">
          <cell r="C1330" t="str">
            <v>Checya Household</v>
          </cell>
          <cell r="D1330" t="str">
            <v>Itzel Checya</v>
          </cell>
        </row>
        <row r="1331">
          <cell r="C1331" t="str">
            <v>Chen Household</v>
          </cell>
          <cell r="D1331" t="str">
            <v>DEYSI CHEN</v>
          </cell>
        </row>
        <row r="1332">
          <cell r="C1332" t="str">
            <v>Chen Household</v>
          </cell>
          <cell r="D1332" t="str">
            <v>María Mercedes Chen</v>
          </cell>
        </row>
        <row r="1333">
          <cell r="C1333" t="str">
            <v>Cherigo Household</v>
          </cell>
          <cell r="D1333" t="str">
            <v>Ailyn Cherigo</v>
          </cell>
        </row>
        <row r="1334">
          <cell r="C1334" t="str">
            <v>Chial Household</v>
          </cell>
          <cell r="D1334" t="str">
            <v>Lian Chial</v>
          </cell>
        </row>
        <row r="1335">
          <cell r="C1335" t="str">
            <v>Chu Household</v>
          </cell>
          <cell r="D1335" t="str">
            <v>Ricardo Chu</v>
          </cell>
        </row>
        <row r="1336">
          <cell r="C1336" t="str">
            <v>Chung Oxford Household</v>
          </cell>
          <cell r="D1336" t="str">
            <v>Omar Chung Oxford</v>
          </cell>
        </row>
        <row r="1337">
          <cell r="C1337" t="str">
            <v>Cialimentos Household</v>
          </cell>
          <cell r="D1337" t="str">
            <v>Harvis Cialimentos</v>
          </cell>
        </row>
        <row r="1338">
          <cell r="C1338" t="str">
            <v>Cianca Household</v>
          </cell>
          <cell r="D1338" t="str">
            <v>Georgette Cianca</v>
          </cell>
        </row>
        <row r="1339">
          <cell r="C1339" t="str">
            <v>Cigarruista Household</v>
          </cell>
          <cell r="D1339" t="str">
            <v>Jamileth Cigarruista</v>
          </cell>
        </row>
        <row r="1340">
          <cell r="C1340" t="str">
            <v>Cisneros Household</v>
          </cell>
          <cell r="D1340" t="str">
            <v>Jose Luis Cisneros</v>
          </cell>
        </row>
        <row r="1341">
          <cell r="C1341" t="str">
            <v>Cisneros Household</v>
          </cell>
          <cell r="D1341" t="str">
            <v>Marianne Cisneros</v>
          </cell>
        </row>
        <row r="1342">
          <cell r="C1342" t="str">
            <v>Clark Household</v>
          </cell>
          <cell r="D1342" t="str">
            <v>Jenia Clark</v>
          </cell>
        </row>
        <row r="1343">
          <cell r="C1343" t="str">
            <v>CLOP BARCENAS Household</v>
          </cell>
          <cell r="D1343" t="str">
            <v>CARLOS CLOP BARCENAS</v>
          </cell>
        </row>
        <row r="1344">
          <cell r="C1344" t="str">
            <v>COCHEZ Household</v>
          </cell>
          <cell r="D1344" t="str">
            <v>SUSANA COCHEZ</v>
          </cell>
        </row>
        <row r="1345">
          <cell r="C1345" t="str">
            <v>Cocio Household</v>
          </cell>
          <cell r="D1345" t="str">
            <v>Carlos Cocio</v>
          </cell>
        </row>
        <row r="1346">
          <cell r="C1346" t="str">
            <v>COCYDON Household</v>
          </cell>
          <cell r="D1346" t="str">
            <v>Yeniffer COCYDON</v>
          </cell>
        </row>
        <row r="1347">
          <cell r="C1347" t="str">
            <v>Cohen Household</v>
          </cell>
          <cell r="D1347" t="str">
            <v>Carolina Cohen</v>
          </cell>
          <cell r="F1347" t="str">
            <v>69809220</v>
          </cell>
        </row>
        <row r="1348">
          <cell r="C1348" t="str">
            <v>Collado Household</v>
          </cell>
          <cell r="D1348" t="str">
            <v>Yamilka Collado</v>
          </cell>
        </row>
        <row r="1349">
          <cell r="C1349" t="str">
            <v>Colman Household</v>
          </cell>
          <cell r="D1349" t="str">
            <v>Lilian Colman</v>
          </cell>
        </row>
        <row r="1350">
          <cell r="C1350" t="str">
            <v>Colmenarez Household</v>
          </cell>
          <cell r="D1350" t="str">
            <v>Yorce Colmenarez</v>
          </cell>
        </row>
        <row r="1351">
          <cell r="C1351" t="str">
            <v>Colon Household</v>
          </cell>
          <cell r="D1351" t="str">
            <v>Pablo Colon</v>
          </cell>
        </row>
        <row r="1352">
          <cell r="C1352" t="str">
            <v>COMPLETO Household</v>
          </cell>
          <cell r="D1352" t="str">
            <v>GUSTAVO COMPLETO</v>
          </cell>
        </row>
        <row r="1353">
          <cell r="C1353" t="str">
            <v>Concepcion Household</v>
          </cell>
          <cell r="D1353" t="str">
            <v>Maribel Concepcion</v>
          </cell>
        </row>
        <row r="1354">
          <cell r="C1354" t="str">
            <v>Concepción Household</v>
          </cell>
          <cell r="D1354" t="str">
            <v>Héctor Concepción</v>
          </cell>
        </row>
        <row r="1355">
          <cell r="C1355" t="str">
            <v>CONTE Household</v>
          </cell>
          <cell r="D1355" t="str">
            <v>ROSARIO CONTE</v>
          </cell>
        </row>
        <row r="1356">
          <cell r="C1356" t="str">
            <v>Contreras Household</v>
          </cell>
          <cell r="D1356" t="str">
            <v>Miguel Contreras</v>
          </cell>
        </row>
        <row r="1357">
          <cell r="C1357" t="str">
            <v>Controni Household</v>
          </cell>
          <cell r="D1357" t="str">
            <v>Enrico Controni</v>
          </cell>
        </row>
        <row r="1358">
          <cell r="C1358" t="str">
            <v>Cooper Household</v>
          </cell>
          <cell r="D1358" t="str">
            <v>NADJA Cooper</v>
          </cell>
        </row>
        <row r="1359">
          <cell r="C1359" t="str">
            <v>Copyright (c) 2000-2023 salesforce.com, inc. Reservados todos los derechos.</v>
          </cell>
        </row>
        <row r="1360">
          <cell r="C1360" t="str">
            <v>Córdoba Household</v>
          </cell>
          <cell r="D1360" t="str">
            <v>Francisco Córdoba</v>
          </cell>
        </row>
        <row r="1361">
          <cell r="C1361" t="str">
            <v>Córdoba Household</v>
          </cell>
          <cell r="D1361" t="str">
            <v>Vieltsy Córdoba</v>
          </cell>
        </row>
        <row r="1362">
          <cell r="C1362" t="str">
            <v>Còrdoba Household</v>
          </cell>
          <cell r="D1362" t="str">
            <v>Alexandra Còrdoba</v>
          </cell>
        </row>
        <row r="1363">
          <cell r="C1363" t="str">
            <v>Cornavaca Household</v>
          </cell>
          <cell r="D1363" t="str">
            <v>Roberto Cornavaca</v>
          </cell>
        </row>
        <row r="1364">
          <cell r="C1364" t="str">
            <v>Cornejo Household</v>
          </cell>
          <cell r="D1364" t="str">
            <v>Valeria Cornejo</v>
          </cell>
        </row>
        <row r="1365">
          <cell r="C1365" t="str">
            <v>Coronado Household</v>
          </cell>
          <cell r="D1365" t="str">
            <v>Daniel Coronado</v>
          </cell>
        </row>
        <row r="1366">
          <cell r="C1366" t="str">
            <v>Coronado Household</v>
          </cell>
          <cell r="D1366" t="str">
            <v>Ivisbeth Coronado</v>
          </cell>
        </row>
        <row r="1367">
          <cell r="C1367" t="str">
            <v>Coronado Household</v>
          </cell>
          <cell r="D1367" t="str">
            <v>Jetzabel Coronado</v>
          </cell>
        </row>
        <row r="1368">
          <cell r="C1368" t="str">
            <v>Coronado Household</v>
          </cell>
          <cell r="D1368" t="str">
            <v>Natalie Coronado</v>
          </cell>
        </row>
        <row r="1369">
          <cell r="C1369" t="str">
            <v>Coronado Muñoz Household</v>
          </cell>
          <cell r="D1369" t="str">
            <v>Ibrian Ameth Coronado Muñoz</v>
          </cell>
        </row>
        <row r="1370">
          <cell r="C1370" t="str">
            <v>Coronel Household</v>
          </cell>
          <cell r="D1370" t="str">
            <v>Felipe Coronel</v>
          </cell>
        </row>
        <row r="1371">
          <cell r="C1371" t="str">
            <v>Cortes Household</v>
          </cell>
          <cell r="D1371" t="str">
            <v>Adriana Cortes</v>
          </cell>
        </row>
        <row r="1372">
          <cell r="C1372" t="str">
            <v>Cortes Household</v>
          </cell>
          <cell r="D1372" t="str">
            <v>edwin Cortes</v>
          </cell>
        </row>
        <row r="1373">
          <cell r="C1373" t="str">
            <v>Cortes Household</v>
          </cell>
          <cell r="D1373" t="str">
            <v>Josue Cortes</v>
          </cell>
        </row>
        <row r="1374">
          <cell r="C1374" t="str">
            <v>COSTA Household</v>
          </cell>
          <cell r="D1374" t="str">
            <v>PAULO COSTA</v>
          </cell>
        </row>
        <row r="1375">
          <cell r="C1375" t="str">
            <v>Cotes Household</v>
          </cell>
          <cell r="D1375" t="str">
            <v>Fidel Cotes</v>
          </cell>
        </row>
        <row r="1376">
          <cell r="C1376" t="str">
            <v>Cover Household</v>
          </cell>
          <cell r="D1376" t="str">
            <v>Edumar Cover</v>
          </cell>
        </row>
        <row r="1377">
          <cell r="C1377" t="str">
            <v>CRISAN Household</v>
          </cell>
          <cell r="D1377" t="str">
            <v>ALEXANDER CRISAN</v>
          </cell>
        </row>
        <row r="1378">
          <cell r="C1378" t="str">
            <v>CRÓCAMO Household</v>
          </cell>
          <cell r="D1378" t="str">
            <v>RICHARD CRÓCAMO</v>
          </cell>
        </row>
        <row r="1379">
          <cell r="C1379" t="str">
            <v>CRUZ GALEAS Household</v>
          </cell>
          <cell r="D1379" t="str">
            <v>ROLANDO GUSTAVO CRUZ GALEAS</v>
          </cell>
        </row>
        <row r="1380">
          <cell r="C1380" t="str">
            <v>Cruz Household</v>
          </cell>
          <cell r="D1380" t="str">
            <v>Keitline Cruz</v>
          </cell>
        </row>
        <row r="1381">
          <cell r="C1381" t="str">
            <v>Cruz Household</v>
          </cell>
          <cell r="D1381" t="str">
            <v>Noelia Cruz</v>
          </cell>
        </row>
        <row r="1382">
          <cell r="C1382" t="str">
            <v>Cubilla Household</v>
          </cell>
          <cell r="D1382" t="str">
            <v>Danieth Cubilla</v>
          </cell>
        </row>
        <row r="1383">
          <cell r="C1383" t="str">
            <v>Cuentas Household</v>
          </cell>
          <cell r="D1383" t="str">
            <v>Miguel Cuentas</v>
          </cell>
        </row>
        <row r="1384">
          <cell r="C1384" t="str">
            <v>Cuevas Household</v>
          </cell>
          <cell r="D1384" t="str">
            <v>Kevin Cuevas</v>
          </cell>
        </row>
        <row r="1385">
          <cell r="C1385" t="str">
            <v>Cuevas Household</v>
          </cell>
          <cell r="D1385" t="str">
            <v>Omar Cuevas</v>
          </cell>
        </row>
        <row r="1386">
          <cell r="C1386" t="str">
            <v>Damian Household</v>
          </cell>
          <cell r="D1386" t="str">
            <v>Juan Diego Damian</v>
          </cell>
        </row>
        <row r="1387">
          <cell r="C1387" t="str">
            <v>Davis Gómez Household</v>
          </cell>
          <cell r="D1387" t="str">
            <v>Daniela Davis Gómez</v>
          </cell>
        </row>
        <row r="1388">
          <cell r="C1388" t="str">
            <v>Davis Household</v>
          </cell>
          <cell r="D1388" t="str">
            <v>Ana Maria Davis</v>
          </cell>
        </row>
        <row r="1389">
          <cell r="C1389" t="str">
            <v>De alveo Household</v>
          </cell>
          <cell r="D1389" t="str">
            <v>Luciana De alveo</v>
          </cell>
        </row>
        <row r="1390">
          <cell r="C1390" t="str">
            <v>de AmCham Household</v>
          </cell>
          <cell r="D1390" t="str">
            <v>Comité de sostenibilidad de AmCham</v>
          </cell>
        </row>
        <row r="1391">
          <cell r="C1391" t="str">
            <v>DE ARAUJO Household</v>
          </cell>
          <cell r="D1391" t="str">
            <v>ROBERTO DE ARAUJO</v>
          </cell>
        </row>
        <row r="1392">
          <cell r="C1392" t="str">
            <v>De Arrocha Household</v>
          </cell>
          <cell r="D1392" t="str">
            <v>Vielka De Arrocha</v>
          </cell>
        </row>
        <row r="1393">
          <cell r="C1393" t="str">
            <v>De Arrocha Iglesia Manantial De Vida Household</v>
          </cell>
          <cell r="D1393" t="str">
            <v>Vielka De Arrocha Iglesia Manantial De Vida</v>
          </cell>
        </row>
        <row r="1394">
          <cell r="C1394" t="str">
            <v>de Ayú Prado Household</v>
          </cell>
          <cell r="D1394" t="str">
            <v>Itzel de Ayú Prado</v>
          </cell>
        </row>
        <row r="1395">
          <cell r="C1395" t="str">
            <v>DE BELLAIGUE Household</v>
          </cell>
          <cell r="D1395" t="str">
            <v>INES DE BELLAIGUE</v>
          </cell>
        </row>
        <row r="1396">
          <cell r="C1396" t="str">
            <v>DE CARNEIRO Household</v>
          </cell>
          <cell r="D1396" t="str">
            <v>ROCIO DE CARNEIRO</v>
          </cell>
        </row>
        <row r="1397">
          <cell r="C1397" t="str">
            <v>DE DIAZ Household</v>
          </cell>
          <cell r="D1397" t="str">
            <v>GLORIA DE DIAZ</v>
          </cell>
        </row>
        <row r="1398">
          <cell r="C1398" t="str">
            <v>de FUX Household</v>
          </cell>
          <cell r="D1398" t="str">
            <v>Mercedes de FUX</v>
          </cell>
        </row>
        <row r="1399">
          <cell r="C1399" t="str">
            <v>De Gracia Household</v>
          </cell>
          <cell r="D1399" t="str">
            <v>Maribel De Gracia</v>
          </cell>
          <cell r="F1399" t="str">
            <v>2799000</v>
          </cell>
        </row>
        <row r="1400">
          <cell r="C1400" t="str">
            <v>De Grijs Oxford Household</v>
          </cell>
          <cell r="D1400" t="str">
            <v>Lise De Grijs Oxford</v>
          </cell>
        </row>
        <row r="1401">
          <cell r="C1401" t="str">
            <v>De Haseth Household</v>
          </cell>
          <cell r="D1401" t="str">
            <v>Christiaan De Haseth</v>
          </cell>
        </row>
        <row r="1402">
          <cell r="C1402" t="str">
            <v>De Jesus Household</v>
          </cell>
          <cell r="D1402" t="str">
            <v>Padre Pedro De Jesus</v>
          </cell>
        </row>
        <row r="1403">
          <cell r="C1403" t="str">
            <v>De la Cruz Household</v>
          </cell>
          <cell r="D1403" t="str">
            <v>Dafny De La Cruz</v>
          </cell>
        </row>
        <row r="1404">
          <cell r="C1404" t="str">
            <v>De la Cruz Household</v>
          </cell>
          <cell r="D1404" t="str">
            <v>Karina De la Cruz</v>
          </cell>
        </row>
        <row r="1405">
          <cell r="C1405" t="str">
            <v>De la Cruz Household</v>
          </cell>
          <cell r="D1405" t="str">
            <v>Yamiletzy De la Cruz</v>
          </cell>
        </row>
        <row r="1406">
          <cell r="C1406" t="str">
            <v>De la Cruz Household</v>
          </cell>
          <cell r="D1406" t="str">
            <v>Yanileth De la Cruz</v>
          </cell>
        </row>
        <row r="1407">
          <cell r="C1407" t="str">
            <v>De la Espada Household</v>
          </cell>
          <cell r="D1407" t="str">
            <v>Orlanyz De la Espada</v>
          </cell>
        </row>
        <row r="1408">
          <cell r="C1408" t="str">
            <v>de la Guardia Household</v>
          </cell>
          <cell r="D1408" t="str">
            <v>Agustín de la Guardia</v>
          </cell>
        </row>
        <row r="1409">
          <cell r="C1409" t="str">
            <v>de la Guardia Household</v>
          </cell>
          <cell r="D1409" t="str">
            <v>LORENA DE LA GUARDIA</v>
          </cell>
        </row>
        <row r="1410">
          <cell r="C1410" t="str">
            <v>de la Hoz Household</v>
          </cell>
          <cell r="D1410" t="str">
            <v>Yenia de la Hoz</v>
          </cell>
        </row>
        <row r="1411">
          <cell r="C1411" t="str">
            <v>De La Lastra Household</v>
          </cell>
          <cell r="D1411" t="str">
            <v>Ana Elisa De La Lastra</v>
          </cell>
        </row>
        <row r="1412">
          <cell r="C1412" t="str">
            <v>De la Ossa Household</v>
          </cell>
          <cell r="D1412" t="str">
            <v>Fernando De la Ossa</v>
          </cell>
        </row>
        <row r="1413">
          <cell r="C1413" t="str">
            <v>De León Household</v>
          </cell>
          <cell r="D1413" t="str">
            <v>Dayrineth De León</v>
          </cell>
          <cell r="F1413" t="str">
            <v>224-9095</v>
          </cell>
        </row>
        <row r="1414">
          <cell r="C1414" t="str">
            <v>De León Household</v>
          </cell>
          <cell r="D1414" t="str">
            <v>Janeth De León</v>
          </cell>
        </row>
        <row r="1415">
          <cell r="C1415" t="str">
            <v>De León Household</v>
          </cell>
          <cell r="D1415" t="str">
            <v>Michelle De León</v>
          </cell>
        </row>
        <row r="1416">
          <cell r="C1416" t="str">
            <v>De León Household</v>
          </cell>
          <cell r="D1416" t="str">
            <v>Miguel De León</v>
          </cell>
        </row>
        <row r="1417">
          <cell r="C1417" t="str">
            <v>De León Household</v>
          </cell>
          <cell r="D1417" t="str">
            <v>Yuleisy De León</v>
          </cell>
        </row>
        <row r="1418">
          <cell r="C1418" t="str">
            <v>De Los Rios de Urbanc Household</v>
          </cell>
          <cell r="D1418" t="str">
            <v>Jacqueline Maria De Los Rios de Urbanc</v>
          </cell>
        </row>
        <row r="1419">
          <cell r="C1419" t="str">
            <v>De Melo ISP Household</v>
          </cell>
          <cell r="D1419" t="str">
            <v>Larissa De Melo ISP</v>
          </cell>
        </row>
        <row r="1420">
          <cell r="C1420" t="str">
            <v>De Oliveira Household</v>
          </cell>
          <cell r="D1420" t="str">
            <v>Jose Manuel De Oliveira</v>
          </cell>
        </row>
        <row r="1421">
          <cell r="C1421" t="str">
            <v>De Oliveira Household</v>
          </cell>
          <cell r="D1421" t="str">
            <v>Josue Manuel De Oliveira</v>
          </cell>
        </row>
        <row r="1422">
          <cell r="C1422" t="str">
            <v>DE RODRÍGUEZ Household</v>
          </cell>
          <cell r="D1422" t="str">
            <v>ROSABEL DE RODRÍGUEZ</v>
          </cell>
        </row>
        <row r="1423">
          <cell r="C1423" t="str">
            <v>De Romero Iglesia Nvo Pacto Arco Iris Household</v>
          </cell>
          <cell r="D1423" t="str">
            <v>María De Romero Iglesia Nvo Pacto Arco Iris</v>
          </cell>
        </row>
        <row r="1424">
          <cell r="C1424" t="str">
            <v>DE RUIZ Household</v>
          </cell>
          <cell r="D1424" t="str">
            <v>ISELA DE RUIZ</v>
          </cell>
        </row>
        <row r="1425">
          <cell r="C1425" t="str">
            <v>De Sedas Household</v>
          </cell>
          <cell r="D1425" t="str">
            <v>Yohani De Sedas</v>
          </cell>
        </row>
        <row r="1426">
          <cell r="C1426" t="str">
            <v>De Silva Alcogal Household</v>
          </cell>
          <cell r="D1426" t="str">
            <v>Maria Del Pilar De Silva Alcogal</v>
          </cell>
        </row>
        <row r="1427">
          <cell r="C1427" t="str">
            <v>de Valdez Household</v>
          </cell>
          <cell r="D1427" t="str">
            <v>Marcia de Valdez</v>
          </cell>
        </row>
        <row r="1428">
          <cell r="C1428" t="str">
            <v>De Vega Invertis Household</v>
          </cell>
          <cell r="D1428" t="str">
            <v>Rosalba De Vega Invertis</v>
          </cell>
        </row>
        <row r="1429">
          <cell r="C1429" t="str">
            <v>De Ycaza Household</v>
          </cell>
          <cell r="D1429" t="str">
            <v>Gustavo De Ycaza</v>
          </cell>
        </row>
        <row r="1430">
          <cell r="C1430" t="str">
            <v>Del Cid Household</v>
          </cell>
          <cell r="D1430" t="str">
            <v>Julio Del Cid</v>
          </cell>
        </row>
        <row r="1431">
          <cell r="C1431" t="str">
            <v>Del Cid Household</v>
          </cell>
          <cell r="D1431" t="str">
            <v>Lia Del Cid</v>
          </cell>
        </row>
        <row r="1432">
          <cell r="C1432" t="str">
            <v>Del Cid Household</v>
          </cell>
          <cell r="D1432" t="str">
            <v>Michell Del Cid</v>
          </cell>
        </row>
        <row r="1433">
          <cell r="C1433" t="str">
            <v>Del Cie Household</v>
          </cell>
          <cell r="D1433" t="str">
            <v>Michell Del Cie</v>
          </cell>
        </row>
        <row r="1434">
          <cell r="C1434" t="str">
            <v>DEL PINO Household</v>
          </cell>
          <cell r="D1434" t="str">
            <v>JOSE DEL PINO</v>
          </cell>
        </row>
        <row r="1435">
          <cell r="C1435" t="str">
            <v>Del Rosario Household</v>
          </cell>
          <cell r="D1435" t="str">
            <v>Merycruz Del Rosario</v>
          </cell>
        </row>
        <row r="1436">
          <cell r="C1436" t="str">
            <v>Delgado Household</v>
          </cell>
          <cell r="D1436" t="str">
            <v>AMED Delgado</v>
          </cell>
        </row>
        <row r="1437">
          <cell r="C1437" t="str">
            <v>Delgado Household</v>
          </cell>
          <cell r="D1437" t="str">
            <v>Eileen Delgado</v>
          </cell>
        </row>
        <row r="1438">
          <cell r="C1438" t="str">
            <v>Delgado Household</v>
          </cell>
          <cell r="D1438" t="str">
            <v>Gloria Delgado</v>
          </cell>
        </row>
        <row r="1439">
          <cell r="C1439" t="str">
            <v>Delgado Household</v>
          </cell>
          <cell r="D1439" t="str">
            <v>Kathelen Delgado</v>
          </cell>
        </row>
        <row r="1440">
          <cell r="C1440" t="str">
            <v>Delgado Instituto Bern Household</v>
          </cell>
          <cell r="D1440" t="str">
            <v>Jean Delgado Instituto Bern</v>
          </cell>
        </row>
        <row r="1441">
          <cell r="C1441" t="str">
            <v>Denis Household</v>
          </cell>
          <cell r="D1441" t="str">
            <v>Rodelis Denis</v>
          </cell>
        </row>
        <row r="1442">
          <cell r="C1442" t="str">
            <v>Díaz Alstom Household</v>
          </cell>
          <cell r="D1442" t="str">
            <v>Fior Díaz Alstom</v>
          </cell>
        </row>
        <row r="1443">
          <cell r="C1443" t="str">
            <v>Diaz Grande Household</v>
          </cell>
          <cell r="D1443" t="str">
            <v>Carlos Diaz Grande</v>
          </cell>
        </row>
        <row r="1444">
          <cell r="C1444" t="str">
            <v>Diaz Household</v>
          </cell>
          <cell r="D1444" t="str">
            <v>Anthony Diaz</v>
          </cell>
        </row>
        <row r="1445">
          <cell r="C1445" t="str">
            <v>Diaz Household</v>
          </cell>
          <cell r="D1445" t="str">
            <v>Jimmy Diaz</v>
          </cell>
        </row>
        <row r="1446">
          <cell r="C1446" t="str">
            <v>Diaz Household</v>
          </cell>
          <cell r="D1446" t="str">
            <v>Luduvina Diaz</v>
          </cell>
        </row>
        <row r="1447">
          <cell r="C1447" t="str">
            <v>Diaz Household</v>
          </cell>
          <cell r="D1447" t="str">
            <v>Luis Diaz</v>
          </cell>
        </row>
        <row r="1448">
          <cell r="C1448" t="str">
            <v>Diaz Household</v>
          </cell>
          <cell r="D1448" t="str">
            <v>Maria Teresa Diaz</v>
          </cell>
        </row>
        <row r="1449">
          <cell r="C1449" t="str">
            <v>Diaz Household</v>
          </cell>
          <cell r="D1449" t="str">
            <v>Sergio Diaz</v>
          </cell>
        </row>
        <row r="1450">
          <cell r="C1450" t="str">
            <v>Díaz Household</v>
          </cell>
          <cell r="D1450" t="str">
            <v>Aurora Díaz</v>
          </cell>
          <cell r="F1450" t="str">
            <v>6784-6007</v>
          </cell>
        </row>
        <row r="1451">
          <cell r="C1451" t="str">
            <v>Díaz Household</v>
          </cell>
          <cell r="D1451" t="str">
            <v>Edward Díaz</v>
          </cell>
        </row>
        <row r="1452">
          <cell r="C1452" t="str">
            <v>Díaz Household</v>
          </cell>
          <cell r="D1452" t="str">
            <v>Fior Díaz</v>
          </cell>
          <cell r="F1452" t="str">
            <v>377-3801</v>
          </cell>
        </row>
        <row r="1453">
          <cell r="C1453" t="str">
            <v>Díaz Household</v>
          </cell>
          <cell r="D1453" t="str">
            <v>Gloria Díaz</v>
          </cell>
        </row>
        <row r="1454">
          <cell r="C1454" t="str">
            <v>Díaz Household</v>
          </cell>
          <cell r="D1454" t="str">
            <v>Jorge Javier Díaz</v>
          </cell>
          <cell r="F1454" t="str">
            <v>6649-6068</v>
          </cell>
        </row>
        <row r="1455">
          <cell r="C1455" t="str">
            <v>Díaz Household</v>
          </cell>
          <cell r="D1455" t="str">
            <v>Oddeth Díaz</v>
          </cell>
        </row>
        <row r="1456">
          <cell r="C1456" t="str">
            <v>Díaz Household</v>
          </cell>
          <cell r="D1456" t="str">
            <v>Valeria Díaz</v>
          </cell>
        </row>
        <row r="1457">
          <cell r="C1457" t="str">
            <v>Díaz Voitier Household</v>
          </cell>
          <cell r="D1457" t="str">
            <v>Natalia Sofia Díaz Voitier</v>
          </cell>
        </row>
        <row r="1458">
          <cell r="C1458" t="str">
            <v>Dieter Ploeger Household</v>
          </cell>
          <cell r="D1458" t="str">
            <v>Embajada de Canadá Dieter Ploeger</v>
          </cell>
        </row>
        <row r="1459">
          <cell r="C1459" t="str">
            <v>Dixon Household</v>
          </cell>
          <cell r="D1459" t="str">
            <v>Afonso Dixon</v>
          </cell>
        </row>
        <row r="1460">
          <cell r="C1460" t="str">
            <v>Domingo Household</v>
          </cell>
          <cell r="D1460" t="str">
            <v>Marisa Domingo</v>
          </cell>
        </row>
        <row r="1461">
          <cell r="C1461" t="str">
            <v>DOMINGUEZ Household</v>
          </cell>
          <cell r="D1461" t="str">
            <v>Francisco Dominguez</v>
          </cell>
        </row>
        <row r="1462">
          <cell r="C1462" t="str">
            <v>DOMINGUEZ Household</v>
          </cell>
          <cell r="D1462" t="str">
            <v>ISAAC DOMINGUEZ</v>
          </cell>
        </row>
        <row r="1463">
          <cell r="C1463" t="str">
            <v>DOMINGUEZ Household</v>
          </cell>
          <cell r="D1463" t="str">
            <v>Ramiro Dominguez</v>
          </cell>
        </row>
        <row r="1464">
          <cell r="C1464" t="str">
            <v>Domínguez Household</v>
          </cell>
          <cell r="D1464" t="str">
            <v>Dolores Domínguez</v>
          </cell>
        </row>
        <row r="1465">
          <cell r="C1465" t="str">
            <v>Domínguez Multibank Household</v>
          </cell>
          <cell r="D1465" t="str">
            <v>Dimas Domínguez Multibank</v>
          </cell>
        </row>
        <row r="1466">
          <cell r="C1466" t="str">
            <v>Dominguez Organon Household</v>
          </cell>
          <cell r="D1466" t="str">
            <v>Ramiro Dominguez Organon</v>
          </cell>
        </row>
        <row r="1467">
          <cell r="C1467" t="str">
            <v>Doris Palacios Household</v>
          </cell>
          <cell r="D1467" t="str">
            <v>Comedor Hefziba Doris Palacios</v>
          </cell>
        </row>
        <row r="1468">
          <cell r="C1468" t="str">
            <v>Duarte Household</v>
          </cell>
          <cell r="D1468" t="str">
            <v>Jose Duarte</v>
          </cell>
        </row>
        <row r="1469">
          <cell r="C1469" t="str">
            <v>Duarte Household</v>
          </cell>
          <cell r="D1469" t="str">
            <v>Julio Duarte</v>
          </cell>
        </row>
        <row r="1470">
          <cell r="C1470" t="str">
            <v>Dunn Household</v>
          </cell>
          <cell r="D1470" t="str">
            <v>Edgar Dunn</v>
          </cell>
        </row>
        <row r="1471">
          <cell r="C1471" t="str">
            <v>Duran Household</v>
          </cell>
          <cell r="D1471" t="str">
            <v>Daniela Duran</v>
          </cell>
        </row>
        <row r="1472">
          <cell r="C1472" t="str">
            <v>Duran Household</v>
          </cell>
          <cell r="D1472" t="str">
            <v>Hector Duran</v>
          </cell>
        </row>
        <row r="1473">
          <cell r="C1473" t="str">
            <v>Duran Household</v>
          </cell>
          <cell r="D1473" t="str">
            <v>Marlene Duran</v>
          </cell>
        </row>
        <row r="1474">
          <cell r="C1474" t="str">
            <v>Duran Household</v>
          </cell>
          <cell r="D1474" t="str">
            <v>Oriana Duran</v>
          </cell>
        </row>
        <row r="1475">
          <cell r="C1475" t="str">
            <v>Echeverria Household</v>
          </cell>
          <cell r="D1475" t="str">
            <v>Walter Echeverria</v>
          </cell>
        </row>
        <row r="1476">
          <cell r="C1476" t="str">
            <v>Eisenmann Household</v>
          </cell>
          <cell r="D1476" t="str">
            <v>Maria Eugenia Eisenmann</v>
          </cell>
        </row>
        <row r="1477">
          <cell r="C1477" t="str">
            <v>El Buen Pastor Household</v>
          </cell>
          <cell r="D1477" t="str">
            <v>Centro Educativo El Buen Pastor</v>
          </cell>
        </row>
        <row r="1478">
          <cell r="C1478" t="str">
            <v>el MC Nish C. SANTA MARTA Household</v>
          </cell>
          <cell r="D1478" t="str">
            <v>Amethamiel el MC Nish C. SANTA MARTA</v>
          </cell>
        </row>
        <row r="1479">
          <cell r="C1479" t="str">
            <v>Emanuel Trejos Household</v>
          </cell>
          <cell r="D1479" t="str">
            <v>Price Smart Emanuel Trejos</v>
          </cell>
        </row>
        <row r="1480">
          <cell r="C1480" t="str">
            <v>Endara Household</v>
          </cell>
          <cell r="D1480" t="str">
            <v>Connie Endara</v>
          </cell>
        </row>
        <row r="1481">
          <cell r="C1481" t="str">
            <v>English Household</v>
          </cell>
          <cell r="D1481" t="str">
            <v>Yaramis English</v>
          </cell>
        </row>
        <row r="1482">
          <cell r="C1482" t="str">
            <v>Escalante Household</v>
          </cell>
          <cell r="D1482" t="str">
            <v>Miguel Escalante</v>
          </cell>
        </row>
        <row r="1483">
          <cell r="C1483" t="str">
            <v>Escobar Household</v>
          </cell>
          <cell r="D1483" t="str">
            <v>Domingo Escobar</v>
          </cell>
        </row>
        <row r="1484">
          <cell r="C1484" t="str">
            <v>Escobar-King Household</v>
          </cell>
          <cell r="D1484" t="str">
            <v>Enedelsy Escobar-King</v>
          </cell>
        </row>
        <row r="1485">
          <cell r="C1485" t="str">
            <v>ESPINEL Household</v>
          </cell>
          <cell r="D1485" t="str">
            <v>FREDDY ESPINEL</v>
          </cell>
        </row>
        <row r="1486">
          <cell r="C1486" t="str">
            <v>ESPINOSA DE ARIAS Household</v>
          </cell>
          <cell r="D1486" t="str">
            <v>ADRIANA ESPINOSA DE ARIAS</v>
          </cell>
        </row>
        <row r="1487">
          <cell r="C1487" t="str">
            <v>Espinosa Household</v>
          </cell>
          <cell r="D1487" t="str">
            <v>PADRE FELIX ESPINOSA</v>
          </cell>
        </row>
        <row r="1488">
          <cell r="C1488" t="str">
            <v>Espinosa Household</v>
          </cell>
          <cell r="D1488" t="str">
            <v>Simei Espinosa</v>
          </cell>
        </row>
        <row r="1489">
          <cell r="C1489" t="str">
            <v>Espinosa Household</v>
          </cell>
          <cell r="D1489" t="str">
            <v>Solangel Espinosa</v>
          </cell>
        </row>
        <row r="1490">
          <cell r="C1490" t="str">
            <v>Espinoza Household</v>
          </cell>
          <cell r="D1490" t="str">
            <v>Aristides Espinoza</v>
          </cell>
        </row>
        <row r="1491">
          <cell r="C1491" t="str">
            <v>Espinoza Household</v>
          </cell>
          <cell r="D1491" t="str">
            <v>Carolina Espinoza</v>
          </cell>
        </row>
        <row r="1492">
          <cell r="C1492" t="str">
            <v>Espinoza Household</v>
          </cell>
          <cell r="D1492" t="str">
            <v>Vivian Espinoza</v>
          </cell>
        </row>
        <row r="1493">
          <cell r="C1493" t="str">
            <v>Espitia Household</v>
          </cell>
          <cell r="D1493" t="str">
            <v>Felix Espitia</v>
          </cell>
        </row>
        <row r="1494">
          <cell r="C1494" t="str">
            <v>Esquivel Household</v>
          </cell>
          <cell r="D1494" t="str">
            <v>Fady Esquivel</v>
          </cell>
        </row>
        <row r="1495">
          <cell r="C1495" t="str">
            <v>Estrada de Pineda Household</v>
          </cell>
          <cell r="D1495" t="str">
            <v>Alejandrina Estrada de Pineda</v>
          </cell>
        </row>
        <row r="1496">
          <cell r="C1496" t="str">
            <v>Estripeaut Household</v>
          </cell>
          <cell r="D1496" t="str">
            <v>Erasmo Alberto Estripeaut</v>
          </cell>
        </row>
        <row r="1497">
          <cell r="C1497" t="str">
            <v>Fabrega Household</v>
          </cell>
          <cell r="D1497" t="str">
            <v>Ricardo Fabrega</v>
          </cell>
        </row>
        <row r="1498">
          <cell r="C1498" t="str">
            <v>FAJARDO Household</v>
          </cell>
          <cell r="D1498" t="str">
            <v>ENRIQUE FAJARDO</v>
          </cell>
        </row>
        <row r="1499">
          <cell r="C1499" t="str">
            <v>FAJARDO Household</v>
          </cell>
          <cell r="D1499" t="str">
            <v>Manuel Fajardo</v>
          </cell>
        </row>
        <row r="1500">
          <cell r="C1500" t="str">
            <v>Falcon Household</v>
          </cell>
          <cell r="D1500" t="str">
            <v>Maria Falcon</v>
          </cell>
        </row>
        <row r="1501">
          <cell r="C1501" t="str">
            <v>Famigliett Household</v>
          </cell>
          <cell r="D1501" t="str">
            <v>Jorge Famigliett</v>
          </cell>
        </row>
        <row r="1502">
          <cell r="C1502" t="str">
            <v>Fandi Household</v>
          </cell>
          <cell r="D1502" t="str">
            <v>Asrar Fandi</v>
          </cell>
        </row>
        <row r="1503">
          <cell r="C1503" t="str">
            <v>Faría Household</v>
          </cell>
          <cell r="D1503" t="str">
            <v>Monica Faría</v>
          </cell>
        </row>
        <row r="1504">
          <cell r="C1504" t="str">
            <v>Felipa Household</v>
          </cell>
          <cell r="D1504" t="str">
            <v>Felipa</v>
          </cell>
        </row>
        <row r="1505">
          <cell r="C1505" t="str">
            <v>Fernandes Household</v>
          </cell>
          <cell r="D1505" t="str">
            <v>Joana Fernandes</v>
          </cell>
        </row>
        <row r="1506">
          <cell r="C1506" t="str">
            <v>FERNANDEZ Household</v>
          </cell>
          <cell r="D1506" t="str">
            <v>ANDREA FERNANDEZ</v>
          </cell>
        </row>
        <row r="1507">
          <cell r="C1507" t="str">
            <v>FERNANDEZ Household</v>
          </cell>
          <cell r="D1507" t="str">
            <v>Ariadna Fernandez</v>
          </cell>
        </row>
        <row r="1508">
          <cell r="C1508" t="str">
            <v>Fernández Household</v>
          </cell>
          <cell r="D1508" t="str">
            <v>Eric Fernández</v>
          </cell>
          <cell r="F1508" t="str">
            <v>66974878</v>
          </cell>
        </row>
        <row r="1509">
          <cell r="C1509" t="str">
            <v>Fernández Household</v>
          </cell>
          <cell r="D1509" t="str">
            <v>Karina Fernández</v>
          </cell>
        </row>
        <row r="1510">
          <cell r="C1510" t="str">
            <v>Fernández Household</v>
          </cell>
          <cell r="D1510" t="str">
            <v>Melissa Fernández</v>
          </cell>
          <cell r="F1510" t="str">
            <v>6671-5091</v>
          </cell>
        </row>
        <row r="1511">
          <cell r="C1511" t="str">
            <v>Ferrer Household</v>
          </cell>
          <cell r="D1511" t="str">
            <v>Andrea Ferrer</v>
          </cell>
        </row>
        <row r="1512">
          <cell r="C1512" t="str">
            <v>Fierva Household</v>
          </cell>
          <cell r="D1512" t="str">
            <v>Marcelo Fierva</v>
          </cell>
        </row>
        <row r="1513">
          <cell r="C1513" t="str">
            <v>Figueroa Household</v>
          </cell>
          <cell r="D1513" t="str">
            <v>Julianys Figueroa</v>
          </cell>
        </row>
        <row r="1514">
          <cell r="C1514" t="str">
            <v>Figueroa Household</v>
          </cell>
          <cell r="D1514" t="str">
            <v>Julianys Jahzeel Figueroa</v>
          </cell>
        </row>
        <row r="1515">
          <cell r="C1515" t="str">
            <v>Flores Household</v>
          </cell>
          <cell r="D1515" t="str">
            <v>Alexis Jose Flores</v>
          </cell>
        </row>
        <row r="1516">
          <cell r="C1516" t="str">
            <v>Flores Household</v>
          </cell>
          <cell r="D1516" t="str">
            <v>María Fernanda Flores</v>
          </cell>
        </row>
        <row r="1517">
          <cell r="C1517" t="str">
            <v>Flores Household</v>
          </cell>
          <cell r="D1517" t="str">
            <v>Marisabel Flores</v>
          </cell>
        </row>
        <row r="1518">
          <cell r="C1518" t="str">
            <v>Flores Household</v>
          </cell>
          <cell r="D1518" t="str">
            <v>Nebraska Flores</v>
          </cell>
        </row>
        <row r="1519">
          <cell r="C1519" t="str">
            <v>Flores Household</v>
          </cell>
          <cell r="D1519" t="str">
            <v>Okaira Flores</v>
          </cell>
          <cell r="F1519" t="str">
            <v>300-5773</v>
          </cell>
        </row>
        <row r="1520">
          <cell r="C1520" t="str">
            <v>Flores Household</v>
          </cell>
          <cell r="D1520" t="str">
            <v>Sheyla Flores</v>
          </cell>
        </row>
        <row r="1521">
          <cell r="C1521" t="str">
            <v>FLOREZ Household</v>
          </cell>
          <cell r="D1521" t="str">
            <v>CAMYLA FLOREZ</v>
          </cell>
        </row>
        <row r="1522">
          <cell r="C1522" t="str">
            <v>Flórez Household</v>
          </cell>
          <cell r="D1522" t="str">
            <v>María Fernanda Flórez</v>
          </cell>
        </row>
        <row r="1523">
          <cell r="C1523" t="str">
            <v>Fong Household</v>
          </cell>
          <cell r="D1523" t="str">
            <v>Karen Fong</v>
          </cell>
        </row>
        <row r="1524">
          <cell r="C1524" t="str">
            <v>Fong Oxford Household</v>
          </cell>
          <cell r="D1524" t="str">
            <v>Daniel Fong Oxford</v>
          </cell>
        </row>
        <row r="1525">
          <cell r="C1525" t="str">
            <v>Fonseca Household</v>
          </cell>
          <cell r="D1525" t="str">
            <v>Azael Fonseca</v>
          </cell>
        </row>
        <row r="1526">
          <cell r="C1526" t="str">
            <v>Frago Household</v>
          </cell>
          <cell r="D1526" t="str">
            <v>Denise Michelle Frago</v>
          </cell>
        </row>
        <row r="1527">
          <cell r="C1527" t="str">
            <v>Franco Household</v>
          </cell>
          <cell r="D1527" t="str">
            <v>Adaris Franco</v>
          </cell>
        </row>
        <row r="1528">
          <cell r="C1528" t="str">
            <v>Franco Household</v>
          </cell>
          <cell r="D1528" t="str">
            <v>Genesis Franco</v>
          </cell>
        </row>
        <row r="1529">
          <cell r="C1529" t="str">
            <v>Freire Household</v>
          </cell>
          <cell r="D1529" t="str">
            <v>Carolina Freire</v>
          </cell>
          <cell r="F1529" t="str">
            <v>306-3124</v>
          </cell>
        </row>
        <row r="1530">
          <cell r="C1530" t="str">
            <v>Frias Household</v>
          </cell>
          <cell r="D1530" t="str">
            <v>Jose Frias</v>
          </cell>
        </row>
        <row r="1531">
          <cell r="C1531" t="str">
            <v>Frias Household</v>
          </cell>
          <cell r="D1531" t="str">
            <v>José Frias</v>
          </cell>
        </row>
        <row r="1532">
          <cell r="C1532" t="str">
            <v>Fu Household</v>
          </cell>
          <cell r="D1532" t="str">
            <v>Kimberly Fu</v>
          </cell>
        </row>
        <row r="1533">
          <cell r="C1533" t="str">
            <v>FUENTES Household</v>
          </cell>
          <cell r="D1533" t="str">
            <v>Clovis Fuentes</v>
          </cell>
        </row>
        <row r="1534">
          <cell r="C1534" t="str">
            <v>FUENTES Household</v>
          </cell>
          <cell r="D1534" t="str">
            <v>ERICK FUENTES</v>
          </cell>
        </row>
        <row r="1535">
          <cell r="C1535" t="str">
            <v>FUENTES Household</v>
          </cell>
          <cell r="D1535" t="str">
            <v>Jeannery Fuentes</v>
          </cell>
        </row>
        <row r="1536">
          <cell r="C1536" t="str">
            <v>Fujitsubo Household</v>
          </cell>
          <cell r="D1536" t="str">
            <v>Hikari Fujitsubo</v>
          </cell>
        </row>
        <row r="1537">
          <cell r="C1537" t="str">
            <v>FUMIPEST INC Household</v>
          </cell>
          <cell r="D1537" t="str">
            <v>FUMIPEST INC</v>
          </cell>
        </row>
        <row r="1538">
          <cell r="C1538" t="str">
            <v>Gabriela González P.A.S Household</v>
          </cell>
          <cell r="D1538" t="str">
            <v>Ana Gabriela González P.A.S</v>
          </cell>
        </row>
        <row r="1539">
          <cell r="C1539" t="str">
            <v>Gabriela Household</v>
          </cell>
          <cell r="D1539" t="str">
            <v>Eimy Gabriela</v>
          </cell>
        </row>
        <row r="1540">
          <cell r="C1540" t="str">
            <v>Gaitan Household</v>
          </cell>
          <cell r="D1540" t="str">
            <v>Maribel Gaitan</v>
          </cell>
        </row>
        <row r="1541">
          <cell r="C1541" t="str">
            <v>Gaitán Household</v>
          </cell>
          <cell r="D1541" t="str">
            <v>Ashly Baules Gaitán</v>
          </cell>
        </row>
        <row r="1542">
          <cell r="C1542" t="str">
            <v>Gala Household</v>
          </cell>
          <cell r="D1542" t="str">
            <v>Galindo Arias y Lee Gala</v>
          </cell>
        </row>
        <row r="1543">
          <cell r="C1543" t="str">
            <v>Gallardo Household</v>
          </cell>
          <cell r="D1543" t="str">
            <v>Jeannette Gallardo</v>
          </cell>
        </row>
        <row r="1544">
          <cell r="C1544" t="str">
            <v>Gallardo Household</v>
          </cell>
          <cell r="D1544" t="str">
            <v>Khendall Gallardo</v>
          </cell>
        </row>
        <row r="1545">
          <cell r="C1545" t="str">
            <v>Gálvez Household</v>
          </cell>
          <cell r="D1545" t="str">
            <v>Juan Francisco Gálvez</v>
          </cell>
        </row>
        <row r="1546">
          <cell r="C1546" t="str">
            <v>Gàlvez Household</v>
          </cell>
          <cell r="D1546" t="str">
            <v>Daylin Gàlvez</v>
          </cell>
        </row>
        <row r="1547">
          <cell r="C1547" t="str">
            <v>GANTES Household</v>
          </cell>
          <cell r="D1547" t="str">
            <v>DAVID GANTES</v>
          </cell>
        </row>
        <row r="1548">
          <cell r="C1548" t="str">
            <v>GARCÉZ Household</v>
          </cell>
          <cell r="D1548" t="str">
            <v>JOHAN DAVID GARCÉZ</v>
          </cell>
        </row>
        <row r="1549">
          <cell r="C1549" t="str">
            <v>GARCÉZ Household</v>
          </cell>
          <cell r="D1549" t="str">
            <v>Johan GARCÉZ</v>
          </cell>
        </row>
        <row r="1550">
          <cell r="C1550" t="str">
            <v>GARCIA Household</v>
          </cell>
          <cell r="D1550" t="str">
            <v>Heimy Garcia</v>
          </cell>
        </row>
        <row r="1551">
          <cell r="C1551" t="str">
            <v>GARCIA Household</v>
          </cell>
          <cell r="D1551" t="str">
            <v>JUDITH GARCIA</v>
          </cell>
        </row>
        <row r="1552">
          <cell r="C1552" t="str">
            <v>GARCIA Household</v>
          </cell>
          <cell r="D1552" t="str">
            <v>KEYMARA GARCIA</v>
          </cell>
        </row>
        <row r="1553">
          <cell r="C1553" t="str">
            <v>GARCIA Household</v>
          </cell>
          <cell r="D1553" t="str">
            <v>Luz Garcia</v>
          </cell>
        </row>
        <row r="1554">
          <cell r="C1554" t="str">
            <v>GARCIA Household</v>
          </cell>
          <cell r="D1554" t="str">
            <v>MADELAINE GARCIA</v>
          </cell>
        </row>
        <row r="1555">
          <cell r="C1555" t="str">
            <v>GARCIA Household</v>
          </cell>
          <cell r="D1555" t="str">
            <v>Nayara Garcia</v>
          </cell>
        </row>
        <row r="1556">
          <cell r="C1556" t="str">
            <v>GARCIA Household</v>
          </cell>
          <cell r="D1556" t="str">
            <v>Paola Garcia</v>
          </cell>
        </row>
        <row r="1557">
          <cell r="C1557" t="str">
            <v>GARCIA Household</v>
          </cell>
          <cell r="D1557" t="str">
            <v>Yair Garcia</v>
          </cell>
        </row>
        <row r="1558">
          <cell r="C1558" t="str">
            <v>García Household</v>
          </cell>
          <cell r="D1558" t="str">
            <v>Juan García</v>
          </cell>
        </row>
        <row r="1559">
          <cell r="C1559" t="str">
            <v>García Household</v>
          </cell>
          <cell r="D1559" t="str">
            <v>Kimberly García</v>
          </cell>
        </row>
        <row r="1560">
          <cell r="C1560" t="str">
            <v>GARCIA OLMEDO Household</v>
          </cell>
          <cell r="D1560" t="str">
            <v>MARIA ANTONIA GARCIA OLMEDO</v>
          </cell>
        </row>
        <row r="1561">
          <cell r="C1561" t="str">
            <v>Garibaldo Household</v>
          </cell>
          <cell r="D1561" t="str">
            <v>Alexandra Garibaldo</v>
          </cell>
        </row>
        <row r="1562">
          <cell r="C1562" t="str">
            <v>Garrido Household</v>
          </cell>
          <cell r="D1562" t="str">
            <v>Delia Garrido</v>
          </cell>
        </row>
        <row r="1563">
          <cell r="C1563" t="str">
            <v>GEAN Household</v>
          </cell>
          <cell r="D1563" t="str">
            <v>Sara GEAN</v>
          </cell>
        </row>
        <row r="1564">
          <cell r="C1564" t="str">
            <v>Generado por: Gerencia Operaciones 10/12/2023, 10:11 a. m.</v>
          </cell>
        </row>
        <row r="1565">
          <cell r="C1565" t="str">
            <v>Geneteau Household</v>
          </cell>
          <cell r="D1565" t="str">
            <v>Daniel Geneteau</v>
          </cell>
        </row>
        <row r="1566">
          <cell r="C1566" t="str">
            <v>GIANGRANDE DE ALMEIDA Household</v>
          </cell>
          <cell r="D1566" t="str">
            <v>PAULA GIANGRANDE DE ALMEIDA</v>
          </cell>
        </row>
        <row r="1567">
          <cell r="C1567" t="str">
            <v>Gil Household</v>
          </cell>
          <cell r="D1567" t="str">
            <v>Aldrid Gil</v>
          </cell>
        </row>
        <row r="1568">
          <cell r="C1568" t="str">
            <v>Gil Household</v>
          </cell>
          <cell r="D1568" t="str">
            <v>Mayliz Gil</v>
          </cell>
        </row>
        <row r="1569">
          <cell r="C1569" t="str">
            <v>Gil Household</v>
          </cell>
          <cell r="D1569" t="str">
            <v>Silvia Gil</v>
          </cell>
        </row>
        <row r="1570">
          <cell r="C1570" t="str">
            <v>Gil Household</v>
          </cell>
          <cell r="D1570" t="str">
            <v>Vielka Gil</v>
          </cell>
          <cell r="F1570" t="str">
            <v>6325-1570</v>
          </cell>
        </row>
        <row r="1571">
          <cell r="C1571" t="str">
            <v>Gill Household</v>
          </cell>
          <cell r="D1571" t="str">
            <v>Luz Gill</v>
          </cell>
        </row>
        <row r="1572">
          <cell r="C1572" t="str">
            <v>Gladie Williams Household</v>
          </cell>
          <cell r="D1572" t="str">
            <v>ALCOGAL Gladie Williams</v>
          </cell>
        </row>
        <row r="1573">
          <cell r="C1573" t="str">
            <v>Glen Household</v>
          </cell>
          <cell r="D1573" t="str">
            <v>Rene Glen</v>
          </cell>
        </row>
        <row r="1574">
          <cell r="C1574" t="str">
            <v>Gomez Banco General Household</v>
          </cell>
          <cell r="D1574" t="str">
            <v>Larissa Gomez Banco General</v>
          </cell>
        </row>
        <row r="1575">
          <cell r="C1575" t="str">
            <v>GOMEZ Household</v>
          </cell>
          <cell r="D1575" t="str">
            <v>Ana Maria Gomez</v>
          </cell>
          <cell r="F1575" t="str">
            <v>6679-6844</v>
          </cell>
        </row>
        <row r="1576">
          <cell r="C1576" t="str">
            <v>GOMEZ Household</v>
          </cell>
          <cell r="D1576" t="str">
            <v>Ana Maria Gomez</v>
          </cell>
        </row>
        <row r="1577">
          <cell r="C1577" t="str">
            <v>GOMEZ Household</v>
          </cell>
          <cell r="D1577" t="str">
            <v>Angel Gomez Gomez</v>
          </cell>
        </row>
        <row r="1578">
          <cell r="C1578" t="str">
            <v>GOMEZ Household</v>
          </cell>
          <cell r="D1578" t="str">
            <v>CARLOS GOMEZ</v>
          </cell>
        </row>
        <row r="1579">
          <cell r="C1579" t="str">
            <v>GOMEZ Household</v>
          </cell>
          <cell r="D1579" t="str">
            <v>Gabriel Gomez</v>
          </cell>
        </row>
        <row r="1580">
          <cell r="C1580" t="str">
            <v>GOMEZ Household</v>
          </cell>
          <cell r="D1580" t="str">
            <v>Iguawiktikiña Gomez</v>
          </cell>
        </row>
        <row r="1581">
          <cell r="C1581" t="str">
            <v>GOMEZ Household</v>
          </cell>
          <cell r="D1581" t="str">
            <v>Ivonne Gomez</v>
          </cell>
        </row>
        <row r="1582">
          <cell r="C1582" t="str">
            <v>GOMEZ Household</v>
          </cell>
          <cell r="D1582" t="str">
            <v>JOSE GOMEZ</v>
          </cell>
        </row>
        <row r="1583">
          <cell r="C1583" t="str">
            <v>GOMEZ Household</v>
          </cell>
          <cell r="D1583" t="str">
            <v>Yahelis Gomez</v>
          </cell>
        </row>
        <row r="1584">
          <cell r="C1584" t="str">
            <v>Gómez Household</v>
          </cell>
          <cell r="D1584" t="str">
            <v>Ana María Gómez</v>
          </cell>
          <cell r="F1584" t="str">
            <v>66796844</v>
          </cell>
        </row>
        <row r="1585">
          <cell r="C1585" t="str">
            <v>Gómez Household</v>
          </cell>
          <cell r="D1585" t="str">
            <v>Ana María Gómez</v>
          </cell>
        </row>
        <row r="1586">
          <cell r="C1586" t="str">
            <v>Gómez Household</v>
          </cell>
          <cell r="D1586" t="str">
            <v>Ana Michelle Gómez</v>
          </cell>
        </row>
        <row r="1587">
          <cell r="C1587" t="str">
            <v>Gongora C. San Judas Tadeo Household</v>
          </cell>
          <cell r="D1587" t="str">
            <v>Sherlyn Gongora C. San Judas Tadeo</v>
          </cell>
        </row>
        <row r="1588">
          <cell r="C1588" t="str">
            <v>Gonzales Household</v>
          </cell>
          <cell r="D1588" t="str">
            <v>Jimmy Gonzales</v>
          </cell>
        </row>
        <row r="1589">
          <cell r="C1589" t="str">
            <v>GONZALEZ B. Household</v>
          </cell>
          <cell r="D1589" t="str">
            <v>MILCIADES GONZALEZ B.</v>
          </cell>
        </row>
        <row r="1590">
          <cell r="C1590" t="str">
            <v>Gonzalez C. Saint Mary Household</v>
          </cell>
          <cell r="D1590" t="str">
            <v>Natalie Gonzalez C. Saint Mary</v>
          </cell>
        </row>
        <row r="1591">
          <cell r="C1591" t="str">
            <v>González C. Sant Mary Household</v>
          </cell>
          <cell r="D1591" t="str">
            <v>Natalie González C. Sant Mary</v>
          </cell>
        </row>
        <row r="1592">
          <cell r="C1592" t="str">
            <v>Gonzalez Household</v>
          </cell>
          <cell r="D1592" t="str">
            <v>ARACELLY GONZALEZ</v>
          </cell>
        </row>
        <row r="1593">
          <cell r="C1593" t="str">
            <v>Gonzalez Household</v>
          </cell>
          <cell r="D1593" t="str">
            <v>Armando Gonzalez</v>
          </cell>
        </row>
        <row r="1594">
          <cell r="C1594" t="str">
            <v>Gonzalez Household</v>
          </cell>
          <cell r="D1594" t="str">
            <v>Arsenio Gonzalez</v>
          </cell>
        </row>
        <row r="1595">
          <cell r="C1595" t="str">
            <v>Gonzalez Household</v>
          </cell>
          <cell r="D1595" t="str">
            <v>BETZY Gonzalez</v>
          </cell>
        </row>
        <row r="1596">
          <cell r="C1596" t="str">
            <v>Gonzalez Household</v>
          </cell>
          <cell r="D1596" t="str">
            <v>Diego Gonzalez</v>
          </cell>
        </row>
        <row r="1597">
          <cell r="C1597" t="str">
            <v>Gonzalez Household</v>
          </cell>
          <cell r="D1597" t="str">
            <v>Edilberto Gonzalez</v>
          </cell>
        </row>
        <row r="1598">
          <cell r="C1598" t="str">
            <v>Gonzalez Household</v>
          </cell>
          <cell r="D1598" t="str">
            <v>Eira GONZALEZ</v>
          </cell>
        </row>
        <row r="1599">
          <cell r="C1599" t="str">
            <v>Gonzalez Household</v>
          </cell>
          <cell r="D1599" t="str">
            <v>Gloriela Gonzalez</v>
          </cell>
        </row>
        <row r="1600">
          <cell r="C1600" t="str">
            <v>Gonzalez Household</v>
          </cell>
          <cell r="D1600" t="str">
            <v>Itzel Gonzalez</v>
          </cell>
        </row>
        <row r="1601">
          <cell r="C1601" t="str">
            <v>Gonzalez Household</v>
          </cell>
          <cell r="D1601" t="str">
            <v>Kimberly Gonzalez</v>
          </cell>
        </row>
        <row r="1602">
          <cell r="C1602" t="str">
            <v>Gonzalez Household</v>
          </cell>
          <cell r="D1602" t="str">
            <v>MTS Nixelis Gonzalez Gonzalez</v>
          </cell>
        </row>
        <row r="1603">
          <cell r="C1603" t="str">
            <v>Gonzalez Household</v>
          </cell>
          <cell r="D1603" t="str">
            <v>OMAR GONZALEZ</v>
          </cell>
        </row>
        <row r="1604">
          <cell r="C1604" t="str">
            <v>Gonzalez Household</v>
          </cell>
          <cell r="D1604" t="str">
            <v>Ovidio Gonzalez</v>
          </cell>
        </row>
        <row r="1605">
          <cell r="C1605" t="str">
            <v>Gonzalez Household</v>
          </cell>
          <cell r="D1605" t="str">
            <v>Ruth Gonzalez</v>
          </cell>
        </row>
        <row r="1606">
          <cell r="C1606" t="str">
            <v>Gonzalez Household</v>
          </cell>
          <cell r="D1606" t="str">
            <v>YENNY DEL C GONZALEZ</v>
          </cell>
        </row>
        <row r="1607">
          <cell r="C1607" t="str">
            <v>Gonzalez Household</v>
          </cell>
          <cell r="D1607" t="str">
            <v>Yenny Del Carmen Gonzalez</v>
          </cell>
        </row>
        <row r="1608">
          <cell r="C1608" t="str">
            <v>Gonzalez Household</v>
          </cell>
          <cell r="D1608" t="str">
            <v>Zuleyka Gonzalez</v>
          </cell>
        </row>
        <row r="1609">
          <cell r="C1609" t="str">
            <v>González Household</v>
          </cell>
          <cell r="D1609" t="str">
            <v>Ana González</v>
          </cell>
        </row>
        <row r="1610">
          <cell r="C1610" t="str">
            <v>González Household</v>
          </cell>
          <cell r="D1610" t="str">
            <v>Andrea González</v>
          </cell>
        </row>
        <row r="1611">
          <cell r="C1611" t="str">
            <v>González Household</v>
          </cell>
          <cell r="D1611" t="str">
            <v>Andrés González</v>
          </cell>
        </row>
        <row r="1612">
          <cell r="C1612" t="str">
            <v>González Household</v>
          </cell>
          <cell r="D1612" t="str">
            <v>Angie Aneth González</v>
          </cell>
        </row>
        <row r="1613">
          <cell r="C1613" t="str">
            <v>González Household</v>
          </cell>
          <cell r="D1613" t="str">
            <v>Antonio González</v>
          </cell>
        </row>
        <row r="1614">
          <cell r="C1614" t="str">
            <v>González Household</v>
          </cell>
          <cell r="D1614" t="str">
            <v>Arturo González</v>
          </cell>
        </row>
        <row r="1615">
          <cell r="C1615" t="str">
            <v>González Household</v>
          </cell>
          <cell r="D1615" t="str">
            <v>Berenice González</v>
          </cell>
        </row>
        <row r="1616">
          <cell r="C1616" t="str">
            <v>González Household</v>
          </cell>
          <cell r="D1616" t="str">
            <v>Elizabeth González</v>
          </cell>
        </row>
        <row r="1617">
          <cell r="C1617" t="str">
            <v>González Household</v>
          </cell>
          <cell r="D1617" t="str">
            <v>Escarles González</v>
          </cell>
        </row>
        <row r="1618">
          <cell r="C1618" t="str">
            <v>González Household</v>
          </cell>
          <cell r="D1618" t="str">
            <v>Francisco González</v>
          </cell>
        </row>
        <row r="1619">
          <cell r="C1619" t="str">
            <v>González Household</v>
          </cell>
          <cell r="D1619" t="str">
            <v>Geisa González</v>
          </cell>
        </row>
        <row r="1620">
          <cell r="C1620" t="str">
            <v>González Household</v>
          </cell>
          <cell r="D1620" t="str">
            <v>Ismael González</v>
          </cell>
        </row>
        <row r="1621">
          <cell r="C1621" t="str">
            <v>González Household</v>
          </cell>
          <cell r="D1621" t="str">
            <v>Jose González</v>
          </cell>
        </row>
        <row r="1622">
          <cell r="C1622" t="str">
            <v>González Household</v>
          </cell>
          <cell r="D1622" t="str">
            <v>Kathia González</v>
          </cell>
        </row>
        <row r="1623">
          <cell r="C1623" t="str">
            <v>González Household</v>
          </cell>
          <cell r="D1623" t="str">
            <v>María González</v>
          </cell>
        </row>
        <row r="1624">
          <cell r="C1624" t="str">
            <v>González Household</v>
          </cell>
          <cell r="D1624" t="str">
            <v>Mayrin González</v>
          </cell>
        </row>
        <row r="1625">
          <cell r="C1625" t="str">
            <v>González Household</v>
          </cell>
          <cell r="D1625" t="str">
            <v>Narciso González</v>
          </cell>
          <cell r="F1625" t="str">
            <v>6550-9868</v>
          </cell>
        </row>
        <row r="1626">
          <cell r="C1626" t="str">
            <v>González Household</v>
          </cell>
          <cell r="D1626" t="str">
            <v>Narciso González</v>
          </cell>
          <cell r="F1626" t="str">
            <v>6895-9135</v>
          </cell>
        </row>
        <row r="1627">
          <cell r="C1627" t="str">
            <v>González Household</v>
          </cell>
          <cell r="D1627" t="str">
            <v>Oscar González</v>
          </cell>
        </row>
        <row r="1628">
          <cell r="C1628" t="str">
            <v>González Household</v>
          </cell>
          <cell r="D1628" t="str">
            <v>Sara González</v>
          </cell>
        </row>
        <row r="1629">
          <cell r="C1629" t="str">
            <v>González Household</v>
          </cell>
          <cell r="D1629" t="str">
            <v>Wagner González</v>
          </cell>
        </row>
        <row r="1630">
          <cell r="C1630" t="str">
            <v>González Household</v>
          </cell>
          <cell r="D1630" t="str">
            <v>Yarineth González</v>
          </cell>
          <cell r="F1630" t="str">
            <v>6675-5809</v>
          </cell>
        </row>
        <row r="1631">
          <cell r="C1631" t="str">
            <v>González Household</v>
          </cell>
          <cell r="D1631" t="str">
            <v>Yenifer González</v>
          </cell>
        </row>
        <row r="1632">
          <cell r="C1632" t="str">
            <v>González Household</v>
          </cell>
          <cell r="D1632" t="str">
            <v>Yira González</v>
          </cell>
        </row>
        <row r="1633">
          <cell r="C1633" t="str">
            <v>González Household</v>
          </cell>
          <cell r="D1633" t="str">
            <v>Yuritza González</v>
          </cell>
        </row>
        <row r="1634">
          <cell r="C1634" t="str">
            <v>González Household</v>
          </cell>
          <cell r="D1634" t="str">
            <v>Zisley González</v>
          </cell>
        </row>
        <row r="1635">
          <cell r="C1635" t="str">
            <v>González Revilla Household</v>
          </cell>
          <cell r="D1635" t="str">
            <v>Alexandra González Revilla</v>
          </cell>
        </row>
        <row r="1636">
          <cell r="C1636" t="str">
            <v>gooding Household</v>
          </cell>
          <cell r="D1636" t="str">
            <v>Génesis gooding</v>
          </cell>
        </row>
        <row r="1637">
          <cell r="C1637" t="str">
            <v>Gorgora C. SAN JUDAS TADEO Household</v>
          </cell>
          <cell r="D1637" t="str">
            <v>Sherlyn Gorgora C. SAN JUDAS TADEO</v>
          </cell>
        </row>
        <row r="1638">
          <cell r="C1638" t="str">
            <v>Gracia Household</v>
          </cell>
          <cell r="D1638" t="str">
            <v>Katherine Gracia</v>
          </cell>
        </row>
        <row r="1639">
          <cell r="C1639" t="str">
            <v>Grajales Household</v>
          </cell>
          <cell r="D1639" t="str">
            <v>Marvelis Grajales</v>
          </cell>
        </row>
        <row r="1640">
          <cell r="C1640" t="str">
            <v>Granillo Household</v>
          </cell>
          <cell r="D1640" t="str">
            <v>Milagro Granillo</v>
          </cell>
        </row>
        <row r="1641">
          <cell r="C1641" t="str">
            <v>Graterol Household</v>
          </cell>
          <cell r="D1641" t="str">
            <v>Laura Graterol</v>
          </cell>
        </row>
        <row r="1642">
          <cell r="C1642" t="str">
            <v>Grenald Household</v>
          </cell>
          <cell r="D1642" t="str">
            <v>Rayan Grenald</v>
          </cell>
        </row>
        <row r="1643">
          <cell r="C1643" t="str">
            <v>Grey Household</v>
          </cell>
          <cell r="D1643" t="str">
            <v>Karla Grey</v>
          </cell>
        </row>
        <row r="1644">
          <cell r="C1644" t="str">
            <v>Guardado Household</v>
          </cell>
          <cell r="D1644" t="str">
            <v>Maria Renee Guardado</v>
          </cell>
        </row>
        <row r="1645">
          <cell r="C1645" t="str">
            <v>Guardia Household</v>
          </cell>
          <cell r="D1645" t="str">
            <v>Pablo Guardia</v>
          </cell>
        </row>
        <row r="1646">
          <cell r="C1646" t="str">
            <v>Guerra Household</v>
          </cell>
          <cell r="D1646" t="str">
            <v>Michelle Guerra</v>
          </cell>
        </row>
        <row r="1647">
          <cell r="C1647" t="str">
            <v>Guerra Household</v>
          </cell>
          <cell r="D1647" t="str">
            <v>Richard Guerra</v>
          </cell>
        </row>
        <row r="1648">
          <cell r="C1648" t="str">
            <v>Guerrero Household</v>
          </cell>
          <cell r="D1648" t="str">
            <v>Carolina Guerrero</v>
          </cell>
        </row>
        <row r="1649">
          <cell r="C1649" t="str">
            <v>Guerrero Household</v>
          </cell>
          <cell r="D1649" t="str">
            <v>Johana Guerrero</v>
          </cell>
        </row>
        <row r="1650">
          <cell r="C1650" t="str">
            <v>Guerrero Household</v>
          </cell>
          <cell r="D1650" t="str">
            <v>Yessibel Guerrero</v>
          </cell>
        </row>
        <row r="1651">
          <cell r="C1651" t="str">
            <v>Guerrero Rios Household</v>
          </cell>
          <cell r="D1651" t="str">
            <v>Iris Guerrero Rios</v>
          </cell>
        </row>
        <row r="1652">
          <cell r="C1652" t="str">
            <v>Guizado Household</v>
          </cell>
          <cell r="D1652" t="str">
            <v>Claudio Guizado</v>
          </cell>
        </row>
        <row r="1653">
          <cell r="C1653" t="str">
            <v>GUTIERREZ Household</v>
          </cell>
          <cell r="D1653" t="str">
            <v>Alberto Gutierrez</v>
          </cell>
        </row>
        <row r="1654">
          <cell r="C1654" t="str">
            <v>GUTIERREZ Household</v>
          </cell>
          <cell r="D1654" t="str">
            <v>RINA GUTIERREZ</v>
          </cell>
        </row>
        <row r="1655">
          <cell r="C1655" t="str">
            <v>GUTIERREZ Household</v>
          </cell>
          <cell r="D1655" t="str">
            <v>Yuliana Gutierrez</v>
          </cell>
        </row>
        <row r="1656">
          <cell r="C1656" t="str">
            <v>Gutiérrez Household</v>
          </cell>
          <cell r="D1656" t="str">
            <v>Ninfa Gutiérrez</v>
          </cell>
        </row>
        <row r="1657">
          <cell r="C1657" t="str">
            <v>GUZMAN Household</v>
          </cell>
          <cell r="D1657" t="str">
            <v>ALEX GUZMAN</v>
          </cell>
        </row>
        <row r="1658">
          <cell r="C1658" t="str">
            <v>GUZMAN Household</v>
          </cell>
          <cell r="D1658" t="str">
            <v>Juan Jose Guzman</v>
          </cell>
        </row>
        <row r="1659">
          <cell r="C1659" t="str">
            <v>GUZMAN Household</v>
          </cell>
          <cell r="D1659" t="str">
            <v>Lissa Guzman</v>
          </cell>
        </row>
        <row r="1660">
          <cell r="C1660" t="str">
            <v>Guzmán Household</v>
          </cell>
          <cell r="D1660" t="str">
            <v>Jeny Guzmán</v>
          </cell>
        </row>
        <row r="1661">
          <cell r="C1661" t="str">
            <v>Guzmán Household</v>
          </cell>
          <cell r="D1661" t="str">
            <v>Monica Guzmán</v>
          </cell>
        </row>
        <row r="1662">
          <cell r="C1662" t="str">
            <v>H DE TROESTCH Household</v>
          </cell>
          <cell r="D1662" t="str">
            <v>HILDA H DE TROESTCH</v>
          </cell>
        </row>
        <row r="1663">
          <cell r="C1663" t="str">
            <v>Hanly Household</v>
          </cell>
          <cell r="D1663" t="str">
            <v>Mark Hanly</v>
          </cell>
        </row>
        <row r="1664">
          <cell r="C1664" t="str">
            <v>Hassam Household</v>
          </cell>
          <cell r="D1664" t="str">
            <v>Samer Abi Hassam</v>
          </cell>
        </row>
        <row r="1665">
          <cell r="C1665" t="str">
            <v>HEILBRON CALOGNE Household</v>
          </cell>
          <cell r="D1665" t="str">
            <v>FAMILIA HEILBRON CALOGNE</v>
          </cell>
        </row>
        <row r="1666">
          <cell r="C1666" t="str">
            <v>HENRIQUEZ Household</v>
          </cell>
          <cell r="D1666" t="str">
            <v>GLADYS HENRIQUEZ</v>
          </cell>
        </row>
        <row r="1667">
          <cell r="C1667" t="str">
            <v>HERAS CASTRO Household</v>
          </cell>
          <cell r="D1667" t="str">
            <v>MIGUEL HERAS CASTRO</v>
          </cell>
        </row>
        <row r="1668">
          <cell r="C1668" t="str">
            <v>Hernandez Household</v>
          </cell>
          <cell r="D1668" t="str">
            <v>Alonso Hernandez</v>
          </cell>
        </row>
        <row r="1669">
          <cell r="C1669" t="str">
            <v>Hernandez Household</v>
          </cell>
          <cell r="D1669" t="str">
            <v>Hector Hernandez</v>
          </cell>
        </row>
        <row r="1670">
          <cell r="C1670" t="str">
            <v>Hernandez Household</v>
          </cell>
          <cell r="D1670" t="str">
            <v>Jennyfer Hernandez</v>
          </cell>
        </row>
        <row r="1671">
          <cell r="C1671" t="str">
            <v>Hernandez Household</v>
          </cell>
          <cell r="D1671" t="str">
            <v>Luis Hernandez</v>
          </cell>
        </row>
        <row r="1672">
          <cell r="C1672" t="str">
            <v>Hernandez Household</v>
          </cell>
          <cell r="D1672" t="str">
            <v>Maria Hernandez</v>
          </cell>
        </row>
        <row r="1673">
          <cell r="C1673" t="str">
            <v>Hernandez Household</v>
          </cell>
          <cell r="D1673" t="str">
            <v>Yiseth Hernandez</v>
          </cell>
        </row>
        <row r="1674">
          <cell r="C1674" t="str">
            <v>HERNÁNDEZ Household</v>
          </cell>
          <cell r="D1674" t="str">
            <v>Ana Hernández</v>
          </cell>
        </row>
        <row r="1675">
          <cell r="C1675" t="str">
            <v>HERNÁNDEZ Household</v>
          </cell>
          <cell r="D1675" t="str">
            <v>Betzaida Hernández</v>
          </cell>
        </row>
        <row r="1676">
          <cell r="C1676" t="str">
            <v>HERNÁNDEZ Household</v>
          </cell>
          <cell r="D1676" t="str">
            <v>DENISE HERNÁNDEZ</v>
          </cell>
        </row>
        <row r="1677">
          <cell r="C1677" t="str">
            <v>HERNÁNDEZ Household</v>
          </cell>
          <cell r="D1677" t="str">
            <v>Edgar Iván Hernández</v>
          </cell>
        </row>
        <row r="1678">
          <cell r="C1678" t="str">
            <v>HERNÁNDEZ Household</v>
          </cell>
          <cell r="D1678" t="str">
            <v>Evelyn Hernández</v>
          </cell>
        </row>
        <row r="1679">
          <cell r="C1679" t="str">
            <v>HERNÁNDEZ Household</v>
          </cell>
          <cell r="D1679" t="str">
            <v>Héctor Hernández</v>
          </cell>
        </row>
        <row r="1680">
          <cell r="C1680" t="str">
            <v>Hernandez Oxford Household</v>
          </cell>
          <cell r="D1680" t="str">
            <v>Mariagrazzia Hernandez Oxford</v>
          </cell>
        </row>
        <row r="1681">
          <cell r="C1681" t="str">
            <v>Herrera Household</v>
          </cell>
          <cell r="D1681" t="str">
            <v>ARI HERRERA</v>
          </cell>
        </row>
        <row r="1682">
          <cell r="C1682" t="str">
            <v>Herrera Household</v>
          </cell>
          <cell r="D1682" t="str">
            <v>Hanna Herrera</v>
          </cell>
        </row>
        <row r="1683">
          <cell r="C1683" t="str">
            <v>Herrera Household</v>
          </cell>
          <cell r="D1683" t="str">
            <v>Jose Alfonso Herrera</v>
          </cell>
        </row>
        <row r="1684">
          <cell r="C1684" t="str">
            <v>Herrera Household</v>
          </cell>
          <cell r="D1684" t="str">
            <v>JOSE MARIA HERRERA</v>
          </cell>
        </row>
        <row r="1685">
          <cell r="C1685" t="str">
            <v>Herrera Household</v>
          </cell>
          <cell r="D1685" t="str">
            <v>NODIHER HERRERA</v>
          </cell>
        </row>
        <row r="1686">
          <cell r="C1686" t="str">
            <v>Heuer Household</v>
          </cell>
          <cell r="D1686" t="str">
            <v>Mariela Heuer</v>
          </cell>
        </row>
        <row r="1687">
          <cell r="C1687" t="str">
            <v>Hidalgo Household</v>
          </cell>
          <cell r="D1687" t="str">
            <v>Felsy Hidalgo</v>
          </cell>
        </row>
        <row r="1688">
          <cell r="C1688" t="str">
            <v>Hidalgo Household</v>
          </cell>
          <cell r="D1688" t="str">
            <v>Guadalupe Hidalgo</v>
          </cell>
        </row>
        <row r="1689">
          <cell r="C1689" t="str">
            <v>Higuero Household</v>
          </cell>
          <cell r="D1689" t="str">
            <v>Jose Higuero</v>
          </cell>
        </row>
        <row r="1690">
          <cell r="C1690" t="str">
            <v>Him Household</v>
          </cell>
          <cell r="D1690" t="str">
            <v>Noira Him</v>
          </cell>
        </row>
        <row r="1691">
          <cell r="C1691" t="str">
            <v>Hinojosa Household</v>
          </cell>
          <cell r="D1691" t="str">
            <v>José Hinojosa</v>
          </cell>
        </row>
        <row r="1692">
          <cell r="C1692" t="str">
            <v>Hou Oxford Household</v>
          </cell>
          <cell r="D1692" t="str">
            <v>Harry Hou Oxford</v>
          </cell>
        </row>
        <row r="1693">
          <cell r="C1693" t="str">
            <v>Hugentobler Household</v>
          </cell>
          <cell r="D1693" t="str">
            <v>Maria Gabriela Hugentobler</v>
          </cell>
        </row>
        <row r="1694">
          <cell r="C1694" t="str">
            <v>Hurtado Household</v>
          </cell>
          <cell r="D1694" t="str">
            <v>Marianela Hurtado</v>
          </cell>
          <cell r="F1694" t="str">
            <v>64226846</v>
          </cell>
        </row>
        <row r="1695">
          <cell r="C1695" t="str">
            <v>Ibarra Household</v>
          </cell>
          <cell r="D1695" t="str">
            <v>Angelo Ibarra</v>
          </cell>
        </row>
        <row r="1696">
          <cell r="C1696" t="str">
            <v>Ibarra Household</v>
          </cell>
          <cell r="D1696" t="str">
            <v>Jorge Ibarra</v>
          </cell>
          <cell r="F1696" t="str">
            <v>6634-0028</v>
          </cell>
        </row>
        <row r="1697">
          <cell r="C1697" t="str">
            <v>ICAZA CLARE Household</v>
          </cell>
          <cell r="D1697" t="str">
            <v>RODOLFO EDUARDO ICAZA CLARE</v>
          </cell>
        </row>
        <row r="1698">
          <cell r="C1698" t="str">
            <v>ICAZA CLARE Household</v>
          </cell>
          <cell r="D1698" t="str">
            <v>Rodolfo Icaza Clare</v>
          </cell>
        </row>
        <row r="1699">
          <cell r="C1699" t="str">
            <v>ILARSLAN Household</v>
          </cell>
          <cell r="D1699" t="str">
            <v>MUSA ILARSLAN</v>
          </cell>
        </row>
        <row r="1700">
          <cell r="C1700" t="str">
            <v>Información confidencial - Prohibida su distribución</v>
          </cell>
        </row>
        <row r="1701">
          <cell r="C1701" t="str">
            <v>Informe Donantes</v>
          </cell>
        </row>
        <row r="1702">
          <cell r="C1702" t="str">
            <v>International School of Panama Household</v>
          </cell>
          <cell r="D1702" t="str">
            <v>International School International School of Panama</v>
          </cell>
        </row>
        <row r="1703">
          <cell r="C1703" t="str">
            <v>Irving G. Montenegro Household</v>
          </cell>
          <cell r="D1703" t="str">
            <v>Caja de Ahorros Irving G. Montenegro</v>
          </cell>
        </row>
        <row r="1704">
          <cell r="C1704" t="str">
            <v>ISABEL Household</v>
          </cell>
          <cell r="D1704" t="str">
            <v>ROSA ISABEL</v>
          </cell>
        </row>
        <row r="1705">
          <cell r="C1705" t="str">
            <v>ITSE</v>
          </cell>
        </row>
        <row r="1706">
          <cell r="C1706" t="str">
            <v>Jaen Household</v>
          </cell>
          <cell r="D1706" t="str">
            <v>Josue Jaen</v>
          </cell>
        </row>
        <row r="1707">
          <cell r="C1707" t="str">
            <v>Jaén Household</v>
          </cell>
          <cell r="D1707" t="str">
            <v>Gilda Jaén</v>
          </cell>
        </row>
        <row r="1708">
          <cell r="C1708" t="str">
            <v>Jaén Household</v>
          </cell>
          <cell r="D1708" t="str">
            <v>Lidia Maribel Jaén</v>
          </cell>
        </row>
        <row r="1709">
          <cell r="C1709" t="str">
            <v>Jaen Instituto Atenea Household</v>
          </cell>
          <cell r="D1709" t="str">
            <v>Juan David Jaen Instituto Atenea</v>
          </cell>
        </row>
        <row r="1710">
          <cell r="C1710" t="str">
            <v>Jaramillo Household</v>
          </cell>
          <cell r="D1710" t="str">
            <v>Adrianys Jaramillo</v>
          </cell>
        </row>
        <row r="1711">
          <cell r="C1711" t="str">
            <v>Jaramillo Household</v>
          </cell>
          <cell r="D1711" t="str">
            <v>Aileen Jaramillo</v>
          </cell>
        </row>
        <row r="1712">
          <cell r="C1712" t="str">
            <v>Jaramillo Household</v>
          </cell>
          <cell r="D1712" t="str">
            <v>Angélica Jaramillo</v>
          </cell>
        </row>
        <row r="1713">
          <cell r="C1713" t="str">
            <v>Jaramillo Household</v>
          </cell>
          <cell r="D1713" t="str">
            <v>Antonio Jaramillo</v>
          </cell>
        </row>
        <row r="1714">
          <cell r="C1714" t="str">
            <v>Jaramillo Household</v>
          </cell>
          <cell r="D1714" t="str">
            <v>Elias Jaramillo</v>
          </cell>
        </row>
        <row r="1715">
          <cell r="C1715" t="str">
            <v>Jaramillo Household</v>
          </cell>
          <cell r="D1715" t="str">
            <v>Magaly Jaramillo</v>
          </cell>
        </row>
        <row r="1716">
          <cell r="C1716" t="str">
            <v>Jarava Household</v>
          </cell>
          <cell r="D1716" t="str">
            <v>Liza Jarava</v>
          </cell>
        </row>
        <row r="1717">
          <cell r="C1717" t="str">
            <v>Javilla Household</v>
          </cell>
          <cell r="D1717" t="str">
            <v>Ever Javilla</v>
          </cell>
        </row>
        <row r="1718">
          <cell r="C1718" t="str">
            <v>Jiménez Fernández Household</v>
          </cell>
          <cell r="D1718" t="str">
            <v>Gerardo Jiménez Fernández</v>
          </cell>
        </row>
        <row r="1719">
          <cell r="C1719" t="str">
            <v>Jimenez Household</v>
          </cell>
          <cell r="D1719" t="str">
            <v>Liurys Jimenez</v>
          </cell>
        </row>
        <row r="1720">
          <cell r="C1720" t="str">
            <v>Jimenez Household</v>
          </cell>
          <cell r="D1720" t="str">
            <v>OFELINA JIMENEZ</v>
          </cell>
        </row>
        <row r="1721">
          <cell r="C1721" t="str">
            <v>Jimenez Household</v>
          </cell>
          <cell r="D1721" t="str">
            <v>Stephen Jimenez</v>
          </cell>
        </row>
        <row r="1722">
          <cell r="C1722" t="str">
            <v>Jimenez Household</v>
          </cell>
          <cell r="D1722" t="str">
            <v>Vielka Jimenez</v>
          </cell>
        </row>
        <row r="1723">
          <cell r="C1723" t="str">
            <v>Jiménez Household</v>
          </cell>
          <cell r="D1723" t="str">
            <v>Jose Jiménez</v>
          </cell>
        </row>
        <row r="1724">
          <cell r="C1724" t="str">
            <v>Jiménez Household</v>
          </cell>
          <cell r="D1724" t="str">
            <v>José Jiménez</v>
          </cell>
          <cell r="F1724" t="str">
            <v>6169-6726</v>
          </cell>
        </row>
        <row r="1725">
          <cell r="C1725" t="str">
            <v>Jiménez Household</v>
          </cell>
          <cell r="D1725" t="str">
            <v>Karina Jiménez</v>
          </cell>
        </row>
        <row r="1726">
          <cell r="C1726" t="str">
            <v>Jiménez Household</v>
          </cell>
          <cell r="D1726" t="str">
            <v>Liurys Jiménez</v>
          </cell>
        </row>
        <row r="1727">
          <cell r="C1727" t="str">
            <v>Jiménez Household</v>
          </cell>
          <cell r="D1727" t="str">
            <v>Marianne Jiménez</v>
          </cell>
        </row>
        <row r="1728">
          <cell r="C1728" t="str">
            <v>Jiménez Household</v>
          </cell>
          <cell r="D1728" t="str">
            <v>Stephen Jiménez</v>
          </cell>
        </row>
        <row r="1729">
          <cell r="C1729" t="str">
            <v>Jimenez Rodriguez Household</v>
          </cell>
          <cell r="D1729" t="str">
            <v>Johannelys Jimenez Rodriguez</v>
          </cell>
        </row>
        <row r="1730">
          <cell r="C1730" t="str">
            <v>Joao Household</v>
          </cell>
          <cell r="D1730" t="str">
            <v>Maria Joao</v>
          </cell>
        </row>
        <row r="1731">
          <cell r="C1731" t="str">
            <v>Jordan Household</v>
          </cell>
          <cell r="D1731" t="str">
            <v>Miguel Jordan</v>
          </cell>
        </row>
        <row r="1732">
          <cell r="C1732" t="str">
            <v>Jordan Household</v>
          </cell>
          <cell r="D1732" t="str">
            <v>Yissel Jordan</v>
          </cell>
        </row>
        <row r="1733">
          <cell r="C1733" t="str">
            <v>José Household</v>
          </cell>
          <cell r="D1733" t="str">
            <v>Jose José</v>
          </cell>
        </row>
        <row r="1734">
          <cell r="C1734" t="str">
            <v>Joyce Household</v>
          </cell>
          <cell r="D1734" t="str">
            <v>Ana Sofia Joyce</v>
          </cell>
        </row>
        <row r="1735">
          <cell r="C1735" t="str">
            <v>KABBAS Household</v>
          </cell>
          <cell r="D1735" t="str">
            <v>VLADIMIR KABBAS</v>
          </cell>
        </row>
        <row r="1736">
          <cell r="C1736" t="str">
            <v>KARISI Household</v>
          </cell>
          <cell r="D1736" t="str">
            <v>IDO KARISI</v>
          </cell>
        </row>
        <row r="1737">
          <cell r="C1737" t="str">
            <v>Kaur Oxford Household</v>
          </cell>
          <cell r="D1737" t="str">
            <v>Jasmeen Kaur Oxford</v>
          </cell>
        </row>
        <row r="1738">
          <cell r="C1738" t="str">
            <v>Kaur Oxford Household</v>
          </cell>
          <cell r="D1738" t="str">
            <v>Kiran Kaur Oxford</v>
          </cell>
        </row>
        <row r="1739">
          <cell r="C1739" t="str">
            <v>Kelleher Household</v>
          </cell>
          <cell r="D1739" t="str">
            <v>Ruth Ann Kelleher</v>
          </cell>
        </row>
        <row r="1740">
          <cell r="C1740" t="str">
            <v>Kimberly-Clark Household</v>
          </cell>
          <cell r="D1740" t="str">
            <v>Ana Kimberly-Clark</v>
          </cell>
        </row>
        <row r="1741">
          <cell r="C1741" t="str">
            <v>Kinlock Household</v>
          </cell>
          <cell r="D1741" t="str">
            <v>Jay Kinlock</v>
          </cell>
        </row>
        <row r="1742">
          <cell r="C1742" t="str">
            <v>Krasner Household</v>
          </cell>
          <cell r="D1742" t="str">
            <v>Maximilian Krasner</v>
          </cell>
        </row>
        <row r="1743">
          <cell r="C1743" t="str">
            <v>L DE BARRABCO Household</v>
          </cell>
          <cell r="D1743" t="str">
            <v>LETICIA L DE BARRABCO</v>
          </cell>
        </row>
        <row r="1744">
          <cell r="C1744" t="str">
            <v>Lacayo Household</v>
          </cell>
          <cell r="D1744" t="str">
            <v>Luisa Rebeca Lacayo</v>
          </cell>
        </row>
        <row r="1745">
          <cell r="C1745" t="str">
            <v>Lane Household</v>
          </cell>
          <cell r="D1745" t="str">
            <v>Moises Lane</v>
          </cell>
        </row>
        <row r="1746">
          <cell r="C1746" t="str">
            <v>Larea Household</v>
          </cell>
          <cell r="D1746" t="str">
            <v>Ricardo Larea</v>
          </cell>
        </row>
        <row r="1747">
          <cell r="C1747" t="str">
            <v>Lares Household</v>
          </cell>
          <cell r="D1747" t="str">
            <v>Veronica Lares</v>
          </cell>
        </row>
        <row r="1748">
          <cell r="C1748" t="str">
            <v>Lasso Household</v>
          </cell>
          <cell r="D1748" t="str">
            <v>Luciano Lasso</v>
          </cell>
        </row>
        <row r="1749">
          <cell r="C1749" t="str">
            <v>Lau Household</v>
          </cell>
          <cell r="D1749" t="str">
            <v>Cindy Lau</v>
          </cell>
        </row>
        <row r="1750">
          <cell r="C1750" t="str">
            <v>Laura Gushiken Household</v>
          </cell>
          <cell r="D1750" t="str">
            <v>Mocic Laura Gushiken</v>
          </cell>
        </row>
        <row r="1751">
          <cell r="C1751" t="str">
            <v>Lawrence Household</v>
          </cell>
          <cell r="D1751" t="str">
            <v>César Julio Lawrence</v>
          </cell>
        </row>
        <row r="1752">
          <cell r="C1752" t="str">
            <v>Lazaro Household</v>
          </cell>
          <cell r="D1752" t="str">
            <v>Cristian Lazaro</v>
          </cell>
        </row>
        <row r="1753">
          <cell r="C1753" t="str">
            <v>Lee Household</v>
          </cell>
          <cell r="D1753" t="str">
            <v>Rosa Milagros Lee</v>
          </cell>
        </row>
        <row r="1754">
          <cell r="C1754" t="str">
            <v>Legon Household</v>
          </cell>
          <cell r="D1754" t="str">
            <v>Daniela Legon</v>
          </cell>
        </row>
        <row r="1755">
          <cell r="C1755" t="str">
            <v>Levy Household</v>
          </cell>
          <cell r="D1755" t="str">
            <v>Carlos Levy</v>
          </cell>
          <cell r="F1755" t="str">
            <v>3874444</v>
          </cell>
        </row>
        <row r="1756">
          <cell r="C1756" t="str">
            <v>Leyda Clovis Household</v>
          </cell>
          <cell r="D1756" t="str">
            <v>F. Guardadores de Pacto Leyda Clovis</v>
          </cell>
        </row>
        <row r="1757">
          <cell r="C1757" t="str">
            <v>Lezcano Household</v>
          </cell>
          <cell r="D1757" t="str">
            <v>Javier Lezcano</v>
          </cell>
        </row>
        <row r="1758">
          <cell r="C1758" t="str">
            <v>Lezcano Household</v>
          </cell>
          <cell r="D1758" t="str">
            <v>Keren Lezcano</v>
          </cell>
        </row>
        <row r="1759">
          <cell r="C1759" t="str">
            <v>Liao Household</v>
          </cell>
          <cell r="D1759" t="str">
            <v>Juan Carlos Liao</v>
          </cell>
        </row>
        <row r="1760">
          <cell r="C1760" t="str">
            <v>Liao Household</v>
          </cell>
          <cell r="D1760" t="str">
            <v>Kenia Liao</v>
          </cell>
        </row>
        <row r="1761">
          <cell r="C1761" t="str">
            <v>Llaguer Riverón Household</v>
          </cell>
          <cell r="D1761" t="str">
            <v>Raixa Elena Llaguer Riverón</v>
          </cell>
        </row>
        <row r="1762">
          <cell r="C1762" t="str">
            <v>LLano Ulloa Household</v>
          </cell>
          <cell r="D1762" t="str">
            <v>Daniela LLano Ulloa</v>
          </cell>
        </row>
        <row r="1763">
          <cell r="C1763" t="str">
            <v>LLoyd Household</v>
          </cell>
          <cell r="D1763" t="str">
            <v>Alma LLoyd</v>
          </cell>
        </row>
        <row r="1764">
          <cell r="C1764" t="str">
            <v>Lombardo Household</v>
          </cell>
          <cell r="D1764" t="str">
            <v>Roberto Lombardo</v>
          </cell>
        </row>
        <row r="1765">
          <cell r="C1765" t="str">
            <v>Loo Household</v>
          </cell>
          <cell r="D1765" t="str">
            <v>Arthur Loo</v>
          </cell>
        </row>
        <row r="1766">
          <cell r="C1766" t="str">
            <v>Lópe Household</v>
          </cell>
          <cell r="D1766" t="str">
            <v>Lisneika Lópe</v>
          </cell>
        </row>
        <row r="1767">
          <cell r="C1767" t="str">
            <v>Lopez Household</v>
          </cell>
          <cell r="D1767" t="str">
            <v>Angel Lopez</v>
          </cell>
        </row>
        <row r="1768">
          <cell r="C1768" t="str">
            <v>Lopez Household</v>
          </cell>
          <cell r="D1768" t="str">
            <v>Ariel Lopez</v>
          </cell>
        </row>
        <row r="1769">
          <cell r="C1769" t="str">
            <v>Lopez Household</v>
          </cell>
          <cell r="D1769" t="str">
            <v>Juliett Lopez</v>
          </cell>
        </row>
        <row r="1770">
          <cell r="C1770" t="str">
            <v>Lopez Household</v>
          </cell>
          <cell r="D1770" t="str">
            <v>Karla Lopez</v>
          </cell>
        </row>
        <row r="1771">
          <cell r="C1771" t="str">
            <v>Lopez Household</v>
          </cell>
          <cell r="D1771" t="str">
            <v>MARIA VICTORIA LOPEZ</v>
          </cell>
        </row>
        <row r="1772">
          <cell r="C1772" t="str">
            <v>Lopez Household</v>
          </cell>
          <cell r="D1772" t="str">
            <v>Thermo King Kristy Lopez</v>
          </cell>
        </row>
        <row r="1773">
          <cell r="C1773" t="str">
            <v>López Household</v>
          </cell>
          <cell r="D1773" t="str">
            <v>Ana Carla López</v>
          </cell>
        </row>
        <row r="1774">
          <cell r="C1774" t="str">
            <v>López Household</v>
          </cell>
          <cell r="D1774" t="str">
            <v>Elky López</v>
          </cell>
          <cell r="F1774" t="str">
            <v>6614-6574</v>
          </cell>
        </row>
        <row r="1775">
          <cell r="C1775" t="str">
            <v>López Household</v>
          </cell>
          <cell r="D1775" t="str">
            <v>Juliet López</v>
          </cell>
        </row>
        <row r="1776">
          <cell r="C1776" t="str">
            <v>López Household</v>
          </cell>
          <cell r="D1776" t="str">
            <v>Kristy López</v>
          </cell>
        </row>
        <row r="1777">
          <cell r="C1777" t="str">
            <v>López Household</v>
          </cell>
          <cell r="D1777" t="str">
            <v>María López</v>
          </cell>
        </row>
        <row r="1778">
          <cell r="C1778" t="str">
            <v>López Household</v>
          </cell>
          <cell r="D1778" t="str">
            <v>María Teresa López</v>
          </cell>
        </row>
        <row r="1779">
          <cell r="C1779" t="str">
            <v>López Household</v>
          </cell>
          <cell r="D1779" t="str">
            <v>Regulo López</v>
          </cell>
        </row>
        <row r="1780">
          <cell r="C1780" t="str">
            <v>Lorenzo Cruz Household</v>
          </cell>
          <cell r="D1780" t="str">
            <v>José Lorenzo Cruz</v>
          </cell>
        </row>
        <row r="1781">
          <cell r="C1781" t="str">
            <v>LORENZO Household</v>
          </cell>
          <cell r="D1781" t="str">
            <v>SINDY LORENZO</v>
          </cell>
        </row>
        <row r="1782">
          <cell r="C1782" t="str">
            <v>LORIA Household</v>
          </cell>
          <cell r="D1782" t="str">
            <v>ALBA MARIA LORIA</v>
          </cell>
        </row>
        <row r="1783">
          <cell r="C1783" t="str">
            <v>Lourdes Household</v>
          </cell>
          <cell r="D1783" t="str">
            <v>Maria Lourdes</v>
          </cell>
        </row>
        <row r="1784">
          <cell r="C1784" t="str">
            <v>Lovato Household</v>
          </cell>
          <cell r="D1784" t="str">
            <v>Ashley Lovato</v>
          </cell>
        </row>
        <row r="1785">
          <cell r="C1785" t="str">
            <v>Lozada Household</v>
          </cell>
          <cell r="D1785" t="str">
            <v>Reynelda Lozada</v>
          </cell>
        </row>
        <row r="1786">
          <cell r="C1786" t="str">
            <v>Lozada Household</v>
          </cell>
          <cell r="D1786" t="str">
            <v>Zisley Lozada</v>
          </cell>
        </row>
        <row r="1787">
          <cell r="C1787" t="str">
            <v>Lozano C.P Household</v>
          </cell>
          <cell r="D1787" t="str">
            <v>Maria Sofia Lozano C.P</v>
          </cell>
        </row>
        <row r="1788">
          <cell r="C1788" t="str">
            <v>Lozano Household</v>
          </cell>
          <cell r="D1788" t="str">
            <v>Gisela Lozano</v>
          </cell>
        </row>
        <row r="1789">
          <cell r="C1789" t="str">
            <v>Lucero Household</v>
          </cell>
          <cell r="D1789" t="str">
            <v>Monica Lucero</v>
          </cell>
        </row>
        <row r="1790">
          <cell r="C1790" t="str">
            <v>Lucía Perez Household</v>
          </cell>
          <cell r="D1790" t="str">
            <v>Lady Who Lunch Lucía Perez</v>
          </cell>
        </row>
        <row r="1791">
          <cell r="C1791" t="str">
            <v>LUNA Household</v>
          </cell>
          <cell r="D1791" t="str">
            <v>Beatriz Luna</v>
          </cell>
        </row>
        <row r="1792">
          <cell r="C1792" t="str">
            <v>LUNA Household</v>
          </cell>
          <cell r="D1792" t="str">
            <v>HAZEL LUNA</v>
          </cell>
        </row>
        <row r="1793">
          <cell r="C1793" t="str">
            <v>LUNA Household</v>
          </cell>
          <cell r="D1793" t="str">
            <v>Miguel Luna</v>
          </cell>
        </row>
        <row r="1794">
          <cell r="C1794" t="str">
            <v>Luo Household</v>
          </cell>
          <cell r="D1794" t="str">
            <v>Lisa Luo</v>
          </cell>
        </row>
        <row r="1795">
          <cell r="C1795" t="str">
            <v>Luo Oxford Household</v>
          </cell>
          <cell r="D1795" t="str">
            <v>Erick Luo Oxford</v>
          </cell>
        </row>
        <row r="1796">
          <cell r="C1796" t="str">
            <v>LUQUE Household</v>
          </cell>
          <cell r="D1796" t="str">
            <v>ARLEEN LUQUE</v>
          </cell>
        </row>
        <row r="1797">
          <cell r="C1797" t="str">
            <v>Luzcando Instituto Bern Household</v>
          </cell>
          <cell r="D1797" t="str">
            <v>Kehisy Luzcando Instituto Bern</v>
          </cell>
        </row>
        <row r="1798">
          <cell r="C1798" t="str">
            <v>Machado Household</v>
          </cell>
          <cell r="D1798" t="str">
            <v>Carolina Machado</v>
          </cell>
        </row>
        <row r="1799">
          <cell r="C1799" t="str">
            <v>Machado Household</v>
          </cell>
          <cell r="D1799" t="str">
            <v>Richard Machado</v>
          </cell>
        </row>
        <row r="1800">
          <cell r="C1800" t="str">
            <v>Machazek Household</v>
          </cell>
          <cell r="D1800" t="str">
            <v>Jose Maria Machazek</v>
          </cell>
        </row>
        <row r="1801">
          <cell r="C1801" t="str">
            <v>Macías Household</v>
          </cell>
          <cell r="D1801" t="str">
            <v>Angie Macías</v>
          </cell>
        </row>
        <row r="1802">
          <cell r="C1802" t="str">
            <v>Macilla Household</v>
          </cell>
          <cell r="D1802" t="str">
            <v>Johana Macilla</v>
          </cell>
        </row>
        <row r="1803">
          <cell r="C1803" t="str">
            <v>Macre Household</v>
          </cell>
          <cell r="D1803" t="str">
            <v>Yolanda Macre</v>
          </cell>
        </row>
        <row r="1804">
          <cell r="C1804" t="str">
            <v>Madrid Household</v>
          </cell>
          <cell r="D1804" t="str">
            <v>Karla Madrid</v>
          </cell>
        </row>
        <row r="1805">
          <cell r="C1805" t="str">
            <v>Maduro Household</v>
          </cell>
          <cell r="D1805" t="str">
            <v>Emily Maduro</v>
          </cell>
        </row>
        <row r="1806">
          <cell r="C1806" t="str">
            <v>maldonado Household</v>
          </cell>
          <cell r="D1806" t="str">
            <v>Marcela maldonado</v>
          </cell>
        </row>
        <row r="1807">
          <cell r="C1807" t="str">
            <v>Mangravita Household</v>
          </cell>
          <cell r="D1807" t="str">
            <v>Roberto Mangravita</v>
          </cell>
        </row>
        <row r="1808">
          <cell r="C1808" t="str">
            <v>Manríquez Household</v>
          </cell>
          <cell r="D1808" t="str">
            <v>Ivan Manríquez</v>
          </cell>
        </row>
        <row r="1809">
          <cell r="C1809" t="str">
            <v>Manuel Trombetta Household</v>
          </cell>
          <cell r="D1809" t="str">
            <v>Minist. Restauración y Misericordia Manuel Trombetta</v>
          </cell>
        </row>
        <row r="1810">
          <cell r="C1810" t="str">
            <v>Manzanares Household</v>
          </cell>
          <cell r="D1810" t="str">
            <v>Pablo Manzanares</v>
          </cell>
        </row>
        <row r="1811">
          <cell r="C1811" t="str">
            <v>Marchand Household</v>
          </cell>
          <cell r="D1811" t="str">
            <v>Gabriela Marchand</v>
          </cell>
        </row>
        <row r="1812">
          <cell r="C1812" t="str">
            <v>Maria Household</v>
          </cell>
          <cell r="D1812" t="str">
            <v>Dalis Maria</v>
          </cell>
        </row>
        <row r="1813">
          <cell r="C1813" t="str">
            <v>Maria Martinez Household</v>
          </cell>
          <cell r="D1813" t="str">
            <v>CLUB DE LEONES DE PEDREGAL Maria Martinez</v>
          </cell>
        </row>
        <row r="1814">
          <cell r="C1814" t="str">
            <v>María Rojas Household</v>
          </cell>
          <cell r="D1814" t="str">
            <v>Estela María Rojas</v>
          </cell>
        </row>
        <row r="1815">
          <cell r="C1815" t="str">
            <v>Marin Household</v>
          </cell>
          <cell r="D1815" t="str">
            <v>Adrian Marin</v>
          </cell>
        </row>
        <row r="1816">
          <cell r="C1816" t="str">
            <v>Marin Household</v>
          </cell>
          <cell r="D1816" t="str">
            <v>Alexandra Marin</v>
          </cell>
        </row>
        <row r="1817">
          <cell r="C1817" t="str">
            <v>Marin Household</v>
          </cell>
          <cell r="D1817" t="str">
            <v>Leyda Marin</v>
          </cell>
        </row>
        <row r="1818">
          <cell r="C1818" t="str">
            <v>Marin Household</v>
          </cell>
          <cell r="D1818" t="str">
            <v>MARIA SOFIA MARIN</v>
          </cell>
        </row>
        <row r="1819">
          <cell r="C1819" t="str">
            <v>Marin Household</v>
          </cell>
          <cell r="D1819" t="str">
            <v>Rene Marin</v>
          </cell>
        </row>
        <row r="1820">
          <cell r="C1820" t="str">
            <v>Mariscal Femsa Household</v>
          </cell>
          <cell r="D1820" t="str">
            <v>Sadith Mariscal Femsa</v>
          </cell>
        </row>
        <row r="1821">
          <cell r="C1821" t="str">
            <v>Mariscal Household</v>
          </cell>
          <cell r="D1821" t="str">
            <v>Lesly Mariscal</v>
          </cell>
        </row>
        <row r="1822">
          <cell r="C1822" t="str">
            <v>Marlia Arcia Household</v>
          </cell>
          <cell r="D1822" t="str">
            <v>Minist. Evang. de S. R.M.M Marlia Arcia</v>
          </cell>
        </row>
        <row r="1823">
          <cell r="C1823" t="str">
            <v>Marquez Household</v>
          </cell>
          <cell r="D1823" t="str">
            <v>Ana Isabel Marquez</v>
          </cell>
        </row>
        <row r="1824">
          <cell r="C1824" t="str">
            <v>Marquez Household</v>
          </cell>
          <cell r="D1824" t="str">
            <v>SOR SONIA MARQUEZ</v>
          </cell>
        </row>
        <row r="1825">
          <cell r="C1825" t="str">
            <v>Marquez Household</v>
          </cell>
          <cell r="D1825" t="str">
            <v>Yerenik Marquez</v>
          </cell>
        </row>
        <row r="1826">
          <cell r="C1826" t="str">
            <v>Márquez Household</v>
          </cell>
          <cell r="D1826" t="str">
            <v>Ana Isabel Márquez</v>
          </cell>
        </row>
        <row r="1827">
          <cell r="C1827" t="str">
            <v>Márquez Household</v>
          </cell>
          <cell r="D1827" t="str">
            <v>Ludimar Márquez</v>
          </cell>
        </row>
        <row r="1828">
          <cell r="C1828" t="str">
            <v>Marquiñez Household</v>
          </cell>
          <cell r="D1828" t="str">
            <v>Marjorie Marquiñez</v>
          </cell>
          <cell r="F1828" t="str">
            <v>222.0528</v>
          </cell>
        </row>
        <row r="1829">
          <cell r="C1829" t="str">
            <v>Martin Household</v>
          </cell>
          <cell r="D1829" t="str">
            <v>Oscar Martin</v>
          </cell>
        </row>
        <row r="1830">
          <cell r="C1830" t="str">
            <v>Martinez Cuello Household</v>
          </cell>
          <cell r="D1830" t="str">
            <v>Binicio Antonio Martinez Cuello</v>
          </cell>
        </row>
        <row r="1831">
          <cell r="C1831" t="str">
            <v>Martinez Household</v>
          </cell>
          <cell r="D1831" t="str">
            <v>Ana del Carmen Martinez</v>
          </cell>
        </row>
        <row r="1832">
          <cell r="C1832" t="str">
            <v>Martinez Household</v>
          </cell>
          <cell r="D1832" t="str">
            <v>Ariadna Martinez</v>
          </cell>
        </row>
        <row r="1833">
          <cell r="C1833" t="str">
            <v>Martinez Household</v>
          </cell>
          <cell r="D1833" t="str">
            <v>Arianis Martinez</v>
          </cell>
        </row>
        <row r="1834">
          <cell r="C1834" t="str">
            <v>Martinez Household</v>
          </cell>
          <cell r="D1834" t="str">
            <v>Isabel Martinez</v>
          </cell>
        </row>
        <row r="1835">
          <cell r="C1835" t="str">
            <v>Martinez Household</v>
          </cell>
          <cell r="D1835" t="str">
            <v>Jimmy Martinez</v>
          </cell>
        </row>
        <row r="1836">
          <cell r="C1836" t="str">
            <v>Martinez Household</v>
          </cell>
          <cell r="D1836" t="str">
            <v>Kathrisna Martinez</v>
          </cell>
        </row>
        <row r="1837">
          <cell r="C1837" t="str">
            <v>Martinez Household</v>
          </cell>
          <cell r="D1837" t="str">
            <v>Marcos Martinez</v>
          </cell>
        </row>
        <row r="1838">
          <cell r="C1838" t="str">
            <v>Martinez Household</v>
          </cell>
          <cell r="D1838" t="str">
            <v>Marlene Martinez</v>
          </cell>
        </row>
        <row r="1839">
          <cell r="C1839" t="str">
            <v>Martinez Household</v>
          </cell>
          <cell r="D1839" t="str">
            <v>Raul Martinez</v>
          </cell>
        </row>
        <row r="1840">
          <cell r="C1840" t="str">
            <v>Martinez Household</v>
          </cell>
          <cell r="D1840" t="str">
            <v>Yeraldine Martinez</v>
          </cell>
        </row>
        <row r="1841">
          <cell r="C1841" t="str">
            <v>Martínez Household</v>
          </cell>
          <cell r="D1841" t="str">
            <v>Antony Martínez</v>
          </cell>
          <cell r="F1841" t="str">
            <v>6890-5827</v>
          </cell>
        </row>
        <row r="1842">
          <cell r="C1842" t="str">
            <v>Martínez Household</v>
          </cell>
          <cell r="D1842" t="str">
            <v>Isabel Martínez</v>
          </cell>
        </row>
        <row r="1843">
          <cell r="C1843" t="str">
            <v>Martínez Household</v>
          </cell>
          <cell r="D1843" t="str">
            <v>Xavier Martínez</v>
          </cell>
        </row>
        <row r="1844">
          <cell r="C1844" t="str">
            <v>Martínez Household</v>
          </cell>
          <cell r="D1844" t="str">
            <v>Yara Martínez</v>
          </cell>
          <cell r="F1844" t="str">
            <v>345-7959</v>
          </cell>
        </row>
        <row r="1845">
          <cell r="C1845" t="str">
            <v>Martínez Household</v>
          </cell>
          <cell r="D1845" t="str">
            <v>Yara Martínez</v>
          </cell>
          <cell r="F1845" t="str">
            <v>6317-6692</v>
          </cell>
        </row>
        <row r="1846">
          <cell r="C1846" t="str">
            <v>Marulanda Household</v>
          </cell>
          <cell r="D1846" t="str">
            <v>Keira Marulanda</v>
          </cell>
        </row>
        <row r="1847">
          <cell r="C1847" t="str">
            <v>Marval Household</v>
          </cell>
          <cell r="D1847" t="str">
            <v>Nugliani Marval</v>
          </cell>
        </row>
        <row r="1848">
          <cell r="C1848" t="str">
            <v>Maskill Household</v>
          </cell>
          <cell r="D1848" t="str">
            <v>Gloria Maskill</v>
          </cell>
        </row>
        <row r="1849">
          <cell r="C1849" t="str">
            <v>Mc Cray Household</v>
          </cell>
          <cell r="D1849" t="str">
            <v>Malik Mc Cray</v>
          </cell>
        </row>
        <row r="1850">
          <cell r="C1850" t="str">
            <v>Mc Leary Household</v>
          </cell>
          <cell r="D1850" t="str">
            <v>Gloriela Mc Leary</v>
          </cell>
        </row>
        <row r="1851">
          <cell r="C1851" t="str">
            <v>McCalla Household</v>
          </cell>
          <cell r="D1851" t="str">
            <v>Magilka McCalla</v>
          </cell>
        </row>
        <row r="1852">
          <cell r="C1852" t="str">
            <v>Mcfarquhar Household</v>
          </cell>
          <cell r="D1852" t="str">
            <v>Profesora Angela Mcfarquhar</v>
          </cell>
        </row>
        <row r="1853">
          <cell r="C1853" t="str">
            <v>MECHA Household</v>
          </cell>
          <cell r="D1853" t="str">
            <v>MATEO MECHA</v>
          </cell>
        </row>
        <row r="1854">
          <cell r="C1854" t="str">
            <v>Medina Household</v>
          </cell>
          <cell r="D1854" t="str">
            <v>Gabriel Medina</v>
          </cell>
        </row>
        <row r="1855">
          <cell r="C1855" t="str">
            <v>Medina Household</v>
          </cell>
          <cell r="D1855" t="str">
            <v>Julio Medina</v>
          </cell>
        </row>
        <row r="1856">
          <cell r="C1856" t="str">
            <v>Medina Household</v>
          </cell>
          <cell r="D1856" t="str">
            <v>Keny Josue Medina</v>
          </cell>
        </row>
        <row r="1857">
          <cell r="C1857" t="str">
            <v>Medina Household</v>
          </cell>
          <cell r="D1857" t="str">
            <v>Keny Medina</v>
          </cell>
        </row>
        <row r="1858">
          <cell r="C1858" t="str">
            <v>Medina Household</v>
          </cell>
          <cell r="D1858" t="str">
            <v>Natalie Medina</v>
          </cell>
        </row>
        <row r="1859">
          <cell r="C1859" t="str">
            <v>Medina Household</v>
          </cell>
          <cell r="D1859" t="str">
            <v>Nelson Medina</v>
          </cell>
        </row>
        <row r="1860">
          <cell r="C1860" t="str">
            <v>Medrano Household</v>
          </cell>
          <cell r="D1860" t="str">
            <v>Elyane Medrano</v>
          </cell>
          <cell r="F1860" t="str">
            <v>6877-9087</v>
          </cell>
        </row>
        <row r="1861">
          <cell r="C1861" t="str">
            <v>MEJIA Household</v>
          </cell>
          <cell r="D1861" t="str">
            <v>RICARDO MEJIA</v>
          </cell>
        </row>
        <row r="1862">
          <cell r="C1862" t="str">
            <v>Mejías Household</v>
          </cell>
          <cell r="D1862" t="str">
            <v>Brenda Mejías</v>
          </cell>
        </row>
        <row r="1863">
          <cell r="C1863" t="str">
            <v>Mela Household</v>
          </cell>
          <cell r="D1863" t="str">
            <v>Alexis Mela</v>
          </cell>
        </row>
        <row r="1864">
          <cell r="C1864" t="str">
            <v>Melchor Asuntos Civiles E.US Household</v>
          </cell>
          <cell r="D1864" t="str">
            <v>Daniel Melchor Asuntos Civiles E.US</v>
          </cell>
        </row>
        <row r="1865">
          <cell r="C1865" t="str">
            <v>MELÉNDEZ DE GOBEA Household</v>
          </cell>
          <cell r="D1865" t="str">
            <v>EYDA MELÉNDEZ DE GOBEA</v>
          </cell>
        </row>
        <row r="1866">
          <cell r="C1866" t="str">
            <v>Melendez Household</v>
          </cell>
          <cell r="D1866" t="str">
            <v>Diego Melendez</v>
          </cell>
        </row>
        <row r="1867">
          <cell r="C1867" t="str">
            <v>Melendez Household</v>
          </cell>
          <cell r="D1867" t="str">
            <v>Elcar Melendez</v>
          </cell>
        </row>
        <row r="1868">
          <cell r="C1868" t="str">
            <v>Melgar Household</v>
          </cell>
          <cell r="D1868" t="str">
            <v>Ana Maria Melgar</v>
          </cell>
        </row>
        <row r="1869">
          <cell r="C1869" t="str">
            <v>Melgar Household</v>
          </cell>
          <cell r="D1869" t="str">
            <v>Melgar Melgar</v>
          </cell>
        </row>
        <row r="1870">
          <cell r="C1870" t="str">
            <v>Melgarejo Household</v>
          </cell>
          <cell r="D1870" t="str">
            <v>Erika Melgarejo</v>
          </cell>
        </row>
        <row r="1871">
          <cell r="C1871" t="str">
            <v>Melo Household</v>
          </cell>
          <cell r="D1871" t="str">
            <v>Victor Melo</v>
          </cell>
        </row>
        <row r="1872">
          <cell r="C1872" t="str">
            <v>Mena Household</v>
          </cell>
          <cell r="D1872" t="str">
            <v>Amelia Mena</v>
          </cell>
        </row>
        <row r="1873">
          <cell r="C1873" t="str">
            <v>Méndez Cajar Household</v>
          </cell>
          <cell r="D1873" t="str">
            <v>María Victoria Méndez Cajar</v>
          </cell>
        </row>
        <row r="1874">
          <cell r="C1874" t="str">
            <v>Mendez Household</v>
          </cell>
          <cell r="D1874" t="str">
            <v>Gisseth Mendez</v>
          </cell>
        </row>
        <row r="1875">
          <cell r="C1875" t="str">
            <v>Mendez Household</v>
          </cell>
          <cell r="D1875" t="str">
            <v>Hector Mendez</v>
          </cell>
        </row>
        <row r="1876">
          <cell r="C1876" t="str">
            <v>Mendez Household</v>
          </cell>
          <cell r="D1876" t="str">
            <v>Natalia Mendez</v>
          </cell>
        </row>
        <row r="1877">
          <cell r="C1877" t="str">
            <v>Mendez Household</v>
          </cell>
          <cell r="D1877" t="str">
            <v>Zoila Mendez</v>
          </cell>
        </row>
        <row r="1878">
          <cell r="C1878" t="str">
            <v>Méndez Household</v>
          </cell>
          <cell r="D1878" t="str">
            <v>María Fernanda Méndez</v>
          </cell>
        </row>
        <row r="1879">
          <cell r="C1879" t="str">
            <v>Méndez Household</v>
          </cell>
          <cell r="D1879" t="str">
            <v>Patricia Méndez</v>
          </cell>
          <cell r="F1879" t="str">
            <v>6780-2308</v>
          </cell>
        </row>
        <row r="1880">
          <cell r="C1880" t="str">
            <v>Mendoza Household</v>
          </cell>
          <cell r="D1880" t="str">
            <v>Angie Mendoza</v>
          </cell>
        </row>
        <row r="1881">
          <cell r="C1881" t="str">
            <v>Mendoza Household</v>
          </cell>
          <cell r="D1881" t="str">
            <v>Debora Mendoza</v>
          </cell>
          <cell r="F1881" t="str">
            <v>290 9150</v>
          </cell>
        </row>
        <row r="1882">
          <cell r="C1882" t="str">
            <v>Mendoza Household</v>
          </cell>
          <cell r="D1882" t="str">
            <v>Delfin MENDOZA</v>
          </cell>
        </row>
        <row r="1883">
          <cell r="C1883" t="str">
            <v>Mendoza Household</v>
          </cell>
          <cell r="D1883" t="str">
            <v>Jorge Mendoza</v>
          </cell>
        </row>
        <row r="1884">
          <cell r="C1884" t="str">
            <v>Mendoza Household</v>
          </cell>
          <cell r="D1884" t="str">
            <v>Keytline Mendoza</v>
          </cell>
        </row>
        <row r="1885">
          <cell r="C1885" t="str">
            <v>Mendoza Household</v>
          </cell>
          <cell r="D1885" t="str">
            <v>Libert Mendoza</v>
          </cell>
          <cell r="F1885" t="str">
            <v>6208-2310</v>
          </cell>
        </row>
        <row r="1886">
          <cell r="C1886" t="str">
            <v>Mendoza Household</v>
          </cell>
          <cell r="D1886" t="str">
            <v>Mariangel Mendoza</v>
          </cell>
        </row>
        <row r="1887">
          <cell r="C1887" t="str">
            <v>Mendoza Household</v>
          </cell>
          <cell r="D1887" t="str">
            <v>Militza Mendoza</v>
          </cell>
        </row>
        <row r="1888">
          <cell r="C1888" t="str">
            <v>Menéndez Household</v>
          </cell>
          <cell r="D1888" t="str">
            <v>Genela Menéndez</v>
          </cell>
        </row>
        <row r="1889">
          <cell r="C1889" t="str">
            <v>Merola Household</v>
          </cell>
          <cell r="D1889" t="str">
            <v>Giulia Merola</v>
          </cell>
        </row>
        <row r="1890">
          <cell r="C1890" t="str">
            <v>Mesa Household</v>
          </cell>
          <cell r="D1890" t="str">
            <v>Caralay Mesa</v>
          </cell>
        </row>
        <row r="1891">
          <cell r="C1891" t="str">
            <v>MEZA Household</v>
          </cell>
          <cell r="D1891" t="str">
            <v>CLARA MEZA</v>
          </cell>
        </row>
        <row r="1892">
          <cell r="C1892" t="str">
            <v>Mezua Household</v>
          </cell>
          <cell r="D1892" t="str">
            <v>Yareth Mezua</v>
          </cell>
        </row>
        <row r="1893">
          <cell r="C1893" t="str">
            <v>Miguez Jimenez Household</v>
          </cell>
          <cell r="D1893" t="str">
            <v>José Miguez Jimenez</v>
          </cell>
        </row>
        <row r="1894">
          <cell r="C1894" t="str">
            <v>MIRANDA Household</v>
          </cell>
          <cell r="D1894" t="str">
            <v>Karina Miranda</v>
          </cell>
        </row>
        <row r="1895">
          <cell r="C1895" t="str">
            <v>MIRANDA Household</v>
          </cell>
          <cell r="D1895" t="str">
            <v>Luis Miranda</v>
          </cell>
        </row>
        <row r="1896">
          <cell r="C1896" t="str">
            <v>MIRANDA Household</v>
          </cell>
          <cell r="D1896" t="str">
            <v>Madelen Miranda</v>
          </cell>
        </row>
        <row r="1897">
          <cell r="C1897" t="str">
            <v>MIRANDA Household</v>
          </cell>
          <cell r="D1897" t="str">
            <v>MAYUSOEL MIRANDA</v>
          </cell>
        </row>
        <row r="1898">
          <cell r="C1898" t="str">
            <v>MIRANDA Household</v>
          </cell>
          <cell r="D1898" t="str">
            <v>NAYUSBEL MIRANDA</v>
          </cell>
        </row>
        <row r="1899">
          <cell r="C1899" t="str">
            <v>MIRANDA Household</v>
          </cell>
          <cell r="D1899" t="str">
            <v>Yajhaira Miranda</v>
          </cell>
        </row>
        <row r="1900">
          <cell r="C1900" t="str">
            <v>MIRANDA Household</v>
          </cell>
          <cell r="D1900" t="str">
            <v>Zujeid MIranda</v>
          </cell>
          <cell r="F1900" t="str">
            <v>66296774</v>
          </cell>
        </row>
        <row r="1901">
          <cell r="C1901" t="str">
            <v>Miriam Paredes Household</v>
          </cell>
          <cell r="D1901" t="str">
            <v>Superintendencia Miriam Paredes</v>
          </cell>
        </row>
        <row r="1902">
          <cell r="C1902" t="str">
            <v>MODAI Household</v>
          </cell>
          <cell r="D1902" t="str">
            <v>ISABELLA MODAI</v>
          </cell>
        </row>
        <row r="1903">
          <cell r="C1903" t="str">
            <v>MOGOLLON Household</v>
          </cell>
          <cell r="D1903" t="str">
            <v>JAMES MOGOLLON</v>
          </cell>
        </row>
        <row r="1904">
          <cell r="C1904" t="str">
            <v>Mogollón Household</v>
          </cell>
          <cell r="D1904" t="str">
            <v>Oriana Mogollón</v>
          </cell>
        </row>
        <row r="1905">
          <cell r="C1905" t="str">
            <v>Molina Essity Household</v>
          </cell>
          <cell r="D1905" t="str">
            <v>Kenneth Molina Essity</v>
          </cell>
        </row>
        <row r="1906">
          <cell r="C1906" t="str">
            <v>Molina Household</v>
          </cell>
          <cell r="D1906" t="str">
            <v>Claudia Molina</v>
          </cell>
        </row>
        <row r="1907">
          <cell r="C1907" t="str">
            <v>Molina Household</v>
          </cell>
          <cell r="D1907" t="str">
            <v>Gabriela Molina</v>
          </cell>
        </row>
        <row r="1908">
          <cell r="C1908" t="str">
            <v>Molinar Household</v>
          </cell>
          <cell r="D1908" t="str">
            <v>Yarabis Molinar</v>
          </cell>
        </row>
        <row r="1909">
          <cell r="C1909" t="str">
            <v>MONCAYO Household</v>
          </cell>
          <cell r="D1909" t="str">
            <v>ARMANDO MONCAYO</v>
          </cell>
        </row>
        <row r="1910">
          <cell r="C1910" t="str">
            <v>Mondragon Household</v>
          </cell>
          <cell r="D1910" t="str">
            <v>Miguel Mondragon</v>
          </cell>
        </row>
        <row r="1911">
          <cell r="C1911" t="str">
            <v>MONTALVAN Household</v>
          </cell>
          <cell r="D1911" t="str">
            <v>VALERIA MONTALVAN</v>
          </cell>
        </row>
        <row r="1912">
          <cell r="C1912" t="str">
            <v>Montenegro Household</v>
          </cell>
          <cell r="D1912" t="str">
            <v>Hector Luis Montenegro</v>
          </cell>
        </row>
        <row r="1913">
          <cell r="C1913" t="str">
            <v>Montenegro Household</v>
          </cell>
          <cell r="D1913" t="str">
            <v>Maria Montenegro</v>
          </cell>
        </row>
        <row r="1914">
          <cell r="C1914" t="str">
            <v>Montero Household</v>
          </cell>
          <cell r="D1914" t="str">
            <v>Desireé Montero</v>
          </cell>
        </row>
        <row r="1915">
          <cell r="C1915" t="str">
            <v>Montero Household</v>
          </cell>
          <cell r="D1915" t="str">
            <v>Desireé Montero Montero</v>
          </cell>
        </row>
        <row r="1916">
          <cell r="C1916" t="str">
            <v>MOntilla Household</v>
          </cell>
          <cell r="D1916" t="str">
            <v>Omar MOntilla</v>
          </cell>
        </row>
        <row r="1917">
          <cell r="C1917" t="str">
            <v>Moraga Household</v>
          </cell>
          <cell r="D1917" t="str">
            <v>Wiston Moraga</v>
          </cell>
        </row>
        <row r="1918">
          <cell r="C1918" t="str">
            <v>Morales Household</v>
          </cell>
          <cell r="D1918" t="str">
            <v>Ana Gabriela Morales</v>
          </cell>
        </row>
        <row r="1919">
          <cell r="C1919" t="str">
            <v>Morales Household</v>
          </cell>
          <cell r="D1919" t="str">
            <v>Ayleen Morales</v>
          </cell>
        </row>
        <row r="1920">
          <cell r="C1920" t="str">
            <v>Morales Household</v>
          </cell>
          <cell r="D1920" t="str">
            <v>Diener Morales</v>
          </cell>
        </row>
        <row r="1921">
          <cell r="C1921" t="str">
            <v>Morales Household</v>
          </cell>
          <cell r="D1921" t="str">
            <v>Keyla Morales</v>
          </cell>
        </row>
        <row r="1922">
          <cell r="C1922" t="str">
            <v>Morales Household</v>
          </cell>
          <cell r="D1922" t="str">
            <v>Valerie Morales</v>
          </cell>
        </row>
        <row r="1923">
          <cell r="C1923" t="str">
            <v>Morales Household</v>
          </cell>
          <cell r="D1923" t="str">
            <v>Yauzeli Morales</v>
          </cell>
        </row>
        <row r="1924">
          <cell r="C1924" t="str">
            <v>Morales Household</v>
          </cell>
          <cell r="D1924" t="str">
            <v>Yauzely Morales</v>
          </cell>
        </row>
        <row r="1925">
          <cell r="C1925" t="str">
            <v>Morales Villarreal Household</v>
          </cell>
          <cell r="D1925" t="str">
            <v>Edgar Ivan Morales Villarreal</v>
          </cell>
        </row>
        <row r="1926">
          <cell r="C1926" t="str">
            <v>Morán Household</v>
          </cell>
          <cell r="D1926" t="str">
            <v>Ricardo Morán</v>
          </cell>
        </row>
        <row r="1927">
          <cell r="C1927" t="str">
            <v>Moreno Household</v>
          </cell>
          <cell r="D1927" t="str">
            <v>Alainy Moreno</v>
          </cell>
        </row>
        <row r="1928">
          <cell r="C1928" t="str">
            <v>Moreno Household</v>
          </cell>
          <cell r="D1928" t="str">
            <v>Anthoni Moreno</v>
          </cell>
        </row>
        <row r="1929">
          <cell r="C1929" t="str">
            <v>Moreno Household</v>
          </cell>
          <cell r="D1929" t="str">
            <v>Astrid Moreno</v>
          </cell>
        </row>
        <row r="1930">
          <cell r="C1930" t="str">
            <v>Moreno Household</v>
          </cell>
          <cell r="D1930" t="str">
            <v>Carla Moreno</v>
          </cell>
        </row>
        <row r="1931">
          <cell r="C1931" t="str">
            <v>Moreno Household</v>
          </cell>
          <cell r="D1931" t="str">
            <v>Diana Moreno</v>
          </cell>
        </row>
        <row r="1932">
          <cell r="C1932" t="str">
            <v>Moreno Household</v>
          </cell>
          <cell r="D1932" t="str">
            <v>Edward Moreno</v>
          </cell>
        </row>
        <row r="1933">
          <cell r="C1933" t="str">
            <v>Moreno Household</v>
          </cell>
          <cell r="D1933" t="str">
            <v>Grace moreno</v>
          </cell>
        </row>
        <row r="1934">
          <cell r="C1934" t="str">
            <v>Moreno Household</v>
          </cell>
          <cell r="D1934" t="str">
            <v>Jerameel Moreno</v>
          </cell>
        </row>
        <row r="1935">
          <cell r="C1935" t="str">
            <v>Moreno Household</v>
          </cell>
          <cell r="D1935" t="str">
            <v>Karla Moreno</v>
          </cell>
        </row>
        <row r="1936">
          <cell r="C1936" t="str">
            <v>Moreno Household</v>
          </cell>
          <cell r="D1936" t="str">
            <v>Luis Francisco Moreno</v>
          </cell>
        </row>
        <row r="1937">
          <cell r="C1937" t="str">
            <v>Moreno Household</v>
          </cell>
          <cell r="D1937" t="str">
            <v>Maribel Moreno</v>
          </cell>
        </row>
        <row r="1938">
          <cell r="C1938" t="str">
            <v>Moreno Household</v>
          </cell>
          <cell r="D1938" t="str">
            <v>Marta Moreno</v>
          </cell>
        </row>
        <row r="1939">
          <cell r="C1939" t="str">
            <v>Moreno Household</v>
          </cell>
          <cell r="D1939" t="str">
            <v>PEDRO MORENO</v>
          </cell>
          <cell r="F1939" t="str">
            <v>6686-1209</v>
          </cell>
        </row>
        <row r="1940">
          <cell r="C1940" t="str">
            <v>Moreno Household</v>
          </cell>
          <cell r="D1940" t="str">
            <v>PEDRO MORENO</v>
          </cell>
        </row>
        <row r="1941">
          <cell r="C1941" t="str">
            <v>Moreno Household</v>
          </cell>
          <cell r="D1941" t="str">
            <v>Roderick Moreno</v>
          </cell>
        </row>
        <row r="1942">
          <cell r="C1942" t="str">
            <v>Moreno Household</v>
          </cell>
          <cell r="D1942" t="str">
            <v>Walter Moreno</v>
          </cell>
        </row>
        <row r="1943">
          <cell r="C1943" t="str">
            <v>Moreno Household</v>
          </cell>
          <cell r="D1943" t="str">
            <v>YARIELA MORENO</v>
          </cell>
        </row>
        <row r="1944">
          <cell r="C1944" t="str">
            <v>Moreno Rios Household</v>
          </cell>
          <cell r="D1944" t="str">
            <v>Samuel Moreno Rios</v>
          </cell>
        </row>
        <row r="1945">
          <cell r="C1945" t="str">
            <v>Morgan Household</v>
          </cell>
          <cell r="D1945" t="str">
            <v>Diana Morgan</v>
          </cell>
        </row>
        <row r="1946">
          <cell r="C1946" t="str">
            <v>Morris Household</v>
          </cell>
          <cell r="D1946" t="str">
            <v>Freidy Morris</v>
          </cell>
        </row>
        <row r="1947">
          <cell r="C1947" t="str">
            <v>Morris Household</v>
          </cell>
          <cell r="D1947" t="str">
            <v>MERCEDES MORRIS</v>
          </cell>
        </row>
        <row r="1948">
          <cell r="C1948" t="str">
            <v>Mosquera Household</v>
          </cell>
          <cell r="D1948" t="str">
            <v>Nayrobis Mosquera</v>
          </cell>
        </row>
        <row r="1949">
          <cell r="C1949" t="str">
            <v>Motta Household</v>
          </cell>
          <cell r="D1949" t="str">
            <v>Fundación Felipe Motta</v>
          </cell>
        </row>
        <row r="1950">
          <cell r="C1950" t="str">
            <v>Motta Latorraca Household</v>
          </cell>
          <cell r="D1950" t="str">
            <v>Jose Santos Motta Latorraca</v>
          </cell>
        </row>
        <row r="1951">
          <cell r="C1951" t="str">
            <v>Moya Household</v>
          </cell>
          <cell r="D1951" t="str">
            <v>Rosmery Moya</v>
          </cell>
        </row>
        <row r="1952">
          <cell r="C1952" t="str">
            <v>Multibank Household</v>
          </cell>
          <cell r="D1952" t="str">
            <v>Multibank</v>
          </cell>
        </row>
        <row r="1953">
          <cell r="C1953" t="str">
            <v>Muñoz Household</v>
          </cell>
          <cell r="D1953" t="str">
            <v>Alexis Muñoz</v>
          </cell>
        </row>
        <row r="1954">
          <cell r="C1954" t="str">
            <v>Muñoz Household</v>
          </cell>
          <cell r="D1954" t="str">
            <v>Christian Muñoz</v>
          </cell>
        </row>
        <row r="1955">
          <cell r="C1955" t="str">
            <v>Muñoz Household</v>
          </cell>
          <cell r="D1955" t="str">
            <v>HORACIO MUÑOZ</v>
          </cell>
        </row>
        <row r="1956">
          <cell r="C1956" t="str">
            <v>Muñoz Household</v>
          </cell>
          <cell r="D1956" t="str">
            <v>Jose Muñoz</v>
          </cell>
          <cell r="F1956" t="str">
            <v>6406-0312</v>
          </cell>
        </row>
        <row r="1957">
          <cell r="C1957" t="str">
            <v>Muñoz Household</v>
          </cell>
          <cell r="D1957" t="str">
            <v>Juan Jose Muñoz</v>
          </cell>
        </row>
        <row r="1958">
          <cell r="C1958" t="str">
            <v>Muñoz Household</v>
          </cell>
          <cell r="D1958" t="str">
            <v>Vera Muñoz</v>
          </cell>
        </row>
        <row r="1959">
          <cell r="C1959" t="str">
            <v>Murillo Household</v>
          </cell>
          <cell r="D1959" t="str">
            <v>Alejandra Murillo</v>
          </cell>
        </row>
        <row r="1960">
          <cell r="C1960" t="str">
            <v>Murillo Household</v>
          </cell>
          <cell r="D1960" t="str">
            <v>Daniella Murillo</v>
          </cell>
        </row>
        <row r="1961">
          <cell r="C1961" t="str">
            <v>Murillo Household</v>
          </cell>
          <cell r="D1961" t="str">
            <v>Fabio Murillo</v>
          </cell>
        </row>
        <row r="1962">
          <cell r="C1962" t="str">
            <v>Murillo Household</v>
          </cell>
          <cell r="D1962" t="str">
            <v>Jose Murillo</v>
          </cell>
        </row>
        <row r="1963">
          <cell r="C1963" t="str">
            <v>Murillo Household</v>
          </cell>
          <cell r="D1963" t="str">
            <v>Leydis Murillo</v>
          </cell>
        </row>
        <row r="1964">
          <cell r="C1964" t="str">
            <v>Murillo Household</v>
          </cell>
          <cell r="D1964" t="str">
            <v>Maria Sofía Murillo</v>
          </cell>
        </row>
        <row r="1965">
          <cell r="C1965" t="str">
            <v>Murillo Household</v>
          </cell>
          <cell r="D1965" t="str">
            <v>Thaiz Murillo</v>
          </cell>
        </row>
        <row r="1966">
          <cell r="C1966" t="str">
            <v>Murillo Household</v>
          </cell>
          <cell r="D1966" t="str">
            <v>Yasmina Murillo</v>
          </cell>
        </row>
        <row r="1967">
          <cell r="C1967" t="str">
            <v>Musci Household</v>
          </cell>
          <cell r="D1967" t="str">
            <v>Doit Center Grazia Musci</v>
          </cell>
        </row>
        <row r="1968">
          <cell r="C1968" t="str">
            <v>Nájera Household</v>
          </cell>
          <cell r="D1968" t="str">
            <v>Daniella Nájera</v>
          </cell>
        </row>
        <row r="1969">
          <cell r="C1969" t="str">
            <v>Navarro C. SAN JUDAS TADEO Household</v>
          </cell>
          <cell r="D1969" t="str">
            <v>Viviana Navarro C. SAN JUDAS TADEO</v>
          </cell>
        </row>
        <row r="1970">
          <cell r="C1970" t="str">
            <v>Navarro Household</v>
          </cell>
          <cell r="D1970" t="str">
            <v>Aneth Navarro</v>
          </cell>
        </row>
        <row r="1971">
          <cell r="C1971" t="str">
            <v>Navarro Household</v>
          </cell>
          <cell r="D1971" t="str">
            <v>Hector Navarro</v>
          </cell>
        </row>
        <row r="1972">
          <cell r="C1972" t="str">
            <v>Navarro Household</v>
          </cell>
          <cell r="D1972" t="str">
            <v>Marcos Navarro</v>
          </cell>
        </row>
        <row r="1973">
          <cell r="C1973" t="str">
            <v>Navarro Household</v>
          </cell>
          <cell r="D1973" t="str">
            <v>MARIA FERNANDA NAVARRO</v>
          </cell>
        </row>
        <row r="1974">
          <cell r="C1974" t="str">
            <v>Newball Household</v>
          </cell>
          <cell r="D1974" t="str">
            <v>Maria Newball</v>
          </cell>
        </row>
        <row r="1975">
          <cell r="C1975" t="str">
            <v>Newball Household</v>
          </cell>
          <cell r="D1975" t="str">
            <v>Nathalie Newball</v>
          </cell>
        </row>
        <row r="1976">
          <cell r="C1976" t="str">
            <v>NIETO Household</v>
          </cell>
          <cell r="D1976" t="str">
            <v>EURIK NIETO</v>
          </cell>
        </row>
        <row r="1977">
          <cell r="C1977" t="str">
            <v>NIETO Household</v>
          </cell>
          <cell r="D1977" t="str">
            <v>Michaelys Nieto</v>
          </cell>
        </row>
        <row r="1978">
          <cell r="C1978" t="str">
            <v>NOLAND Household</v>
          </cell>
          <cell r="D1978" t="str">
            <v>PADRE EMMET NOLAND</v>
          </cell>
        </row>
        <row r="1979">
          <cell r="C1979" t="str">
            <v>Nunes Household</v>
          </cell>
          <cell r="D1979" t="str">
            <v>Stephany Nunes</v>
          </cell>
        </row>
        <row r="1980">
          <cell r="C1980" t="str">
            <v>Nuñez Household</v>
          </cell>
          <cell r="D1980" t="str">
            <v>Ana Verónica Nuñez</v>
          </cell>
        </row>
        <row r="1981">
          <cell r="C1981" t="str">
            <v>Nuñez Household</v>
          </cell>
          <cell r="D1981" t="str">
            <v>Karol Nuñez</v>
          </cell>
        </row>
        <row r="1982">
          <cell r="C1982" t="str">
            <v>Nuñez Household</v>
          </cell>
          <cell r="D1982" t="str">
            <v>RUBEN NUÑEZ</v>
          </cell>
          <cell r="F1982" t="str">
            <v>65218093</v>
          </cell>
        </row>
        <row r="1983">
          <cell r="C1983" t="str">
            <v>Nuñez Household</v>
          </cell>
          <cell r="D1983" t="str">
            <v>Thaisa Nuñez</v>
          </cell>
        </row>
        <row r="1984">
          <cell r="C1984" t="str">
            <v>Nuñez Itse Household</v>
          </cell>
          <cell r="D1984" t="str">
            <v>Karol Nuñez Itse</v>
          </cell>
        </row>
        <row r="1985">
          <cell r="C1985" t="str">
            <v>Nurse Household</v>
          </cell>
          <cell r="D1985" t="str">
            <v>Mario Nurse</v>
          </cell>
        </row>
        <row r="1986">
          <cell r="C1986" t="str">
            <v>Ocalagan Household</v>
          </cell>
          <cell r="D1986" t="str">
            <v>Alejandro Ocalagan</v>
          </cell>
        </row>
        <row r="1987">
          <cell r="C1987" t="str">
            <v>Ojeda Household</v>
          </cell>
          <cell r="D1987" t="str">
            <v>Vielka Ojeda</v>
          </cell>
        </row>
        <row r="1988">
          <cell r="C1988" t="str">
            <v>Olivardia Household</v>
          </cell>
          <cell r="D1988" t="str">
            <v>Leisy Olivardia</v>
          </cell>
        </row>
        <row r="1989">
          <cell r="C1989" t="str">
            <v>Olivares Household</v>
          </cell>
          <cell r="D1989" t="str">
            <v>Mercedes Olivares</v>
          </cell>
        </row>
        <row r="1990">
          <cell r="C1990" t="str">
            <v>Olivero Household</v>
          </cell>
          <cell r="D1990" t="str">
            <v>Joharis Olivero</v>
          </cell>
        </row>
        <row r="1991">
          <cell r="C1991" t="str">
            <v>Omeir Household</v>
          </cell>
          <cell r="D1991" t="str">
            <v>Tomas Omeir</v>
          </cell>
        </row>
        <row r="1992">
          <cell r="C1992" t="str">
            <v>Ordoñez Household</v>
          </cell>
          <cell r="D1992" t="str">
            <v>Brenda Ordoñez</v>
          </cell>
        </row>
        <row r="1993">
          <cell r="C1993" t="str">
            <v>ORILLAC Household</v>
          </cell>
          <cell r="D1993" t="str">
            <v>ENRIQUE ORILLAC</v>
          </cell>
        </row>
        <row r="1994">
          <cell r="C1994" t="str">
            <v>Orozco Household</v>
          </cell>
          <cell r="D1994" t="str">
            <v>Yuliana Orozco</v>
          </cell>
        </row>
        <row r="1995">
          <cell r="C1995" t="str">
            <v>Orrego C. San Judas Tadeo Household</v>
          </cell>
          <cell r="D1995" t="str">
            <v>Claudia Orrego C. San Judas Tadeo</v>
          </cell>
        </row>
        <row r="1996">
          <cell r="C1996" t="str">
            <v>Ortega Anaya Household</v>
          </cell>
          <cell r="D1996" t="str">
            <v>Víctor René Ortega Anaya</v>
          </cell>
        </row>
        <row r="1997">
          <cell r="C1997" t="str">
            <v>Ortega Household</v>
          </cell>
          <cell r="D1997" t="str">
            <v>Aurora Ortega</v>
          </cell>
        </row>
        <row r="1998">
          <cell r="C1998" t="str">
            <v>Ortega Household</v>
          </cell>
          <cell r="D1998" t="str">
            <v>Jackelyne Ortega</v>
          </cell>
        </row>
        <row r="1999">
          <cell r="C1999" t="str">
            <v>Ortega Household</v>
          </cell>
          <cell r="D1999" t="str">
            <v>Jose Ortega</v>
          </cell>
        </row>
        <row r="2000">
          <cell r="C2000" t="str">
            <v>Ortega Household</v>
          </cell>
          <cell r="D2000" t="str">
            <v>Marixenia Ortega</v>
          </cell>
        </row>
        <row r="2001">
          <cell r="C2001" t="str">
            <v>Ortega Household</v>
          </cell>
          <cell r="D2001" t="str">
            <v>Yajaira Ortega</v>
          </cell>
        </row>
        <row r="2002">
          <cell r="C2002" t="str">
            <v>Ortega Kerry Panama Household</v>
          </cell>
          <cell r="D2002" t="str">
            <v>Aurora Ortega Kerry Panama</v>
          </cell>
        </row>
        <row r="2003">
          <cell r="C2003" t="str">
            <v>ORTIZ Household</v>
          </cell>
          <cell r="D2003" t="str">
            <v>ALEXANDRA ORTIZ</v>
          </cell>
        </row>
        <row r="2004">
          <cell r="C2004" t="str">
            <v>Ortíz Household</v>
          </cell>
          <cell r="D2004" t="str">
            <v>Kerima Ortíz</v>
          </cell>
          <cell r="F2004" t="str">
            <v>6982-2320</v>
          </cell>
        </row>
        <row r="2005">
          <cell r="C2005" t="str">
            <v>Osorio Elanco Panamá Household</v>
          </cell>
          <cell r="D2005" t="str">
            <v>David Osorio Elanco Panamá</v>
          </cell>
        </row>
        <row r="2006">
          <cell r="C2006" t="str">
            <v>OSORIO Household</v>
          </cell>
          <cell r="D2006" t="str">
            <v>Alma Osorio</v>
          </cell>
        </row>
        <row r="2007">
          <cell r="C2007" t="str">
            <v>OSORIO Household</v>
          </cell>
          <cell r="D2007" t="str">
            <v>Diana Osorio</v>
          </cell>
        </row>
        <row r="2008">
          <cell r="C2008" t="str">
            <v>OSORIO Household</v>
          </cell>
          <cell r="D2008" t="str">
            <v>ERICA OSORIO</v>
          </cell>
        </row>
        <row r="2009">
          <cell r="C2009" t="str">
            <v>OSORIO Household</v>
          </cell>
          <cell r="D2009" t="str">
            <v>Erika Osorio</v>
          </cell>
        </row>
        <row r="2010">
          <cell r="C2010" t="str">
            <v>OSORIO Household</v>
          </cell>
          <cell r="D2010" t="str">
            <v>Viviangabriela Osorio</v>
          </cell>
        </row>
        <row r="2011">
          <cell r="C2011" t="str">
            <v>OSORIO Household</v>
          </cell>
          <cell r="D2011" t="str">
            <v>Yamileth Osorio</v>
          </cell>
        </row>
        <row r="2012">
          <cell r="C2012" t="str">
            <v>Ostia Household</v>
          </cell>
          <cell r="D2012" t="str">
            <v>Ambar Ostia</v>
          </cell>
        </row>
        <row r="2013">
          <cell r="C2013" t="str">
            <v>Otero Household</v>
          </cell>
          <cell r="D2013" t="str">
            <v>Carla Otero</v>
          </cell>
        </row>
        <row r="2014">
          <cell r="C2014" t="str">
            <v>Otero Household</v>
          </cell>
          <cell r="D2014" t="str">
            <v>Nathalie Otero</v>
          </cell>
        </row>
        <row r="2015">
          <cell r="C2015" t="str">
            <v>Ow Young Household</v>
          </cell>
          <cell r="D2015" t="str">
            <v>Fernando Ow Young</v>
          </cell>
        </row>
        <row r="2016">
          <cell r="C2016" t="str">
            <v>Pacheco F. Deveaux Household</v>
          </cell>
          <cell r="D2016" t="str">
            <v>Desyaneiry Pacheco F. Deveaux</v>
          </cell>
        </row>
        <row r="2017">
          <cell r="C2017" t="str">
            <v>Padilla Household</v>
          </cell>
          <cell r="D2017" t="str">
            <v>Andrea Padilla</v>
          </cell>
        </row>
        <row r="2018">
          <cell r="C2018" t="str">
            <v>Padro Household</v>
          </cell>
          <cell r="D2018" t="str">
            <v>Jesus Padro</v>
          </cell>
        </row>
        <row r="2019">
          <cell r="C2019" t="str">
            <v>PAGES Household</v>
          </cell>
          <cell r="D2019" t="str">
            <v>OSCAR PAGES</v>
          </cell>
        </row>
        <row r="2020">
          <cell r="C2020" t="str">
            <v>Palma (HIAS) Household</v>
          </cell>
          <cell r="D2020" t="str">
            <v>Jorge Palma (HIAS)</v>
          </cell>
        </row>
        <row r="2021">
          <cell r="C2021" t="str">
            <v>Palma Household</v>
          </cell>
          <cell r="D2021" t="str">
            <v>Agusto Palma</v>
          </cell>
        </row>
        <row r="2022">
          <cell r="C2022" t="str">
            <v>Pan Oxford Household</v>
          </cell>
          <cell r="D2022" t="str">
            <v>bryan Pan Oxford</v>
          </cell>
        </row>
        <row r="2023">
          <cell r="C2023" t="str">
            <v>Panacredit Household</v>
          </cell>
          <cell r="D2023" t="str">
            <v>Patricia Quirós Panacredit</v>
          </cell>
        </row>
        <row r="2024">
          <cell r="C2024" t="str">
            <v>Paoletti Household</v>
          </cell>
          <cell r="D2024" t="str">
            <v>Giancarlo Paoletti</v>
          </cell>
        </row>
        <row r="2025">
          <cell r="C2025" t="str">
            <v>Paredes Household</v>
          </cell>
          <cell r="D2025" t="str">
            <v>Any Paredes</v>
          </cell>
        </row>
        <row r="2026">
          <cell r="C2026" t="str">
            <v>Paredes Household</v>
          </cell>
          <cell r="D2026" t="str">
            <v>Superintendencia Miriam Paredes</v>
          </cell>
        </row>
        <row r="2027">
          <cell r="C2027" t="str">
            <v>Paredes Johnson &amp; Johnson Household</v>
          </cell>
          <cell r="D2027" t="str">
            <v>Andrés Paredes Johnson &amp; Johnson</v>
          </cell>
        </row>
        <row r="2028">
          <cell r="C2028" t="str">
            <v>Parra Household</v>
          </cell>
          <cell r="D2028" t="str">
            <v>Joshue Parra</v>
          </cell>
        </row>
        <row r="2029">
          <cell r="C2029" t="str">
            <v>Parra Household</v>
          </cell>
          <cell r="D2029" t="str">
            <v>Julielis Parra</v>
          </cell>
        </row>
        <row r="2030">
          <cell r="C2030" t="str">
            <v>Pastor Villagrecia Household</v>
          </cell>
          <cell r="D2030" t="str">
            <v>Colegio Buen Pastor Villagrecia</v>
          </cell>
        </row>
        <row r="2031">
          <cell r="C2031" t="str">
            <v>Patiño Household</v>
          </cell>
          <cell r="D2031" t="str">
            <v>Angela Patiño</v>
          </cell>
        </row>
        <row r="2032">
          <cell r="C2032" t="str">
            <v>Patiño Household</v>
          </cell>
          <cell r="D2032" t="str">
            <v>Julissa Patiño</v>
          </cell>
        </row>
        <row r="2033">
          <cell r="C2033" t="str">
            <v>PATTERSON Household</v>
          </cell>
          <cell r="D2033" t="str">
            <v>AYERIMM PATTERSON</v>
          </cell>
        </row>
        <row r="2034">
          <cell r="C2034" t="str">
            <v>PAULINO Household</v>
          </cell>
          <cell r="D2034" t="str">
            <v>DIACONO PAULINO</v>
          </cell>
        </row>
        <row r="2035">
          <cell r="C2035" t="str">
            <v>Paz Household</v>
          </cell>
          <cell r="D2035" t="str">
            <v>José Paz</v>
          </cell>
        </row>
        <row r="2036">
          <cell r="C2036" t="str">
            <v>Paz Household</v>
          </cell>
          <cell r="D2036" t="str">
            <v>Linsy Paz</v>
          </cell>
        </row>
        <row r="2037">
          <cell r="C2037" t="str">
            <v>Paz Household</v>
          </cell>
          <cell r="D2037" t="str">
            <v>MAXIMA PAZ</v>
          </cell>
        </row>
        <row r="2038">
          <cell r="C2038" t="str">
            <v>Pazmiño Household</v>
          </cell>
          <cell r="D2038" t="str">
            <v>Susan Pazmiño</v>
          </cell>
        </row>
        <row r="2039">
          <cell r="C2039" t="str">
            <v>PEDERSEN Household</v>
          </cell>
          <cell r="D2039" t="str">
            <v>CHRISTIAN PEDERSEN</v>
          </cell>
        </row>
        <row r="2040">
          <cell r="C2040" t="str">
            <v>Peña Household</v>
          </cell>
          <cell r="D2040" t="str">
            <v>Angelica Peña</v>
          </cell>
        </row>
        <row r="2041">
          <cell r="C2041" t="str">
            <v>Peña Household</v>
          </cell>
          <cell r="D2041" t="str">
            <v>Benigno Peña</v>
          </cell>
        </row>
        <row r="2042">
          <cell r="C2042" t="str">
            <v>Peña Household</v>
          </cell>
          <cell r="D2042" t="str">
            <v>Jose Peña</v>
          </cell>
        </row>
        <row r="2043">
          <cell r="C2043" t="str">
            <v>Peña Household</v>
          </cell>
          <cell r="D2043" t="str">
            <v>Sebastian Peña</v>
          </cell>
        </row>
        <row r="2044">
          <cell r="C2044" t="str">
            <v>Peñalba Household</v>
          </cell>
          <cell r="D2044" t="str">
            <v>Avelio Peñalba</v>
          </cell>
        </row>
        <row r="2045">
          <cell r="C2045" t="str">
            <v>Peñaloza Household</v>
          </cell>
          <cell r="D2045" t="str">
            <v>Angelica Peñaloza</v>
          </cell>
          <cell r="F2045" t="str">
            <v>6320-3347</v>
          </cell>
        </row>
        <row r="2046">
          <cell r="C2046" t="str">
            <v>Peñaloza Household</v>
          </cell>
          <cell r="D2046" t="str">
            <v>Yisel Peñaloza</v>
          </cell>
        </row>
        <row r="2047">
          <cell r="C2047" t="str">
            <v>Peralta Household</v>
          </cell>
          <cell r="D2047" t="str">
            <v>Emma Peralta</v>
          </cell>
        </row>
        <row r="2048">
          <cell r="C2048" t="str">
            <v>Pereira de Carvalho P.S.A Household</v>
          </cell>
          <cell r="D2048" t="str">
            <v>Lorena Pereira de Carvalho P.S.A</v>
          </cell>
        </row>
        <row r="2049">
          <cell r="C2049" t="str">
            <v>Pereira Household</v>
          </cell>
          <cell r="D2049" t="str">
            <v>Joao Pereira</v>
          </cell>
        </row>
        <row r="2050">
          <cell r="C2050" t="str">
            <v>Pérez Arias Household</v>
          </cell>
          <cell r="D2050" t="str">
            <v>Jaime Pérez Arias</v>
          </cell>
          <cell r="F2050" t="str">
            <v>6672-5316</v>
          </cell>
        </row>
        <row r="2051">
          <cell r="C2051" t="str">
            <v>Perez Household</v>
          </cell>
          <cell r="D2051" t="str">
            <v>DIOGENES PEREZ</v>
          </cell>
        </row>
        <row r="2052">
          <cell r="C2052" t="str">
            <v>Perez Household</v>
          </cell>
          <cell r="D2052" t="str">
            <v>Giselle Perez</v>
          </cell>
        </row>
        <row r="2053">
          <cell r="C2053" t="str">
            <v>Perez Household</v>
          </cell>
          <cell r="D2053" t="str">
            <v>ISOLDA Perez</v>
          </cell>
        </row>
        <row r="2054">
          <cell r="C2054" t="str">
            <v>Perez Household</v>
          </cell>
          <cell r="D2054" t="str">
            <v>Jaime Perez</v>
          </cell>
          <cell r="F2054" t="str">
            <v>6672-5316</v>
          </cell>
        </row>
        <row r="2055">
          <cell r="C2055" t="str">
            <v>Perez Household</v>
          </cell>
          <cell r="D2055" t="str">
            <v>Josep Perez</v>
          </cell>
        </row>
        <row r="2056">
          <cell r="C2056" t="str">
            <v>Perez Household</v>
          </cell>
          <cell r="D2056" t="str">
            <v>Juan Diego Perez</v>
          </cell>
        </row>
        <row r="2057">
          <cell r="C2057" t="str">
            <v>Perez Household</v>
          </cell>
          <cell r="D2057" t="str">
            <v>Luciano Perez</v>
          </cell>
        </row>
        <row r="2058">
          <cell r="C2058" t="str">
            <v>Perez Household</v>
          </cell>
          <cell r="D2058" t="str">
            <v>maria perez</v>
          </cell>
        </row>
        <row r="2059">
          <cell r="C2059" t="str">
            <v>Perez Household</v>
          </cell>
          <cell r="D2059" t="str">
            <v>NEAL PEREZ</v>
          </cell>
        </row>
        <row r="2060">
          <cell r="C2060" t="str">
            <v>Perez Household</v>
          </cell>
          <cell r="D2060" t="str">
            <v>Reyna Perez</v>
          </cell>
        </row>
        <row r="2061">
          <cell r="C2061" t="str">
            <v>Perez Household</v>
          </cell>
          <cell r="D2061" t="str">
            <v>Sara Perez</v>
          </cell>
        </row>
        <row r="2062">
          <cell r="C2062" t="str">
            <v>Perez Household</v>
          </cell>
          <cell r="D2062" t="str">
            <v>XIOMARA Perez</v>
          </cell>
        </row>
        <row r="2063">
          <cell r="C2063" t="str">
            <v>Pérez Household</v>
          </cell>
          <cell r="D2063" t="str">
            <v>Gabriela Pérez</v>
          </cell>
        </row>
        <row r="2064">
          <cell r="C2064" t="str">
            <v>Pérez Household</v>
          </cell>
          <cell r="D2064" t="str">
            <v>Helen Pérez</v>
          </cell>
        </row>
        <row r="2065">
          <cell r="C2065" t="str">
            <v>Pérez Household</v>
          </cell>
          <cell r="D2065" t="str">
            <v>Hellen Pérez</v>
          </cell>
        </row>
        <row r="2066">
          <cell r="C2066" t="str">
            <v>Pérez Household</v>
          </cell>
          <cell r="D2066" t="str">
            <v>José Alberto Pérez</v>
          </cell>
        </row>
        <row r="2067">
          <cell r="C2067" t="str">
            <v>Pérez Household</v>
          </cell>
          <cell r="D2067" t="str">
            <v>Kalena Pérez</v>
          </cell>
        </row>
        <row r="2068">
          <cell r="C2068" t="str">
            <v>Pérez Household</v>
          </cell>
          <cell r="D2068" t="str">
            <v>Lilibeth Pérez</v>
          </cell>
        </row>
        <row r="2069">
          <cell r="C2069" t="str">
            <v>Pérez Household</v>
          </cell>
          <cell r="D2069" t="str">
            <v>Lisneth Pérez</v>
          </cell>
        </row>
        <row r="2070">
          <cell r="C2070" t="str">
            <v>Pérez Household</v>
          </cell>
          <cell r="D2070" t="str">
            <v>Valeria Pérez</v>
          </cell>
        </row>
        <row r="2071">
          <cell r="C2071" t="str">
            <v>PerezPrueba Household</v>
          </cell>
          <cell r="D2071" t="str">
            <v>PepitoPrueba PerezPrueba</v>
          </cell>
        </row>
        <row r="2072">
          <cell r="C2072" t="str">
            <v>Perigault Household</v>
          </cell>
          <cell r="D2072" t="str">
            <v>Melody Perigault</v>
          </cell>
        </row>
        <row r="2073">
          <cell r="C2073" t="str">
            <v>Pestana Household</v>
          </cell>
          <cell r="D2073" t="str">
            <v>Marcela Pestana</v>
          </cell>
        </row>
        <row r="2074">
          <cell r="C2074" t="str">
            <v>Piad Household</v>
          </cell>
          <cell r="D2074" t="str">
            <v>Valerie Piad</v>
          </cell>
        </row>
        <row r="2075">
          <cell r="C2075" t="str">
            <v>Pimentel Household</v>
          </cell>
          <cell r="D2075" t="str">
            <v>Sol Pimentel</v>
          </cell>
        </row>
        <row r="2076">
          <cell r="C2076" t="str">
            <v>Pinate Household</v>
          </cell>
          <cell r="D2076" t="str">
            <v>Colegio Elena Ch Pinate</v>
          </cell>
        </row>
        <row r="2077">
          <cell r="C2077" t="str">
            <v>Pineda de Chiari Household</v>
          </cell>
          <cell r="D2077" t="str">
            <v>Isis Pineda de Chiari</v>
          </cell>
          <cell r="F2077" t="str">
            <v>392-5304</v>
          </cell>
        </row>
        <row r="2078">
          <cell r="C2078" t="str">
            <v>Pineda de Chiari Household</v>
          </cell>
          <cell r="D2078" t="str">
            <v>Isis Pineda de Chiari</v>
          </cell>
        </row>
        <row r="2079">
          <cell r="C2079" t="str">
            <v>Pineda Household</v>
          </cell>
          <cell r="D2079" t="str">
            <v>Fredy Pineda</v>
          </cell>
        </row>
        <row r="2080">
          <cell r="C2080" t="str">
            <v>Pineda Household</v>
          </cell>
          <cell r="D2080" t="str">
            <v>Genesis Pineda</v>
          </cell>
        </row>
        <row r="2081">
          <cell r="C2081" t="str">
            <v>Pineda Household</v>
          </cell>
          <cell r="D2081" t="str">
            <v>Gustavo Pineda</v>
          </cell>
        </row>
        <row r="2082">
          <cell r="C2082" t="str">
            <v>Pineda Household</v>
          </cell>
          <cell r="D2082" t="str">
            <v>Laura Pineda</v>
          </cell>
        </row>
        <row r="2083">
          <cell r="C2083" t="str">
            <v>Pineda Household</v>
          </cell>
          <cell r="D2083" t="str">
            <v>Oliveth Pineda</v>
          </cell>
        </row>
        <row r="2084">
          <cell r="C2084" t="str">
            <v>Pineda Household</v>
          </cell>
          <cell r="D2084" t="str">
            <v>Toledano Celmira Pineda</v>
          </cell>
        </row>
        <row r="2085">
          <cell r="C2085" t="str">
            <v>Pineda Instituto Atenea Household</v>
          </cell>
          <cell r="D2085" t="str">
            <v>Victoria Pineda Instituto Atenea</v>
          </cell>
        </row>
        <row r="2086">
          <cell r="C2086" t="str">
            <v>Pinilla Household</v>
          </cell>
          <cell r="D2086" t="str">
            <v>José Pinilla</v>
          </cell>
        </row>
        <row r="2087">
          <cell r="C2087" t="str">
            <v>Pinilla Household</v>
          </cell>
          <cell r="D2087" t="str">
            <v>Kimberly Pinilla</v>
          </cell>
        </row>
        <row r="2088">
          <cell r="C2088" t="str">
            <v>Pinilla Household</v>
          </cell>
          <cell r="D2088" t="str">
            <v>Luis Manuel Pinilla</v>
          </cell>
          <cell r="F2088" t="str">
            <v>6072-6404</v>
          </cell>
        </row>
        <row r="2089">
          <cell r="C2089" t="str">
            <v>Pinilla Household</v>
          </cell>
          <cell r="D2089" t="str">
            <v>Mario Pinilla</v>
          </cell>
        </row>
        <row r="2090">
          <cell r="C2090" t="str">
            <v>Pinilla Iglesia Manantial de Vida Household</v>
          </cell>
          <cell r="D2090" t="str">
            <v>Pastor Javier Pinilla Iglesia Manantial de Vida</v>
          </cell>
        </row>
        <row r="2091">
          <cell r="C2091" t="str">
            <v>Pinilla jimenez Household</v>
          </cell>
          <cell r="D2091" t="str">
            <v>José daniel Pinilla jimenez</v>
          </cell>
        </row>
        <row r="2092">
          <cell r="C2092" t="str">
            <v>Pino Household</v>
          </cell>
          <cell r="D2092" t="str">
            <v>Genesis Pino</v>
          </cell>
        </row>
        <row r="2093">
          <cell r="C2093" t="str">
            <v>Pinto Household</v>
          </cell>
          <cell r="D2093" t="str">
            <v>Evelio Pinto</v>
          </cell>
        </row>
        <row r="2094">
          <cell r="C2094" t="str">
            <v>Pinto Household</v>
          </cell>
          <cell r="D2094" t="str">
            <v>Yadilexi Pinto</v>
          </cell>
        </row>
        <row r="2095">
          <cell r="C2095" t="str">
            <v>PINZON Household</v>
          </cell>
          <cell r="D2095" t="str">
            <v>MARIA PINZON</v>
          </cell>
        </row>
        <row r="2096">
          <cell r="C2096" t="str">
            <v>Pinzón Household</v>
          </cell>
          <cell r="D2096" t="str">
            <v>Angel E. Pinzón</v>
          </cell>
        </row>
        <row r="2097">
          <cell r="C2097" t="str">
            <v>Pinzón Household</v>
          </cell>
          <cell r="D2097" t="str">
            <v>Cristina Pinzón</v>
          </cell>
        </row>
        <row r="2098">
          <cell r="C2098" t="str">
            <v>Pinzón Household</v>
          </cell>
          <cell r="D2098" t="str">
            <v>Iván Pinzón</v>
          </cell>
        </row>
        <row r="2099">
          <cell r="C2099" t="str">
            <v>Pinzón Household</v>
          </cell>
          <cell r="D2099" t="str">
            <v>Maria Fernanda Pinzón</v>
          </cell>
        </row>
        <row r="2100">
          <cell r="C2100" t="str">
            <v>Pinzón Household</v>
          </cell>
          <cell r="D2100" t="str">
            <v>Osmar Didier Pinzón</v>
          </cell>
        </row>
        <row r="2101">
          <cell r="C2101" t="str">
            <v>Pinzón Household</v>
          </cell>
          <cell r="D2101" t="str">
            <v>Paola Pinzón</v>
          </cell>
        </row>
        <row r="2102">
          <cell r="C2102" t="str">
            <v>Pitti Household</v>
          </cell>
          <cell r="D2102" t="str">
            <v>Juan Pitti</v>
          </cell>
        </row>
        <row r="2103">
          <cell r="C2103" t="str">
            <v>Pitti Household</v>
          </cell>
          <cell r="D2103" t="str">
            <v>Keysi Pitti</v>
          </cell>
        </row>
        <row r="2104">
          <cell r="C2104" t="str">
            <v>Pitty Household</v>
          </cell>
          <cell r="D2104" t="str">
            <v>Ameth Pitty</v>
          </cell>
          <cell r="F2104" t="str">
            <v>6263-1364</v>
          </cell>
        </row>
        <row r="2105">
          <cell r="C2105" t="str">
            <v>PLANELLS Household</v>
          </cell>
          <cell r="D2105" t="str">
            <v>PATRICIA PLANELLS</v>
          </cell>
        </row>
        <row r="2106">
          <cell r="C2106" t="str">
            <v>POLANCO Household</v>
          </cell>
          <cell r="D2106" t="str">
            <v>DIONISIO POLANCO</v>
          </cell>
        </row>
        <row r="2107">
          <cell r="C2107" t="str">
            <v>POLANCO Household</v>
          </cell>
          <cell r="D2107" t="str">
            <v>Vanesa Polanco</v>
          </cell>
          <cell r="F2107" t="str">
            <v>6468-5886</v>
          </cell>
        </row>
        <row r="2108">
          <cell r="C2108" t="str">
            <v>Ponce Household</v>
          </cell>
          <cell r="D2108" t="str">
            <v>Daniel Ponce</v>
          </cell>
        </row>
        <row r="2109">
          <cell r="C2109" t="str">
            <v>Ponce Household</v>
          </cell>
          <cell r="D2109" t="str">
            <v>Sugeily Ponce</v>
          </cell>
        </row>
        <row r="2110">
          <cell r="C2110" t="str">
            <v>Potter Household</v>
          </cell>
          <cell r="D2110" t="str">
            <v>Harry Potter</v>
          </cell>
        </row>
        <row r="2111">
          <cell r="C2111" t="str">
            <v>Poveda Cabrera Household</v>
          </cell>
          <cell r="D2111" t="str">
            <v>Hernesto Poveda Cabrera</v>
          </cell>
        </row>
        <row r="2112">
          <cell r="C2112" t="str">
            <v>POZO Household</v>
          </cell>
          <cell r="D2112" t="str">
            <v>KAREN POZO</v>
          </cell>
        </row>
        <row r="2113">
          <cell r="C2113" t="str">
            <v>Prado Household</v>
          </cell>
          <cell r="D2113" t="str">
            <v>Jonathan Prado</v>
          </cell>
        </row>
        <row r="2114">
          <cell r="C2114" t="str">
            <v>Probando Household</v>
          </cell>
          <cell r="D2114" t="str">
            <v>DiegoPrueba Probando</v>
          </cell>
        </row>
        <row r="2115">
          <cell r="C2115" t="str">
            <v>Prospectos Household</v>
          </cell>
          <cell r="D2115" t="str">
            <v>Prospectos Prospectos</v>
          </cell>
        </row>
        <row r="2116">
          <cell r="C2116" t="str">
            <v>Prueba household Household</v>
          </cell>
          <cell r="D2116" t="str">
            <v>Test Prueba household</v>
          </cell>
        </row>
        <row r="2117">
          <cell r="C2117" t="str">
            <v>Publicuatro Household</v>
          </cell>
          <cell r="D2117" t="str">
            <v>Publicuatro</v>
          </cell>
        </row>
        <row r="2118">
          <cell r="C2118" t="str">
            <v>Punongbaya Household</v>
          </cell>
          <cell r="D2118" t="str">
            <v>Tarymm Melissa Punongbaya</v>
          </cell>
        </row>
        <row r="2119">
          <cell r="C2119" t="str">
            <v>QUELQUEJEU Household</v>
          </cell>
          <cell r="D2119" t="str">
            <v>GRACIELA QUELQUEJEU</v>
          </cell>
        </row>
        <row r="2120">
          <cell r="C2120" t="str">
            <v>Quiel Household</v>
          </cell>
          <cell r="D2120" t="str">
            <v>Jesus Quiel</v>
          </cell>
        </row>
        <row r="2121">
          <cell r="C2121" t="str">
            <v>Quiel Household</v>
          </cell>
          <cell r="D2121" t="str">
            <v>NELSON QUIEL</v>
          </cell>
        </row>
        <row r="2122">
          <cell r="C2122" t="str">
            <v>Quiel Household</v>
          </cell>
          <cell r="D2122" t="str">
            <v>Ovidio Quiel</v>
          </cell>
        </row>
        <row r="2123">
          <cell r="C2123" t="str">
            <v>Quintana Household</v>
          </cell>
          <cell r="D2123" t="str">
            <v>Susana Quintana</v>
          </cell>
        </row>
        <row r="2124">
          <cell r="C2124" t="str">
            <v>Quintero Household</v>
          </cell>
          <cell r="D2124" t="str">
            <v>ADY Quintero</v>
          </cell>
        </row>
        <row r="2125">
          <cell r="C2125" t="str">
            <v>Quintero Household</v>
          </cell>
          <cell r="D2125" t="str">
            <v>Guillermo Quintero</v>
          </cell>
        </row>
        <row r="2126">
          <cell r="C2126" t="str">
            <v>Quintero Household</v>
          </cell>
          <cell r="D2126" t="str">
            <v>Ivanna Quintero</v>
          </cell>
        </row>
        <row r="2127">
          <cell r="C2127" t="str">
            <v>Quintero Household</v>
          </cell>
          <cell r="D2127" t="str">
            <v>Jeanette Quintero</v>
          </cell>
        </row>
        <row r="2128">
          <cell r="C2128" t="str">
            <v>Quintero Household</v>
          </cell>
          <cell r="D2128" t="str">
            <v>Josefina Quintero</v>
          </cell>
        </row>
        <row r="2129">
          <cell r="C2129" t="str">
            <v>Quintero Household</v>
          </cell>
          <cell r="D2129" t="str">
            <v>Viviana Quintero</v>
          </cell>
        </row>
        <row r="2130">
          <cell r="C2130" t="str">
            <v>Quintero Household</v>
          </cell>
          <cell r="D2130" t="str">
            <v>Yiniva Quintero</v>
          </cell>
        </row>
        <row r="2131">
          <cell r="C2131" t="str">
            <v>QUIÑONES Household</v>
          </cell>
          <cell r="D2131" t="str">
            <v>ERICK QUIÑONES</v>
          </cell>
        </row>
        <row r="2132">
          <cell r="C2132" t="str">
            <v>QUIÑONES Household</v>
          </cell>
          <cell r="D2132" t="str">
            <v>Leovigildo Quiñones</v>
          </cell>
        </row>
        <row r="2133">
          <cell r="C2133" t="str">
            <v>QUIROS Household</v>
          </cell>
          <cell r="D2133" t="str">
            <v>AFERNY QUIROS</v>
          </cell>
        </row>
        <row r="2134">
          <cell r="C2134" t="str">
            <v>QUIROS Household</v>
          </cell>
          <cell r="D2134" t="str">
            <v>HELENA QUIROS</v>
          </cell>
        </row>
        <row r="2135">
          <cell r="C2135" t="str">
            <v>Quirós Household</v>
          </cell>
          <cell r="D2135" t="str">
            <v>Javier Quirós</v>
          </cell>
        </row>
        <row r="2136">
          <cell r="C2136" t="str">
            <v>Quirós Household</v>
          </cell>
          <cell r="D2136" t="str">
            <v>Sebastián Quirós</v>
          </cell>
        </row>
        <row r="2137">
          <cell r="C2137" t="str">
            <v>Quiroz Household</v>
          </cell>
          <cell r="D2137" t="str">
            <v>Yibellys Quiroz</v>
          </cell>
        </row>
        <row r="2138">
          <cell r="C2138" t="str">
            <v>Ramirez Household</v>
          </cell>
          <cell r="D2138" t="str">
            <v>Gonzalo Ramirez</v>
          </cell>
        </row>
        <row r="2139">
          <cell r="C2139" t="str">
            <v>Ramirez Household</v>
          </cell>
          <cell r="D2139" t="str">
            <v>Roslyn Ramirez</v>
          </cell>
        </row>
        <row r="2140">
          <cell r="C2140" t="str">
            <v>Ramirez Household</v>
          </cell>
          <cell r="D2140" t="str">
            <v>Yarisbel Ramirez</v>
          </cell>
        </row>
        <row r="2141">
          <cell r="C2141" t="str">
            <v>Ramírez Household</v>
          </cell>
          <cell r="D2141" t="str">
            <v>José Ramírez</v>
          </cell>
        </row>
        <row r="2142">
          <cell r="C2142" t="str">
            <v>Ramírez Household</v>
          </cell>
          <cell r="D2142" t="str">
            <v>Rosalyn Ramírez</v>
          </cell>
        </row>
        <row r="2143">
          <cell r="C2143" t="str">
            <v>Ramos Acosta Household</v>
          </cell>
          <cell r="D2143" t="str">
            <v>Jose Isaac Ramos Acosta</v>
          </cell>
        </row>
        <row r="2144">
          <cell r="C2144" t="str">
            <v>Ramos Colegio San Judas Tadeo Household</v>
          </cell>
          <cell r="D2144" t="str">
            <v>Carlos Ramos Colegio San Judas Tadeo</v>
          </cell>
        </row>
        <row r="2145">
          <cell r="C2145" t="str">
            <v>Ramos de Lopez Household</v>
          </cell>
          <cell r="D2145" t="str">
            <v>Irma Ramos de Lopez</v>
          </cell>
        </row>
        <row r="2146">
          <cell r="C2146" t="str">
            <v>Ramos Household</v>
          </cell>
          <cell r="D2146" t="str">
            <v>Ana Ramos</v>
          </cell>
        </row>
        <row r="2147">
          <cell r="C2147" t="str">
            <v>Ramos Household</v>
          </cell>
          <cell r="D2147" t="str">
            <v>Andres Ramos</v>
          </cell>
        </row>
        <row r="2148">
          <cell r="C2148" t="str">
            <v>Ramos Household</v>
          </cell>
          <cell r="D2148" t="str">
            <v>Clemente Ramos</v>
          </cell>
          <cell r="F2148" t="str">
            <v>6675-1046</v>
          </cell>
        </row>
        <row r="2149">
          <cell r="C2149" t="str">
            <v>Ramos Household</v>
          </cell>
          <cell r="D2149" t="str">
            <v>Maria Victoria Ramos</v>
          </cell>
        </row>
        <row r="2150">
          <cell r="C2150" t="str">
            <v>RANDONJIC Household</v>
          </cell>
          <cell r="D2150" t="str">
            <v>ROXANA RANDONJIC</v>
          </cell>
          <cell r="F2150" t="str">
            <v>203-5926</v>
          </cell>
        </row>
        <row r="2151">
          <cell r="C2151" t="str">
            <v>Ranger Household</v>
          </cell>
          <cell r="D2151" t="str">
            <v>Graciela Ranger</v>
          </cell>
        </row>
        <row r="2152">
          <cell r="C2152" t="str">
            <v>Razon Household</v>
          </cell>
          <cell r="D2152" t="str">
            <v>Jaime Razon</v>
          </cell>
        </row>
        <row r="2153">
          <cell r="C2153" t="str">
            <v>REBOLLEDO Household</v>
          </cell>
          <cell r="D2153" t="str">
            <v>INELDA REBOLLEDO</v>
          </cell>
          <cell r="F2153" t="str">
            <v>6684-1584</v>
          </cell>
        </row>
        <row r="2154">
          <cell r="C2154" t="str">
            <v>REBOLLEDO Household</v>
          </cell>
          <cell r="D2154" t="str">
            <v>INELDA REBOLLEDO</v>
          </cell>
        </row>
        <row r="2155">
          <cell r="C2155" t="str">
            <v>Redondo Household</v>
          </cell>
          <cell r="D2155" t="str">
            <v>Ana Carolina Redondo</v>
          </cell>
        </row>
        <row r="2156">
          <cell r="C2156" t="str">
            <v>Reluz Household</v>
          </cell>
          <cell r="D2156" t="str">
            <v>Maria Fernanda Reluz</v>
          </cell>
        </row>
        <row r="2157">
          <cell r="C2157" t="str">
            <v>Rendon Household</v>
          </cell>
          <cell r="D2157" t="str">
            <v>Jason Rendon</v>
          </cell>
        </row>
        <row r="2158">
          <cell r="C2158" t="str">
            <v>Repetto Household</v>
          </cell>
          <cell r="D2158" t="str">
            <v>Yesenia Repetto</v>
          </cell>
        </row>
        <row r="2159">
          <cell r="C2159" t="str">
            <v>Revello Household</v>
          </cell>
          <cell r="D2159" t="str">
            <v>Ericka Revello</v>
          </cell>
        </row>
        <row r="2160">
          <cell r="C2160" t="str">
            <v>Revello Household</v>
          </cell>
          <cell r="D2160" t="str">
            <v>Erika Revello</v>
          </cell>
          <cell r="F2160" t="str">
            <v>320-1589</v>
          </cell>
        </row>
        <row r="2161">
          <cell r="C2161" t="str">
            <v>REY Household</v>
          </cell>
          <cell r="D2161" t="str">
            <v>NEREYDA REY</v>
          </cell>
        </row>
        <row r="2162">
          <cell r="C2162" t="str">
            <v>Reyes Household</v>
          </cell>
          <cell r="D2162" t="str">
            <v>Daniela Reyes</v>
          </cell>
        </row>
        <row r="2163">
          <cell r="C2163" t="str">
            <v>Reyes Household</v>
          </cell>
          <cell r="D2163" t="str">
            <v>Juan Reyes</v>
          </cell>
        </row>
        <row r="2164">
          <cell r="C2164" t="str">
            <v>Reyes Household</v>
          </cell>
          <cell r="D2164" t="str">
            <v>LOURDES REYES</v>
          </cell>
        </row>
        <row r="2165">
          <cell r="C2165" t="str">
            <v>Reyes Household</v>
          </cell>
          <cell r="D2165" t="str">
            <v>VALENA REYES</v>
          </cell>
        </row>
        <row r="2166">
          <cell r="C2166" t="str">
            <v>Reyes Household</v>
          </cell>
          <cell r="D2166" t="str">
            <v>Vivian Reyes</v>
          </cell>
        </row>
        <row r="2167">
          <cell r="C2167" t="str">
            <v>Reyna Household</v>
          </cell>
          <cell r="D2167" t="str">
            <v>Dario Reyna</v>
          </cell>
        </row>
        <row r="2168">
          <cell r="C2168" t="str">
            <v>Reyna Household</v>
          </cell>
          <cell r="D2168" t="str">
            <v>Olga Reyna</v>
          </cell>
        </row>
        <row r="2169">
          <cell r="C2169" t="str">
            <v>Reyna Household</v>
          </cell>
          <cell r="D2169" t="str">
            <v>TITA REYNA</v>
          </cell>
        </row>
        <row r="2170">
          <cell r="C2170" t="str">
            <v>Reyna Household</v>
          </cell>
          <cell r="D2170" t="str">
            <v>Vianneth Reyna</v>
          </cell>
        </row>
        <row r="2171">
          <cell r="C2171" t="str">
            <v>Richani Household</v>
          </cell>
          <cell r="D2171" t="str">
            <v>Samir Richani</v>
          </cell>
        </row>
        <row r="2172">
          <cell r="C2172" t="str">
            <v>Ríos Caballero Household</v>
          </cell>
          <cell r="D2172" t="str">
            <v>Raúl Alfonso Ríos Caballero</v>
          </cell>
        </row>
        <row r="2173">
          <cell r="C2173" t="str">
            <v>Rios Household</v>
          </cell>
          <cell r="D2173" t="str">
            <v>Rigo Rios</v>
          </cell>
        </row>
        <row r="2174">
          <cell r="C2174" t="str">
            <v>Ríos Household</v>
          </cell>
          <cell r="D2174" t="str">
            <v>Adrian Enrique  Ríos</v>
          </cell>
        </row>
        <row r="2175">
          <cell r="C2175" t="str">
            <v>Ríos Household</v>
          </cell>
          <cell r="D2175" t="str">
            <v>María Fernanda Ríos</v>
          </cell>
        </row>
        <row r="2176">
          <cell r="C2176" t="str">
            <v>Ríos Household</v>
          </cell>
          <cell r="D2176" t="str">
            <v>María Ríos</v>
          </cell>
        </row>
        <row r="2177">
          <cell r="C2177" t="str">
            <v>Ríos Household</v>
          </cell>
          <cell r="D2177" t="str">
            <v>Miguel Ríos</v>
          </cell>
        </row>
        <row r="2178">
          <cell r="C2178" t="str">
            <v>Ríos Household</v>
          </cell>
          <cell r="D2178" t="str">
            <v>Yazmina Ríos</v>
          </cell>
        </row>
        <row r="2179">
          <cell r="C2179" t="str">
            <v>Ríos Luque de Quintanar Household</v>
          </cell>
          <cell r="D2179" t="str">
            <v>Eris Ríos Luque de Quintanar</v>
          </cell>
        </row>
        <row r="2180">
          <cell r="C2180" t="str">
            <v>Risholm Household</v>
          </cell>
          <cell r="D2180" t="str">
            <v>Alexander Risholm</v>
          </cell>
        </row>
        <row r="2181">
          <cell r="C2181" t="str">
            <v>RIVAS Household</v>
          </cell>
          <cell r="D2181" t="str">
            <v>JUAN CARLOS RIVAS</v>
          </cell>
        </row>
        <row r="2182">
          <cell r="C2182" t="str">
            <v>RIVAS Household</v>
          </cell>
          <cell r="D2182" t="str">
            <v>Ninette Rivas</v>
          </cell>
        </row>
        <row r="2183">
          <cell r="C2183" t="str">
            <v>RIVAS Household</v>
          </cell>
          <cell r="D2183" t="str">
            <v>Raul Rivas</v>
          </cell>
        </row>
        <row r="2184">
          <cell r="C2184" t="str">
            <v>Rivera Household</v>
          </cell>
          <cell r="D2184" t="str">
            <v>Alina Rivera</v>
          </cell>
        </row>
        <row r="2185">
          <cell r="C2185" t="str">
            <v>Rivera Household</v>
          </cell>
          <cell r="D2185" t="str">
            <v>Angela Rivera</v>
          </cell>
        </row>
        <row r="2186">
          <cell r="C2186" t="str">
            <v>Rivera Household</v>
          </cell>
          <cell r="D2186" t="str">
            <v>Davivienda Yamileth Rivera</v>
          </cell>
        </row>
        <row r="2187">
          <cell r="C2187" t="str">
            <v>Rivera Household</v>
          </cell>
          <cell r="D2187" t="str">
            <v>Eduardo Rivera</v>
          </cell>
        </row>
        <row r="2188">
          <cell r="C2188" t="str">
            <v>Rivera Household</v>
          </cell>
          <cell r="D2188" t="str">
            <v>FULVIA RIVERA</v>
          </cell>
        </row>
        <row r="2189">
          <cell r="C2189" t="str">
            <v>Rivera Household</v>
          </cell>
          <cell r="D2189" t="str">
            <v>Hazel Rivera</v>
          </cell>
        </row>
        <row r="2190">
          <cell r="C2190" t="str">
            <v>Rivera Household</v>
          </cell>
          <cell r="D2190" t="str">
            <v>Lucia Rivera</v>
          </cell>
        </row>
        <row r="2191">
          <cell r="C2191" t="str">
            <v>Rivera Household</v>
          </cell>
          <cell r="D2191" t="str">
            <v>Roberto Rivera</v>
          </cell>
        </row>
        <row r="2192">
          <cell r="C2192" t="str">
            <v>Rivera Household</v>
          </cell>
          <cell r="D2192" t="str">
            <v>Roy Rivera</v>
          </cell>
        </row>
        <row r="2193">
          <cell r="C2193" t="str">
            <v>Rivera Household</v>
          </cell>
          <cell r="D2193" t="str">
            <v>Ruben Rivera</v>
          </cell>
        </row>
        <row r="2194">
          <cell r="C2194" t="str">
            <v>Robinson Household</v>
          </cell>
          <cell r="D2194" t="str">
            <v>Clare Robinson</v>
          </cell>
        </row>
        <row r="2195">
          <cell r="C2195" t="str">
            <v>Robinson Household</v>
          </cell>
          <cell r="D2195" t="str">
            <v>Nahomy Robinson</v>
          </cell>
        </row>
        <row r="2196">
          <cell r="C2196" t="str">
            <v>Robles Household</v>
          </cell>
          <cell r="D2196" t="str">
            <v>ABIGAIL ROBLES</v>
          </cell>
        </row>
        <row r="2197">
          <cell r="C2197" t="str">
            <v>Robles Household</v>
          </cell>
          <cell r="D2197" t="str">
            <v>ALEX Robles</v>
          </cell>
        </row>
        <row r="2198">
          <cell r="C2198" t="str">
            <v>Robles Household</v>
          </cell>
          <cell r="D2198" t="str">
            <v>ALVARO ROBLES</v>
          </cell>
        </row>
        <row r="2199">
          <cell r="C2199" t="str">
            <v>Robles Household</v>
          </cell>
          <cell r="D2199" t="str">
            <v>Antenor Robles</v>
          </cell>
        </row>
        <row r="2200">
          <cell r="C2200" t="str">
            <v>Rodriguez Avila Household</v>
          </cell>
          <cell r="D2200" t="str">
            <v>Valeria Rodriguez Avila</v>
          </cell>
        </row>
        <row r="2201">
          <cell r="C2201" t="str">
            <v>Rodriguez C.B. JESUS DE PRAGA Household</v>
          </cell>
          <cell r="D2201" t="str">
            <v>Stephanie Rodriguez C.B. JESUS DE PRAGA</v>
          </cell>
        </row>
        <row r="2202">
          <cell r="C2202" t="str">
            <v>Rodriguez Gracía Household</v>
          </cell>
          <cell r="D2202" t="str">
            <v>Sandra Rodriguez Gracía</v>
          </cell>
        </row>
        <row r="2203">
          <cell r="C2203" t="str">
            <v>Rodriguez Household</v>
          </cell>
          <cell r="D2203" t="str">
            <v>ADRIANA RODRIGUEZ</v>
          </cell>
        </row>
        <row r="2204">
          <cell r="C2204" t="str">
            <v>Rodriguez Household</v>
          </cell>
          <cell r="D2204" t="str">
            <v>Carlos Victor Rodriguez</v>
          </cell>
        </row>
        <row r="2205">
          <cell r="C2205" t="str">
            <v>Rodriguez Household</v>
          </cell>
          <cell r="D2205" t="str">
            <v>Daniel Rodriguez</v>
          </cell>
        </row>
        <row r="2206">
          <cell r="C2206" t="str">
            <v>Rodriguez Household</v>
          </cell>
          <cell r="D2206" t="str">
            <v>Daylis Rodriguez</v>
          </cell>
        </row>
        <row r="2207">
          <cell r="C2207" t="str">
            <v>Rodriguez Household</v>
          </cell>
          <cell r="D2207" t="str">
            <v>Edgardo Rodriguez</v>
          </cell>
        </row>
        <row r="2208">
          <cell r="C2208" t="str">
            <v>Rodriguez Household</v>
          </cell>
          <cell r="D2208" t="str">
            <v>Flora Rodriguez</v>
          </cell>
        </row>
        <row r="2209">
          <cell r="C2209" t="str">
            <v>Rodriguez Household</v>
          </cell>
          <cell r="D2209" t="str">
            <v>Francisco Rodriguez</v>
          </cell>
        </row>
        <row r="2210">
          <cell r="C2210" t="str">
            <v>Rodriguez Household</v>
          </cell>
          <cell r="D2210" t="str">
            <v>Jacinto Rodriguez</v>
          </cell>
        </row>
        <row r="2211">
          <cell r="C2211" t="str">
            <v>Rodriguez Household</v>
          </cell>
          <cell r="D2211" t="str">
            <v>Jhanel Rodriguez</v>
          </cell>
        </row>
        <row r="2212">
          <cell r="C2212" t="str">
            <v>Rodriguez Household</v>
          </cell>
          <cell r="D2212" t="str">
            <v>Jorge Rodriguez</v>
          </cell>
        </row>
        <row r="2213">
          <cell r="C2213" t="str">
            <v>Rodriguez Household</v>
          </cell>
          <cell r="D2213" t="str">
            <v>Julio Enrique Rodriguez</v>
          </cell>
        </row>
        <row r="2214">
          <cell r="C2214" t="str">
            <v>Rodriguez Household</v>
          </cell>
          <cell r="D2214" t="str">
            <v>Liseika Rodriguez</v>
          </cell>
        </row>
        <row r="2215">
          <cell r="C2215" t="str">
            <v>Rodriguez Household</v>
          </cell>
          <cell r="D2215" t="str">
            <v>Miguel Rodriguez</v>
          </cell>
          <cell r="F2215" t="str">
            <v>6840-3942</v>
          </cell>
        </row>
        <row r="2216">
          <cell r="C2216" t="str">
            <v>Rodriguez Household</v>
          </cell>
          <cell r="D2216" t="str">
            <v>Naryelis Rodriguez</v>
          </cell>
        </row>
        <row r="2217">
          <cell r="C2217" t="str">
            <v>Rodriguez Household</v>
          </cell>
          <cell r="D2217" t="str">
            <v>Yadira Rodriguez</v>
          </cell>
        </row>
        <row r="2218">
          <cell r="C2218" t="str">
            <v>Rodriguez Household</v>
          </cell>
          <cell r="D2218" t="str">
            <v>Yamileth Rodriguez</v>
          </cell>
        </row>
        <row r="2219">
          <cell r="C2219" t="str">
            <v>Rodríguez Household</v>
          </cell>
          <cell r="D2219" t="str">
            <v>Abraham Rodríguez</v>
          </cell>
        </row>
        <row r="2220">
          <cell r="C2220" t="str">
            <v>Rodríguez Household</v>
          </cell>
          <cell r="D2220" t="str">
            <v>Ana Patricia Rodríguez</v>
          </cell>
        </row>
        <row r="2221">
          <cell r="C2221" t="str">
            <v>Rodríguez Household</v>
          </cell>
          <cell r="D2221" t="str">
            <v>Belkis Rodríguez</v>
          </cell>
        </row>
        <row r="2222">
          <cell r="C2222" t="str">
            <v>Rodríguez Household</v>
          </cell>
          <cell r="D2222" t="str">
            <v>Cándida Rodríguez</v>
          </cell>
        </row>
        <row r="2223">
          <cell r="C2223" t="str">
            <v>Rodríguez Household</v>
          </cell>
          <cell r="D2223" t="str">
            <v>Diego Rodríguez</v>
          </cell>
        </row>
        <row r="2224">
          <cell r="C2224" t="str">
            <v>Rodríguez Household</v>
          </cell>
          <cell r="D2224" t="str">
            <v>Einar Rodríguez</v>
          </cell>
        </row>
        <row r="2225">
          <cell r="C2225" t="str">
            <v>Rodríguez Household</v>
          </cell>
          <cell r="D2225" t="str">
            <v>Elizabeth Rodríguez</v>
          </cell>
        </row>
        <row r="2226">
          <cell r="C2226" t="str">
            <v>Rodríguez Household</v>
          </cell>
          <cell r="D2226" t="str">
            <v>Fabiana Rodríguez</v>
          </cell>
        </row>
        <row r="2227">
          <cell r="C2227" t="str">
            <v>Rodríguez Household</v>
          </cell>
          <cell r="D2227" t="str">
            <v>Gina Rodríguez</v>
          </cell>
        </row>
        <row r="2228">
          <cell r="C2228" t="str">
            <v>Rodríguez Household</v>
          </cell>
          <cell r="D2228" t="str">
            <v>Jayson Rodríguez</v>
          </cell>
        </row>
        <row r="2229">
          <cell r="C2229" t="str">
            <v>Rodríguez Household</v>
          </cell>
          <cell r="D2229" t="str">
            <v>Jeiriseth Rodríguez</v>
          </cell>
        </row>
        <row r="2230">
          <cell r="C2230" t="str">
            <v>Rodríguez Household</v>
          </cell>
          <cell r="D2230" t="str">
            <v>Joel Rodríguez</v>
          </cell>
        </row>
        <row r="2231">
          <cell r="C2231" t="str">
            <v>Rodríguez Household</v>
          </cell>
          <cell r="D2231" t="str">
            <v>Julio Rodríguez</v>
          </cell>
        </row>
        <row r="2232">
          <cell r="C2232" t="str">
            <v>Rodríguez Household</v>
          </cell>
          <cell r="D2232" t="str">
            <v>Mileyka Rodríguez</v>
          </cell>
        </row>
        <row r="2233">
          <cell r="C2233" t="str">
            <v>Rodríguez Household</v>
          </cell>
          <cell r="D2233" t="str">
            <v>Naryelis Rodríguez</v>
          </cell>
        </row>
        <row r="2234">
          <cell r="C2234" t="str">
            <v>Rodríguez Household</v>
          </cell>
          <cell r="D2234" t="str">
            <v>Nohely Rodríguez</v>
          </cell>
        </row>
        <row r="2235">
          <cell r="C2235" t="str">
            <v>Rodríguez Household</v>
          </cell>
          <cell r="D2235" t="str">
            <v>Querube Rodríguez</v>
          </cell>
        </row>
        <row r="2236">
          <cell r="C2236" t="str">
            <v>Rodríguez Household</v>
          </cell>
          <cell r="D2236" t="str">
            <v>Renzo Rodríguez</v>
          </cell>
        </row>
        <row r="2237">
          <cell r="C2237" t="str">
            <v>Rodríguez Household</v>
          </cell>
          <cell r="D2237" t="str">
            <v>Vale Rodríguez</v>
          </cell>
        </row>
        <row r="2238">
          <cell r="C2238" t="str">
            <v>Rodríguez Household</v>
          </cell>
          <cell r="D2238" t="str">
            <v>Xirineth Rodríguez</v>
          </cell>
        </row>
        <row r="2239">
          <cell r="C2239" t="str">
            <v>Rodriguez Instituto atenea Household</v>
          </cell>
          <cell r="D2239" t="str">
            <v>Alejandro Rodriguez Instituto atenea</v>
          </cell>
        </row>
        <row r="2240">
          <cell r="C2240" t="str">
            <v>Rodríguez Multibank Household</v>
          </cell>
          <cell r="D2240" t="str">
            <v>Gina Rodríguez Multibank</v>
          </cell>
        </row>
        <row r="2241">
          <cell r="C2241" t="str">
            <v>ROJAS Household</v>
          </cell>
          <cell r="D2241" t="str">
            <v>Ana Victoria Rojas</v>
          </cell>
        </row>
        <row r="2242">
          <cell r="C2242" t="str">
            <v>ROJAS Household</v>
          </cell>
          <cell r="D2242" t="str">
            <v>Isabel Rojas</v>
          </cell>
        </row>
        <row r="2243">
          <cell r="C2243" t="str">
            <v>ROJAS Household</v>
          </cell>
          <cell r="D2243" t="str">
            <v>MARINA ROJAS</v>
          </cell>
        </row>
        <row r="2244">
          <cell r="C2244" t="str">
            <v>ROJAS Household</v>
          </cell>
          <cell r="D2244" t="str">
            <v>Marissa Rojas</v>
          </cell>
        </row>
        <row r="2245">
          <cell r="C2245" t="str">
            <v>Roldan AES Household</v>
          </cell>
          <cell r="D2245" t="str">
            <v>Carlos Roldan AES</v>
          </cell>
        </row>
        <row r="2246">
          <cell r="C2246" t="str">
            <v>Roldán Household</v>
          </cell>
          <cell r="D2246" t="str">
            <v>AES Panamá Carlos Roldán</v>
          </cell>
        </row>
        <row r="2247">
          <cell r="C2247" t="str">
            <v>Roman Household</v>
          </cell>
          <cell r="D2247" t="str">
            <v>Esteban Roman</v>
          </cell>
        </row>
        <row r="2248">
          <cell r="C2248" t="str">
            <v>Romero Household</v>
          </cell>
          <cell r="D2248" t="str">
            <v>Erick Romero</v>
          </cell>
        </row>
        <row r="2249">
          <cell r="C2249" t="str">
            <v>Romero Richa de la Guardia RIGSA Household</v>
          </cell>
          <cell r="D2249" t="str">
            <v>Zuleika Romero Richa de la Guardia RIGSA</v>
          </cell>
        </row>
        <row r="2250">
          <cell r="C2250" t="str">
            <v>Roper Household</v>
          </cell>
          <cell r="D2250" t="str">
            <v>Melinda Roper</v>
          </cell>
        </row>
        <row r="2251">
          <cell r="C2251" t="str">
            <v>Rosado Household</v>
          </cell>
          <cell r="D2251" t="str">
            <v>Carmen Rosado</v>
          </cell>
          <cell r="F2251" t="str">
            <v>6588-1345</v>
          </cell>
        </row>
        <row r="2252">
          <cell r="C2252" t="str">
            <v>Rosales Household</v>
          </cell>
          <cell r="D2252" t="str">
            <v>Maria Fernanda Rosales</v>
          </cell>
        </row>
        <row r="2253">
          <cell r="C2253" t="str">
            <v>Rosales Household</v>
          </cell>
          <cell r="D2253" t="str">
            <v>Rony Rosales</v>
          </cell>
        </row>
        <row r="2254">
          <cell r="C2254" t="str">
            <v>Rosanro SA Household</v>
          </cell>
          <cell r="D2254" t="str">
            <v>Luis Fernando Rosanro SA</v>
          </cell>
        </row>
        <row r="2255">
          <cell r="C2255" t="str">
            <v>Rosas Household</v>
          </cell>
          <cell r="D2255" t="str">
            <v>Victor Rosas</v>
          </cell>
        </row>
        <row r="2256">
          <cell r="C2256" t="str">
            <v>Roux Household</v>
          </cell>
          <cell r="D2256" t="str">
            <v>Gabriel Roux</v>
          </cell>
        </row>
        <row r="2257">
          <cell r="C2257" t="str">
            <v>Rubio Household</v>
          </cell>
          <cell r="D2257" t="str">
            <v>Elizabeth Rubio</v>
          </cell>
        </row>
        <row r="2258">
          <cell r="C2258" t="str">
            <v>Rueda Household</v>
          </cell>
          <cell r="D2258" t="str">
            <v>Jorge Rueda</v>
          </cell>
          <cell r="F2258" t="str">
            <v>6998-4558</v>
          </cell>
        </row>
        <row r="2259">
          <cell r="C2259" t="str">
            <v>Ruiz Household</v>
          </cell>
          <cell r="D2259" t="str">
            <v>Daniel Ruiz</v>
          </cell>
        </row>
        <row r="2260">
          <cell r="C2260" t="str">
            <v>Ruiz Household</v>
          </cell>
          <cell r="D2260" t="str">
            <v>Gisselle Ruiz</v>
          </cell>
        </row>
        <row r="2261">
          <cell r="C2261" t="str">
            <v>Ruiz Household</v>
          </cell>
          <cell r="D2261" t="str">
            <v>Libni Ruiz</v>
          </cell>
        </row>
        <row r="2262">
          <cell r="C2262" t="str">
            <v>Ruiz Household</v>
          </cell>
          <cell r="D2262" t="str">
            <v>Sarai Ruiz</v>
          </cell>
        </row>
        <row r="2263">
          <cell r="C2263" t="str">
            <v>Saez Household</v>
          </cell>
          <cell r="D2263" t="str">
            <v>Junior Saez</v>
          </cell>
        </row>
        <row r="2264">
          <cell r="C2264" t="str">
            <v>SAKER Household</v>
          </cell>
          <cell r="D2264" t="str">
            <v>Nur SAKER</v>
          </cell>
        </row>
        <row r="2265">
          <cell r="C2265" t="str">
            <v>Salazar Household</v>
          </cell>
          <cell r="D2265" t="str">
            <v>Ruben Salazar</v>
          </cell>
        </row>
        <row r="2266">
          <cell r="C2266" t="str">
            <v>Saldaña Household</v>
          </cell>
          <cell r="D2266" t="str">
            <v>Christian Saldaña</v>
          </cell>
        </row>
        <row r="2267">
          <cell r="C2267" t="str">
            <v>Saldaña Household</v>
          </cell>
          <cell r="D2267" t="str">
            <v>HUMBERTO SALDAÑA</v>
          </cell>
        </row>
        <row r="2268">
          <cell r="C2268" t="str">
            <v>Saldaña Household</v>
          </cell>
          <cell r="D2268" t="str">
            <v>Mery Saldaña</v>
          </cell>
        </row>
        <row r="2269">
          <cell r="C2269" t="str">
            <v>Salomón Household</v>
          </cell>
          <cell r="D2269" t="str">
            <v>Andrea Salomón</v>
          </cell>
        </row>
        <row r="2270">
          <cell r="C2270" t="str">
            <v>Saltaren Household</v>
          </cell>
          <cell r="D2270" t="str">
            <v>Marco Andres Saltaren</v>
          </cell>
        </row>
        <row r="2271">
          <cell r="C2271" t="str">
            <v>Saltarén Household</v>
          </cell>
          <cell r="D2271" t="str">
            <v>Marco Andrés Saltarén</v>
          </cell>
        </row>
        <row r="2272">
          <cell r="C2272" t="str">
            <v>Salvamar Household</v>
          </cell>
          <cell r="D2272" t="str">
            <v>Digna Salvamar</v>
          </cell>
          <cell r="F2272" t="str">
            <v>66702354</v>
          </cell>
        </row>
        <row r="2273">
          <cell r="C2273" t="str">
            <v>Samaniego Household</v>
          </cell>
          <cell r="D2273" t="str">
            <v>Ericka Samaniego</v>
          </cell>
        </row>
        <row r="2274">
          <cell r="C2274" t="str">
            <v>Samaniego San Judas tadeo Household</v>
          </cell>
          <cell r="D2274" t="str">
            <v>ericka Samaniego San Judas tadeo</v>
          </cell>
        </row>
        <row r="2275">
          <cell r="C2275" t="str">
            <v>Samniego C. SAN JUDAS TADEO Household</v>
          </cell>
          <cell r="D2275" t="str">
            <v>Ericka Samniego C. SAN JUDAS TADEO</v>
          </cell>
        </row>
        <row r="2276">
          <cell r="C2276" t="str">
            <v>Samudio Household</v>
          </cell>
          <cell r="D2276" t="str">
            <v>Ivonne Samudio</v>
          </cell>
        </row>
        <row r="2277">
          <cell r="C2277" t="str">
            <v>Samudio Household</v>
          </cell>
          <cell r="D2277" t="str">
            <v>Karoline Samudio</v>
          </cell>
        </row>
        <row r="2278">
          <cell r="C2278" t="str">
            <v>Samudio Pedidos Ya Household</v>
          </cell>
          <cell r="D2278" t="str">
            <v>Mariagne Samudio Pedidos Ya</v>
          </cell>
        </row>
        <row r="2279">
          <cell r="C2279" t="str">
            <v>Samuel Marga Household</v>
          </cell>
          <cell r="D2279" t="str">
            <v>COMEDOR NUEVO PACTO ARCO IRIS Samuel Marga</v>
          </cell>
        </row>
        <row r="2280">
          <cell r="C2280" t="str">
            <v>San Lucas Household</v>
          </cell>
          <cell r="D2280" t="str">
            <v>Parroquia San Lucas</v>
          </cell>
        </row>
        <row r="2281">
          <cell r="C2281" t="str">
            <v>Sánchez Fundación Alberto Motta Household</v>
          </cell>
          <cell r="D2281" t="str">
            <v>Marta Sánchez Fundación Alberto Motta</v>
          </cell>
        </row>
        <row r="2282">
          <cell r="C2282" t="str">
            <v>Sanchez Household</v>
          </cell>
          <cell r="D2282" t="str">
            <v>Alejandra SANCHEZ</v>
          </cell>
        </row>
        <row r="2283">
          <cell r="C2283" t="str">
            <v>Sanchez Household</v>
          </cell>
          <cell r="D2283" t="str">
            <v>Alina Sanchez</v>
          </cell>
        </row>
        <row r="2284">
          <cell r="C2284" t="str">
            <v>Sanchez Household</v>
          </cell>
          <cell r="D2284" t="str">
            <v>Erik Sanchez</v>
          </cell>
        </row>
        <row r="2285">
          <cell r="C2285" t="str">
            <v>Sanchez Household</v>
          </cell>
          <cell r="D2285" t="str">
            <v>Griselle Sanchez</v>
          </cell>
        </row>
        <row r="2286">
          <cell r="C2286" t="str">
            <v>Sanchez Household</v>
          </cell>
          <cell r="D2286" t="str">
            <v>Jackeline Sanchez</v>
          </cell>
        </row>
        <row r="2287">
          <cell r="C2287" t="str">
            <v>Sanchez Household</v>
          </cell>
          <cell r="D2287" t="str">
            <v>Kendall Sanchez</v>
          </cell>
        </row>
        <row r="2288">
          <cell r="C2288" t="str">
            <v>Sanchez Household</v>
          </cell>
          <cell r="D2288" t="str">
            <v>Nellys Sanchez</v>
          </cell>
        </row>
        <row r="2289">
          <cell r="C2289" t="str">
            <v>Sanchez Household</v>
          </cell>
          <cell r="D2289" t="str">
            <v>NIDIA SANCHEZ</v>
          </cell>
        </row>
        <row r="2290">
          <cell r="C2290" t="str">
            <v>Sanchez Household</v>
          </cell>
          <cell r="D2290" t="str">
            <v>YEYTZA SANCHEZ</v>
          </cell>
        </row>
        <row r="2291">
          <cell r="C2291" t="str">
            <v>Sánchez Household</v>
          </cell>
          <cell r="D2291" t="str">
            <v>Ana Victoria Sánchez</v>
          </cell>
        </row>
        <row r="2292">
          <cell r="C2292" t="str">
            <v>Sánchez Household</v>
          </cell>
          <cell r="D2292" t="str">
            <v>Fátima Sánchez</v>
          </cell>
        </row>
        <row r="2293">
          <cell r="C2293" t="str">
            <v>Sánchez Household</v>
          </cell>
          <cell r="D2293" t="str">
            <v>Gabriela Sánchez</v>
          </cell>
        </row>
        <row r="2294">
          <cell r="C2294" t="str">
            <v>Sánchez Household</v>
          </cell>
          <cell r="D2294" t="str">
            <v>Lorena Sánchez</v>
          </cell>
        </row>
        <row r="2295">
          <cell r="C2295" t="str">
            <v>Sánchez Household</v>
          </cell>
          <cell r="D2295" t="str">
            <v>Osvaldo Sánchez</v>
          </cell>
        </row>
        <row r="2296">
          <cell r="C2296" t="str">
            <v>Sánchez Household</v>
          </cell>
          <cell r="D2296" t="str">
            <v>Yajaira Sánchez</v>
          </cell>
        </row>
        <row r="2297">
          <cell r="C2297" t="str">
            <v>SANDOVAL Household</v>
          </cell>
          <cell r="D2297" t="str">
            <v>LIRA SANDOVAL</v>
          </cell>
        </row>
        <row r="2298">
          <cell r="C2298" t="str">
            <v>Sanford Household</v>
          </cell>
          <cell r="D2298" t="str">
            <v>Vielka Sanford</v>
          </cell>
        </row>
        <row r="2299">
          <cell r="C2299" t="str">
            <v>Sanjur Household</v>
          </cell>
          <cell r="D2299" t="str">
            <v>Elixandri Sanjur</v>
          </cell>
        </row>
        <row r="2300">
          <cell r="C2300" t="str">
            <v>Sanjur Household</v>
          </cell>
          <cell r="D2300" t="str">
            <v>Yarenis Sanjur</v>
          </cell>
        </row>
        <row r="2301">
          <cell r="C2301" t="str">
            <v>Santamaria Household</v>
          </cell>
          <cell r="D2301" t="str">
            <v>Madelaine Santamaria</v>
          </cell>
        </row>
        <row r="2302">
          <cell r="C2302" t="str">
            <v>Santamaria Household</v>
          </cell>
          <cell r="D2302" t="str">
            <v>Omar Santamaria</v>
          </cell>
        </row>
        <row r="2303">
          <cell r="C2303" t="str">
            <v>Santimateo Household</v>
          </cell>
          <cell r="D2303" t="str">
            <v>Abel Santimateo</v>
          </cell>
        </row>
        <row r="2304">
          <cell r="C2304" t="str">
            <v>Santimateo Household</v>
          </cell>
          <cell r="D2304" t="str">
            <v>Sumaya Santimateo</v>
          </cell>
        </row>
        <row r="2305">
          <cell r="C2305" t="str">
            <v>Santos De Leon Household</v>
          </cell>
          <cell r="D2305" t="str">
            <v>Angel Santos De Leon</v>
          </cell>
        </row>
        <row r="2306">
          <cell r="C2306" t="str">
            <v>Santos Household</v>
          </cell>
          <cell r="D2306" t="str">
            <v>Argelis Santos</v>
          </cell>
        </row>
        <row r="2307">
          <cell r="C2307" t="str">
            <v>Santos Household</v>
          </cell>
          <cell r="D2307" t="str">
            <v>Arturo Santos</v>
          </cell>
        </row>
        <row r="2308">
          <cell r="C2308" t="str">
            <v>Santos Household</v>
          </cell>
          <cell r="D2308" t="str">
            <v>Benjamin Santos</v>
          </cell>
        </row>
        <row r="2309">
          <cell r="C2309" t="str">
            <v>Santos Household</v>
          </cell>
          <cell r="D2309" t="str">
            <v>Cemiramis Santos</v>
          </cell>
        </row>
        <row r="2310">
          <cell r="C2310" t="str">
            <v>Santos Household</v>
          </cell>
          <cell r="D2310" t="str">
            <v>Evelyn Santo Santos</v>
          </cell>
        </row>
        <row r="2311">
          <cell r="C2311" t="str">
            <v>Santos Household</v>
          </cell>
          <cell r="D2311" t="str">
            <v>Limor santos</v>
          </cell>
        </row>
        <row r="2312">
          <cell r="C2312" t="str">
            <v>Santos Household</v>
          </cell>
          <cell r="D2312" t="str">
            <v>Rolando Santos</v>
          </cell>
        </row>
        <row r="2313">
          <cell r="C2313" t="str">
            <v>Santos Household</v>
          </cell>
          <cell r="D2313" t="str">
            <v>Vidalina Santos</v>
          </cell>
        </row>
        <row r="2314">
          <cell r="C2314" t="str">
            <v>Santos Household</v>
          </cell>
          <cell r="D2314" t="str">
            <v>Vimarie Santos</v>
          </cell>
        </row>
        <row r="2315">
          <cell r="C2315" t="str">
            <v>SANTOS LUNA C. San Vicente de Paul Household</v>
          </cell>
          <cell r="D2315" t="str">
            <v>SOPHIA SANTOS LUNA C. San Vicente de Paul</v>
          </cell>
        </row>
        <row r="2316">
          <cell r="C2316" t="str">
            <v>saucedo Household</v>
          </cell>
          <cell r="D2316" t="str">
            <v>johny saucedo</v>
          </cell>
        </row>
        <row r="2317">
          <cell r="C2317" t="str">
            <v>Saval Household</v>
          </cell>
          <cell r="D2317" t="str">
            <v>Javier Saval</v>
          </cell>
        </row>
        <row r="2318">
          <cell r="C2318" t="str">
            <v>Schaper Household</v>
          </cell>
          <cell r="D2318" t="str">
            <v>Marta Schaper</v>
          </cell>
          <cell r="F2318" t="str">
            <v>6679-7249</v>
          </cell>
        </row>
        <row r="2319">
          <cell r="C2319" t="str">
            <v>Schmidth Household</v>
          </cell>
          <cell r="D2319" t="str">
            <v>Indira Schmidth</v>
          </cell>
        </row>
        <row r="2320">
          <cell r="C2320" t="str">
            <v>School of Panama Household</v>
          </cell>
          <cell r="D2320" t="str">
            <v>Metropolitan School of Panama</v>
          </cell>
        </row>
        <row r="2321">
          <cell r="C2321" t="str">
            <v>Scocca EPA Household</v>
          </cell>
          <cell r="D2321" t="str">
            <v>Gabriella Scocca EPA</v>
          </cell>
        </row>
        <row r="2322">
          <cell r="C2322" t="str">
            <v>Scott Household</v>
          </cell>
          <cell r="D2322" t="str">
            <v>Yesbell Scott</v>
          </cell>
        </row>
        <row r="2323">
          <cell r="C2323" t="str">
            <v>Scott Ward Household</v>
          </cell>
          <cell r="D2323" t="str">
            <v>Cynthia Scott Ward</v>
          </cell>
        </row>
        <row r="2324">
          <cell r="C2324" t="str">
            <v>Scull Household</v>
          </cell>
          <cell r="D2324" t="str">
            <v>Wendolyn Scull</v>
          </cell>
        </row>
        <row r="2325">
          <cell r="C2325" t="str">
            <v>Segura Household</v>
          </cell>
          <cell r="D2325" t="str">
            <v>Josamed Segura</v>
          </cell>
        </row>
        <row r="2326">
          <cell r="C2326" t="str">
            <v>Segura Household</v>
          </cell>
          <cell r="D2326" t="str">
            <v>Yazmari Segura</v>
          </cell>
        </row>
        <row r="2327">
          <cell r="C2327" t="str">
            <v>Sepes Oxford Household</v>
          </cell>
          <cell r="D2327" t="str">
            <v>Maria Antonieta Sepes Oxford</v>
          </cell>
        </row>
        <row r="2328">
          <cell r="C2328" t="str">
            <v>Serrano Household</v>
          </cell>
          <cell r="D2328" t="str">
            <v>CRISTINA SERRANO</v>
          </cell>
        </row>
        <row r="2329">
          <cell r="C2329" t="str">
            <v>Serrano Household</v>
          </cell>
          <cell r="D2329" t="str">
            <v>Juan Eliecer Serrano</v>
          </cell>
        </row>
        <row r="2330">
          <cell r="C2330" t="str">
            <v>Shee Instituto Cristo de los Milagros Household</v>
          </cell>
          <cell r="D2330" t="str">
            <v>Ana Lucía Shee Instituto Cristo de los Milagros</v>
          </cell>
        </row>
        <row r="2331">
          <cell r="C2331" t="str">
            <v>Shehadeh Household</v>
          </cell>
          <cell r="D2331" t="str">
            <v>Dayana Shehadeh</v>
          </cell>
        </row>
        <row r="2332">
          <cell r="C2332" t="str">
            <v>ShEPPAT Household</v>
          </cell>
          <cell r="D2332" t="str">
            <v>MARIA ALEXANDRA ShEPPAT</v>
          </cell>
        </row>
        <row r="2333">
          <cell r="C2333" t="str">
            <v>Sheth Household</v>
          </cell>
          <cell r="D2333" t="str">
            <v>Umayma Sheth</v>
          </cell>
        </row>
        <row r="2334">
          <cell r="C2334" t="str">
            <v>Shool Household</v>
          </cell>
          <cell r="D2334" t="str">
            <v>Panamerican Shool</v>
          </cell>
        </row>
        <row r="2335">
          <cell r="C2335" t="str">
            <v>Sierra Household</v>
          </cell>
          <cell r="D2335" t="str">
            <v>Gislaine Sierra</v>
          </cell>
        </row>
        <row r="2336">
          <cell r="C2336" t="str">
            <v>Sierra Isaac BRADER Household</v>
          </cell>
          <cell r="D2336" t="str">
            <v>Felipe Sierra Isaac BRADER</v>
          </cell>
        </row>
        <row r="2337">
          <cell r="C2337" t="str">
            <v>SILVA Household</v>
          </cell>
          <cell r="D2337" t="str">
            <v>Edualis SILVA</v>
          </cell>
        </row>
        <row r="2338">
          <cell r="C2338" t="str">
            <v>SILVA Household</v>
          </cell>
          <cell r="D2338" t="str">
            <v>GABRIEL SILVA</v>
          </cell>
        </row>
        <row r="2339">
          <cell r="C2339" t="str">
            <v>SILVA Household</v>
          </cell>
          <cell r="D2339" t="str">
            <v>Roger Silva</v>
          </cell>
        </row>
        <row r="2340">
          <cell r="C2340" t="str">
            <v>SILVA Household</v>
          </cell>
          <cell r="D2340" t="str">
            <v>Sinergie Silva</v>
          </cell>
        </row>
        <row r="2341">
          <cell r="C2341" t="str">
            <v>simone Household</v>
          </cell>
          <cell r="D2341" t="str">
            <v>Antonio simone</v>
          </cell>
        </row>
        <row r="2342">
          <cell r="C2342" t="str">
            <v>Singares Household</v>
          </cell>
          <cell r="D2342" t="str">
            <v>Carlos Singares</v>
          </cell>
        </row>
        <row r="2343">
          <cell r="C2343" t="str">
            <v>Sinisterra Household</v>
          </cell>
          <cell r="D2343" t="str">
            <v>León Sinisterra</v>
          </cell>
        </row>
        <row r="2344">
          <cell r="C2344" t="str">
            <v>Siu and Cordoba Household</v>
          </cell>
          <cell r="D2344" t="str">
            <v>Rafael Siu</v>
          </cell>
        </row>
        <row r="2345">
          <cell r="C2345" t="str">
            <v>SMITH Household</v>
          </cell>
          <cell r="D2345" t="str">
            <v>MICHELLE SMITH</v>
          </cell>
        </row>
        <row r="2346">
          <cell r="C2346" t="str">
            <v>Sofía Valencia Las Esclavas Household</v>
          </cell>
          <cell r="D2346" t="str">
            <v>María Sofía Valencia Las Esclavas</v>
          </cell>
        </row>
        <row r="2347">
          <cell r="C2347" t="str">
            <v>Solis Household</v>
          </cell>
          <cell r="D2347" t="str">
            <v>Brithany Solis</v>
          </cell>
        </row>
        <row r="2348">
          <cell r="C2348" t="str">
            <v>Solis Household</v>
          </cell>
          <cell r="D2348" t="str">
            <v>ISABEL SOLIS</v>
          </cell>
        </row>
        <row r="2349">
          <cell r="C2349" t="str">
            <v>Solís Household</v>
          </cell>
          <cell r="D2349" t="str">
            <v>Luis Solís</v>
          </cell>
        </row>
        <row r="2350">
          <cell r="C2350" t="str">
            <v>SOSA Household</v>
          </cell>
          <cell r="D2350" t="str">
            <v>BOLIVAR SOSA</v>
          </cell>
        </row>
        <row r="2351">
          <cell r="C2351" t="str">
            <v>SOTO Household</v>
          </cell>
          <cell r="D2351" t="str">
            <v>EDUARDO SOTO</v>
          </cell>
        </row>
        <row r="2352">
          <cell r="C2352" t="str">
            <v>SOTO Household</v>
          </cell>
          <cell r="D2352" t="str">
            <v>Enilda Soto</v>
          </cell>
        </row>
        <row r="2353">
          <cell r="C2353" t="str">
            <v>SOTO Household</v>
          </cell>
          <cell r="D2353" t="str">
            <v>Milagros Soto</v>
          </cell>
        </row>
        <row r="2354">
          <cell r="C2354" t="str">
            <v>SOTO Household</v>
          </cell>
          <cell r="D2354" t="str">
            <v>Samanta Soto</v>
          </cell>
        </row>
        <row r="2355">
          <cell r="C2355" t="str">
            <v>SOTO Household</v>
          </cell>
          <cell r="D2355" t="str">
            <v>Silvio Soto</v>
          </cell>
          <cell r="F2355" t="str">
            <v>6851-1930</v>
          </cell>
        </row>
        <row r="2356">
          <cell r="C2356" t="str">
            <v>SPIRITO MADURO Household</v>
          </cell>
          <cell r="D2356" t="str">
            <v>GIOVANNI A. SPIRITO MADURO</v>
          </cell>
        </row>
        <row r="2357">
          <cell r="C2357" t="str">
            <v>Stanziola Household</v>
          </cell>
          <cell r="D2357" t="str">
            <v>Stachel Stanziola</v>
          </cell>
        </row>
        <row r="2358">
          <cell r="C2358" t="str">
            <v>Stefano Household</v>
          </cell>
          <cell r="D2358" t="str">
            <v>Luigi Stefano</v>
          </cell>
        </row>
        <row r="2359">
          <cell r="C2359" t="str">
            <v>Stoppello Household</v>
          </cell>
          <cell r="D2359" t="str">
            <v>Rafael Stoppello</v>
          </cell>
        </row>
        <row r="2360">
          <cell r="C2360" t="str">
            <v>Suárez Household</v>
          </cell>
          <cell r="D2360" t="str">
            <v>Maria Suárez</v>
          </cell>
        </row>
        <row r="2361">
          <cell r="C2361" t="str">
            <v>Subway Household</v>
          </cell>
          <cell r="D2361" t="str">
            <v>Rose Subway</v>
          </cell>
        </row>
        <row r="2362">
          <cell r="C2362" t="str">
            <v>Szczur Rios Household</v>
          </cell>
          <cell r="D2362" t="str">
            <v>Jorge Szczur Rios</v>
          </cell>
        </row>
        <row r="2363">
          <cell r="C2363" t="str">
            <v>Tam Household</v>
          </cell>
          <cell r="D2363" t="str">
            <v>Fairene Tam</v>
          </cell>
        </row>
        <row r="2364">
          <cell r="C2364" t="str">
            <v>Tapia Household</v>
          </cell>
          <cell r="D2364" t="str">
            <v>Yan Tapia</v>
          </cell>
        </row>
        <row r="2365">
          <cell r="C2365" t="str">
            <v>Tauro Household</v>
          </cell>
          <cell r="D2365" t="str">
            <v>Equipo de Fútbol Tauro</v>
          </cell>
        </row>
        <row r="2366">
          <cell r="C2366" t="str">
            <v>Taylor Household</v>
          </cell>
          <cell r="D2366" t="str">
            <v>Christian Maxwell Taylor</v>
          </cell>
        </row>
        <row r="2367">
          <cell r="C2367" t="str">
            <v>Tedeschi Household</v>
          </cell>
          <cell r="D2367" t="str">
            <v>Sara Tedeschi</v>
          </cell>
        </row>
        <row r="2368">
          <cell r="C2368" t="str">
            <v>Teixeira Household</v>
          </cell>
          <cell r="D2368" t="str">
            <v>Daniela Teixeira</v>
          </cell>
        </row>
        <row r="2369">
          <cell r="C2369" t="str">
            <v>TEJADA C. San Vicente de Paul Household</v>
          </cell>
          <cell r="D2369" t="str">
            <v>ASHLEY TEJADA C. San Vicente de Paul</v>
          </cell>
        </row>
        <row r="2370">
          <cell r="C2370" t="str">
            <v>Tejada Household</v>
          </cell>
          <cell r="D2370" t="str">
            <v>Angel Tejada</v>
          </cell>
        </row>
        <row r="2371">
          <cell r="C2371" t="str">
            <v>Tejada Household</v>
          </cell>
          <cell r="D2371" t="str">
            <v>Shadday tejada</v>
          </cell>
        </row>
        <row r="2372">
          <cell r="C2372" t="str">
            <v>Tejeira Household</v>
          </cell>
          <cell r="D2372" t="str">
            <v>Dolia Tejeira</v>
          </cell>
        </row>
        <row r="2373">
          <cell r="C2373" t="str">
            <v>Teleska Tuñon Household</v>
          </cell>
          <cell r="D2373" t="str">
            <v>Caja de Ahorros Teleska Tuñon</v>
          </cell>
        </row>
        <row r="2374">
          <cell r="C2374" t="str">
            <v>Tello Household</v>
          </cell>
          <cell r="D2374" t="str">
            <v>Jose Tello</v>
          </cell>
        </row>
        <row r="2375">
          <cell r="C2375" t="str">
            <v>Tello Household</v>
          </cell>
          <cell r="D2375" t="str">
            <v>José Tello</v>
          </cell>
        </row>
        <row r="2376">
          <cell r="C2376" t="str">
            <v>Tenorio Household</v>
          </cell>
          <cell r="D2376" t="str">
            <v>Keyli Tenorio</v>
          </cell>
        </row>
        <row r="2377">
          <cell r="C2377" t="str">
            <v>Teresa Altuna Household</v>
          </cell>
          <cell r="D2377" t="str">
            <v>Diana Teresa Altuna</v>
          </cell>
        </row>
        <row r="2378">
          <cell r="C2378" t="str">
            <v>Tibi Household</v>
          </cell>
          <cell r="D2378" t="str">
            <v>Yoav Tibi</v>
          </cell>
        </row>
        <row r="2379">
          <cell r="C2379" t="str">
            <v>TIUSABA Household</v>
          </cell>
          <cell r="D2379" t="str">
            <v>NELSON TIUSABA</v>
          </cell>
        </row>
        <row r="2380">
          <cell r="C2380" t="str">
            <v>Toribio Household</v>
          </cell>
          <cell r="D2380" t="str">
            <v>Alfredo Toribio</v>
          </cell>
        </row>
        <row r="2381">
          <cell r="C2381" t="str">
            <v>Toribio Household</v>
          </cell>
          <cell r="D2381" t="str">
            <v>Aquilino Toribio</v>
          </cell>
        </row>
        <row r="2382">
          <cell r="C2382" t="str">
            <v>TORRERO Household</v>
          </cell>
          <cell r="D2382" t="str">
            <v>ERIKA TORRERO</v>
          </cell>
        </row>
        <row r="2383">
          <cell r="C2383" t="str">
            <v>Torres Household</v>
          </cell>
          <cell r="D2383" t="str">
            <v>Angela Torres</v>
          </cell>
          <cell r="F2383" t="str">
            <v>6595-6599</v>
          </cell>
        </row>
        <row r="2384">
          <cell r="C2384" t="str">
            <v>Torres Household</v>
          </cell>
          <cell r="D2384" t="str">
            <v>Gonzalo Torres</v>
          </cell>
        </row>
        <row r="2385">
          <cell r="C2385" t="str">
            <v>Torres Household</v>
          </cell>
          <cell r="D2385" t="str">
            <v>Madelene Torres</v>
          </cell>
        </row>
        <row r="2386">
          <cell r="C2386" t="str">
            <v>Torres Household</v>
          </cell>
          <cell r="D2386" t="str">
            <v>Nelissa Torres</v>
          </cell>
        </row>
        <row r="2387">
          <cell r="C2387" t="str">
            <v>Torres Household</v>
          </cell>
          <cell r="D2387" t="str">
            <v>Paola Torres</v>
          </cell>
        </row>
        <row r="2388">
          <cell r="C2388" t="str">
            <v>TOVAR Household</v>
          </cell>
          <cell r="D2388" t="str">
            <v>CATHERINE TOVAR</v>
          </cell>
        </row>
        <row r="2389">
          <cell r="C2389" t="str">
            <v>TOVAR Household</v>
          </cell>
          <cell r="D2389" t="str">
            <v>Cesar Tovar</v>
          </cell>
        </row>
        <row r="2390">
          <cell r="C2390" t="str">
            <v>TRIBALDOS Household</v>
          </cell>
          <cell r="D2390" t="str">
            <v>ISABELLA TRIBALDOS</v>
          </cell>
        </row>
        <row r="2391">
          <cell r="C2391" t="str">
            <v>Triguero Household</v>
          </cell>
          <cell r="D2391" t="str">
            <v>Katherine Triguero</v>
          </cell>
        </row>
        <row r="2392">
          <cell r="C2392" t="str">
            <v>Tristán Household</v>
          </cell>
          <cell r="D2392" t="str">
            <v>Ian Tristán</v>
          </cell>
        </row>
        <row r="2393">
          <cell r="C2393" t="str">
            <v>TRONCOSO Household</v>
          </cell>
          <cell r="D2393" t="str">
            <v>YESENIA TRONCOSO</v>
          </cell>
          <cell r="F2393" t="str">
            <v>6780 3817</v>
          </cell>
        </row>
        <row r="2394">
          <cell r="C2394" t="str">
            <v>Trujillo Household</v>
          </cell>
          <cell r="D2394" t="str">
            <v>Milkis Trujillo</v>
          </cell>
        </row>
        <row r="2395">
          <cell r="C2395" t="str">
            <v>Truzman Household</v>
          </cell>
          <cell r="D2395" t="str">
            <v>Karen Truzman</v>
          </cell>
        </row>
        <row r="2396">
          <cell r="C2396" t="str">
            <v>Tuñon Household</v>
          </cell>
          <cell r="D2396" t="str">
            <v>Sharoll Tuñon</v>
          </cell>
        </row>
        <row r="2397">
          <cell r="C2397" t="str">
            <v>Tuñón Household</v>
          </cell>
          <cell r="D2397" t="str">
            <v>Teleska Tuñón</v>
          </cell>
        </row>
        <row r="2398">
          <cell r="C2398" t="str">
            <v>Urbanc Household</v>
          </cell>
          <cell r="D2398" t="str">
            <v>Maria Gabriela Urbanc</v>
          </cell>
          <cell r="F2398" t="str">
            <v>6655-5326</v>
          </cell>
        </row>
        <row r="2399">
          <cell r="C2399" t="str">
            <v>Urbanc Household</v>
          </cell>
          <cell r="D2399" t="str">
            <v>María Gabriela Urbanc</v>
          </cell>
          <cell r="F2399" t="str">
            <v>6655-5326</v>
          </cell>
        </row>
        <row r="2400">
          <cell r="C2400" t="str">
            <v>Ureña Convergint Household</v>
          </cell>
          <cell r="D2400" t="str">
            <v>Olga Ureña Convergint</v>
          </cell>
        </row>
        <row r="2401">
          <cell r="C2401" t="str">
            <v>Ureña Household</v>
          </cell>
          <cell r="D2401" t="str">
            <v>Fernando Ureña</v>
          </cell>
        </row>
        <row r="2402">
          <cell r="C2402" t="str">
            <v>Ureña Household</v>
          </cell>
          <cell r="D2402" t="str">
            <v>Jennifer Ureña</v>
          </cell>
        </row>
        <row r="2403">
          <cell r="C2403" t="str">
            <v>Urrieta Household</v>
          </cell>
          <cell r="D2403" t="str">
            <v>Ely Urrieta</v>
          </cell>
        </row>
        <row r="2404">
          <cell r="C2404" t="str">
            <v>Urriola Oxford Household</v>
          </cell>
          <cell r="D2404" t="str">
            <v>Marlon Urriola Oxford</v>
          </cell>
        </row>
        <row r="2405">
          <cell r="C2405" t="str">
            <v>Urrutia Gutierrez Household</v>
          </cell>
          <cell r="D2405" t="str">
            <v>Sebastian Andres Urrutia Gutierrez</v>
          </cell>
        </row>
        <row r="2406">
          <cell r="C2406" t="str">
            <v>Urueña Convergint Household</v>
          </cell>
          <cell r="D2406" t="str">
            <v>Olga Urueña Convergint</v>
          </cell>
        </row>
        <row r="2407">
          <cell r="C2407" t="str">
            <v>Valderrama ITDB Household</v>
          </cell>
          <cell r="D2407" t="str">
            <v>Juliana Valderrama ITDB</v>
          </cell>
        </row>
        <row r="2408">
          <cell r="C2408" t="str">
            <v>Valdes Household</v>
          </cell>
          <cell r="D2408" t="str">
            <v>Leovigilda Valdes</v>
          </cell>
        </row>
        <row r="2409">
          <cell r="C2409" t="str">
            <v>Valdes Household</v>
          </cell>
          <cell r="D2409" t="str">
            <v>SAMAR VALDES</v>
          </cell>
        </row>
        <row r="2410">
          <cell r="C2410" t="str">
            <v>Valdes Household</v>
          </cell>
          <cell r="D2410" t="str">
            <v>Stepany Valdes</v>
          </cell>
        </row>
        <row r="2411">
          <cell r="C2411" t="str">
            <v>Valdes Household</v>
          </cell>
          <cell r="D2411" t="str">
            <v>Stephany Valdes</v>
          </cell>
        </row>
        <row r="2412">
          <cell r="C2412" t="str">
            <v>VALDEZ Household</v>
          </cell>
          <cell r="D2412" t="str">
            <v>ASHLEY VALDEZ</v>
          </cell>
        </row>
        <row r="2413">
          <cell r="C2413" t="str">
            <v>VALDEZ Household</v>
          </cell>
          <cell r="D2413" t="str">
            <v>Yariela Valdez</v>
          </cell>
        </row>
        <row r="2414">
          <cell r="C2414" t="str">
            <v>Valdéz Household</v>
          </cell>
          <cell r="D2414" t="str">
            <v>Winifred Valdéz</v>
          </cell>
        </row>
        <row r="2415">
          <cell r="C2415" t="str">
            <v>Valencia C.LAS ESCLAVAS Household</v>
          </cell>
          <cell r="D2415" t="str">
            <v>Nathalia Valencia C.LAS ESCLAVAS</v>
          </cell>
        </row>
        <row r="2416">
          <cell r="C2416" t="str">
            <v>Valencia Household</v>
          </cell>
          <cell r="D2416" t="str">
            <v>Mersha Valencia</v>
          </cell>
        </row>
        <row r="2417">
          <cell r="C2417" t="str">
            <v>Valencia Las Esclavas Household</v>
          </cell>
          <cell r="D2417" t="str">
            <v>Natalia Valencia Las Esclavas</v>
          </cell>
        </row>
        <row r="2418">
          <cell r="C2418" t="str">
            <v>Valerin Household</v>
          </cell>
          <cell r="D2418" t="str">
            <v>Edgar Valerin</v>
          </cell>
        </row>
        <row r="2419">
          <cell r="C2419" t="str">
            <v>Vallarino Household</v>
          </cell>
          <cell r="D2419" t="str">
            <v>Marisol Vallarino</v>
          </cell>
        </row>
        <row r="2420">
          <cell r="C2420" t="str">
            <v>VAN DER BELDEN Household</v>
          </cell>
          <cell r="D2420" t="str">
            <v>ALEC VAN DER BELDEN</v>
          </cell>
        </row>
        <row r="2421">
          <cell r="C2421" t="str">
            <v>Vander Werf Household</v>
          </cell>
          <cell r="D2421" t="str">
            <v>Nicole Vander Werf</v>
          </cell>
        </row>
        <row r="2422">
          <cell r="C2422" t="str">
            <v>Vanegas Household</v>
          </cell>
          <cell r="D2422" t="str">
            <v>Jose Angel Vanegas</v>
          </cell>
        </row>
        <row r="2423">
          <cell r="C2423" t="str">
            <v>Vanegas Household</v>
          </cell>
          <cell r="D2423" t="str">
            <v>Jose Vanegas</v>
          </cell>
        </row>
        <row r="2424">
          <cell r="C2424" t="str">
            <v>Vanessa Arenas Household</v>
          </cell>
          <cell r="D2424" t="str">
            <v>Hero Digital Vanessa Arenas</v>
          </cell>
        </row>
        <row r="2425">
          <cell r="C2425" t="str">
            <v>VARELA Household</v>
          </cell>
          <cell r="D2425" t="str">
            <v>Ana Varela</v>
          </cell>
        </row>
        <row r="2426">
          <cell r="C2426" t="str">
            <v>VARELA Household</v>
          </cell>
          <cell r="D2426" t="str">
            <v>VALENTINA VARELA</v>
          </cell>
        </row>
        <row r="2427">
          <cell r="C2427" t="str">
            <v>Vargas Berroa Household</v>
          </cell>
          <cell r="D2427" t="str">
            <v>Mariana Vargas Berroa</v>
          </cell>
        </row>
        <row r="2428">
          <cell r="C2428" t="str">
            <v>Vargas Household</v>
          </cell>
          <cell r="D2428" t="str">
            <v>Karen Vargas</v>
          </cell>
        </row>
        <row r="2429">
          <cell r="C2429" t="str">
            <v>Vargas Household</v>
          </cell>
          <cell r="D2429" t="str">
            <v>Maria del Rosario Vargas</v>
          </cell>
        </row>
        <row r="2430">
          <cell r="C2430" t="str">
            <v>Vargas Household</v>
          </cell>
          <cell r="D2430" t="str">
            <v>Sara Vargas</v>
          </cell>
        </row>
        <row r="2431">
          <cell r="C2431" t="str">
            <v>Vargas Household</v>
          </cell>
          <cell r="D2431" t="str">
            <v>Thays Vargas</v>
          </cell>
        </row>
        <row r="2432">
          <cell r="C2432" t="str">
            <v>Vargas TVN Household</v>
          </cell>
          <cell r="D2432" t="str">
            <v>Jose Vargas TVN</v>
          </cell>
        </row>
        <row r="2433">
          <cell r="C2433" t="str">
            <v>vasquez cunningham Household</v>
          </cell>
          <cell r="D2433" t="str">
            <v>Margaret vasquez cunningham</v>
          </cell>
        </row>
        <row r="2434">
          <cell r="C2434" t="str">
            <v>VASQUEZ Household</v>
          </cell>
          <cell r="D2434" t="str">
            <v>Diego Vasquez</v>
          </cell>
        </row>
        <row r="2435">
          <cell r="C2435" t="str">
            <v>VASQUEZ Household</v>
          </cell>
          <cell r="D2435" t="str">
            <v>JOSE MANUEL VASQUEZ</v>
          </cell>
        </row>
        <row r="2436">
          <cell r="C2436" t="str">
            <v>Vásquez Household</v>
          </cell>
          <cell r="D2436" t="str">
            <v>Johana Vásquez</v>
          </cell>
        </row>
        <row r="2437">
          <cell r="C2437" t="str">
            <v>Vásquez Household</v>
          </cell>
          <cell r="D2437" t="str">
            <v>José Manuel Vásquez</v>
          </cell>
        </row>
        <row r="2438">
          <cell r="C2438" t="str">
            <v>Vásquez Household</v>
          </cell>
          <cell r="D2438" t="str">
            <v>Jose Vásquez</v>
          </cell>
        </row>
        <row r="2439">
          <cell r="C2439" t="str">
            <v>Vásquez Household</v>
          </cell>
          <cell r="D2439" t="str">
            <v>Lilibeth Vásquez</v>
          </cell>
        </row>
        <row r="2440">
          <cell r="C2440" t="str">
            <v>Vásquez Household</v>
          </cell>
          <cell r="D2440" t="str">
            <v>LISSETH Vásquez</v>
          </cell>
        </row>
        <row r="2441">
          <cell r="C2441" t="str">
            <v>Vásquez Household</v>
          </cell>
          <cell r="D2441" t="str">
            <v>Vianka Vásquez</v>
          </cell>
        </row>
        <row r="2442">
          <cell r="C2442" t="str">
            <v>Vega BDO Household</v>
          </cell>
          <cell r="D2442" t="str">
            <v>Keily Vega BDO</v>
          </cell>
        </row>
        <row r="2443">
          <cell r="C2443" t="str">
            <v>Vega Castillo Household</v>
          </cell>
          <cell r="D2443" t="str">
            <v>Alejandra Vega Castillo</v>
          </cell>
        </row>
        <row r="2444">
          <cell r="C2444" t="str">
            <v>Vega Household</v>
          </cell>
          <cell r="D2444" t="str">
            <v>ALYAN R VEGA</v>
          </cell>
        </row>
        <row r="2445">
          <cell r="C2445" t="str">
            <v>Vega Household</v>
          </cell>
          <cell r="D2445" t="str">
            <v>Amilcar Vega</v>
          </cell>
        </row>
        <row r="2446">
          <cell r="C2446" t="str">
            <v>Vega Household</v>
          </cell>
          <cell r="D2446" t="str">
            <v>Fredy Vega</v>
          </cell>
        </row>
        <row r="2447">
          <cell r="C2447" t="str">
            <v>Vega Household</v>
          </cell>
          <cell r="D2447" t="str">
            <v>JOHN JAIRO VEGA</v>
          </cell>
        </row>
        <row r="2448">
          <cell r="C2448" t="str">
            <v>Vega Household</v>
          </cell>
          <cell r="D2448" t="str">
            <v>Jose Vega</v>
          </cell>
        </row>
        <row r="2449">
          <cell r="C2449" t="str">
            <v>Vega Household</v>
          </cell>
          <cell r="D2449" t="str">
            <v>josue vega</v>
          </cell>
        </row>
        <row r="2450">
          <cell r="C2450" t="str">
            <v>Vega Household</v>
          </cell>
          <cell r="D2450" t="str">
            <v>Karina Vega</v>
          </cell>
        </row>
        <row r="2451">
          <cell r="C2451" t="str">
            <v>Vega Household</v>
          </cell>
          <cell r="D2451" t="str">
            <v>Luis Vega</v>
          </cell>
        </row>
        <row r="2452">
          <cell r="C2452" t="str">
            <v>Vega Household</v>
          </cell>
          <cell r="D2452" t="str">
            <v>Ninoshka Vega</v>
          </cell>
        </row>
        <row r="2453">
          <cell r="C2453" t="str">
            <v>Vega Household</v>
          </cell>
          <cell r="D2453" t="str">
            <v>Yanelle Vega</v>
          </cell>
        </row>
        <row r="2454">
          <cell r="C2454" t="str">
            <v>Vega Household</v>
          </cell>
          <cell r="D2454" t="str">
            <v>Yelizbeth Vega</v>
          </cell>
        </row>
        <row r="2455">
          <cell r="C2455" t="str">
            <v>Veggie Fresh Household</v>
          </cell>
          <cell r="D2455" t="str">
            <v>Mónica Veggie Fresh</v>
          </cell>
          <cell r="F2455" t="str">
            <v>6982-2147</v>
          </cell>
        </row>
        <row r="2456">
          <cell r="C2456" t="str">
            <v>VeggieFresh Household</v>
          </cell>
          <cell r="D2456" t="str">
            <v>Monica VeggieFresh</v>
          </cell>
          <cell r="F2456" t="str">
            <v>6982-2147</v>
          </cell>
        </row>
        <row r="2457">
          <cell r="C2457" t="str">
            <v>Velasquez Household</v>
          </cell>
          <cell r="D2457" t="str">
            <v>Geneva Velasquez</v>
          </cell>
        </row>
        <row r="2458">
          <cell r="C2458" t="str">
            <v>Velasquez Household</v>
          </cell>
          <cell r="D2458" t="str">
            <v>Juan Esteban Velasquez</v>
          </cell>
        </row>
        <row r="2459">
          <cell r="C2459" t="str">
            <v>Velásquez Household</v>
          </cell>
          <cell r="D2459" t="str">
            <v>Ana Gabriela Velásquez</v>
          </cell>
        </row>
        <row r="2460">
          <cell r="C2460" t="str">
            <v>Vergara Household</v>
          </cell>
          <cell r="D2460" t="str">
            <v>Ana Vergara</v>
          </cell>
        </row>
        <row r="2461">
          <cell r="C2461" t="str">
            <v>Vergara Household</v>
          </cell>
          <cell r="D2461" t="str">
            <v>Belkis Vergara</v>
          </cell>
        </row>
        <row r="2462">
          <cell r="C2462" t="str">
            <v>Vergara Household</v>
          </cell>
          <cell r="D2462" t="str">
            <v>Emmanuel Vergara</v>
          </cell>
        </row>
        <row r="2463">
          <cell r="C2463" t="str">
            <v>Vergara Household</v>
          </cell>
          <cell r="D2463" t="str">
            <v>Hector Vergara</v>
          </cell>
        </row>
        <row r="2464">
          <cell r="C2464" t="str">
            <v>Vergara Household</v>
          </cell>
          <cell r="D2464" t="str">
            <v>LUIS VERGARA</v>
          </cell>
        </row>
        <row r="2465">
          <cell r="C2465" t="str">
            <v>Vergara Household</v>
          </cell>
          <cell r="D2465" t="str">
            <v>Maria Vergara</v>
          </cell>
        </row>
        <row r="2466">
          <cell r="C2466" t="str">
            <v>Victoria Household</v>
          </cell>
          <cell r="D2466" t="str">
            <v>Fredy Victoria</v>
          </cell>
        </row>
        <row r="2467">
          <cell r="C2467" t="str">
            <v>Victoria Household</v>
          </cell>
          <cell r="D2467" t="str">
            <v>Hillary Victoria</v>
          </cell>
        </row>
        <row r="2468">
          <cell r="C2468" t="str">
            <v>Victoria Household</v>
          </cell>
          <cell r="D2468" t="str">
            <v>Leidy Victoria</v>
          </cell>
        </row>
        <row r="2469">
          <cell r="C2469" t="str">
            <v>Victoria Household</v>
          </cell>
          <cell r="D2469" t="str">
            <v>Leydis Victoria</v>
          </cell>
        </row>
        <row r="2470">
          <cell r="C2470" t="str">
            <v>Vidal Household</v>
          </cell>
          <cell r="D2470" t="str">
            <v>Genie Vidal</v>
          </cell>
        </row>
        <row r="2471">
          <cell r="C2471" t="str">
            <v>Vielka Arrocha Household</v>
          </cell>
          <cell r="D2471" t="str">
            <v>FUNDACION MANANTIAL Vielka Arrocha</v>
          </cell>
        </row>
        <row r="2472">
          <cell r="C2472" t="str">
            <v>Viena Household</v>
          </cell>
          <cell r="D2472" t="str">
            <v>Yessika Viena</v>
          </cell>
          <cell r="F2472" t="str">
            <v>6417-8341</v>
          </cell>
        </row>
        <row r="2473">
          <cell r="C2473" t="str">
            <v>Vigano Household</v>
          </cell>
          <cell r="D2473" t="str">
            <v>Boris Vigano</v>
          </cell>
        </row>
        <row r="2474">
          <cell r="C2474" t="str">
            <v>Viggiano C. Balboa Academy Household</v>
          </cell>
          <cell r="D2474" t="str">
            <v>Carolina Viggiano C. Balboa Academy</v>
          </cell>
        </row>
        <row r="2475">
          <cell r="C2475" t="str">
            <v>Vilchez Household</v>
          </cell>
          <cell r="D2475" t="str">
            <v>Ramón Vilchez</v>
          </cell>
        </row>
        <row r="2476">
          <cell r="C2476" t="str">
            <v>Villamil Fedex Household</v>
          </cell>
          <cell r="D2476" t="str">
            <v>Kenia Villamil Fedex</v>
          </cell>
        </row>
        <row r="2477">
          <cell r="C2477" t="str">
            <v>Villamonte Household</v>
          </cell>
          <cell r="D2477" t="str">
            <v>Valerie Villamonte</v>
          </cell>
        </row>
        <row r="2478">
          <cell r="C2478" t="str">
            <v>Villareal C.B. JESUS DE PRAGA Household</v>
          </cell>
          <cell r="D2478" t="str">
            <v>Isaac Villareal C.B. JESUS DE PRAGA</v>
          </cell>
        </row>
        <row r="2479">
          <cell r="C2479" t="str">
            <v>Villareal Nestle Household</v>
          </cell>
          <cell r="D2479" t="str">
            <v>Kristel Villareal Nestle</v>
          </cell>
        </row>
        <row r="2480">
          <cell r="C2480" t="str">
            <v>Villarreal Barrios Household</v>
          </cell>
          <cell r="D2480" t="str">
            <v>Melida Rosa Villarreal Barrios</v>
          </cell>
        </row>
        <row r="2481">
          <cell r="C2481" t="str">
            <v>VILLARREAL DE CAMARGO Household</v>
          </cell>
          <cell r="D2481" t="str">
            <v>DIVIA VILLARREAL DE CAMARGO</v>
          </cell>
        </row>
        <row r="2482">
          <cell r="C2482" t="str">
            <v>Villarreal Household</v>
          </cell>
          <cell r="D2482" t="str">
            <v>Boris Villarreal</v>
          </cell>
        </row>
        <row r="2483">
          <cell r="C2483" t="str">
            <v>Villarreal Household</v>
          </cell>
          <cell r="D2483" t="str">
            <v>Dalys Villarreal</v>
          </cell>
        </row>
        <row r="2484">
          <cell r="C2484" t="str">
            <v>Villarreal Household</v>
          </cell>
          <cell r="D2484" t="str">
            <v>Kristel Villarreal</v>
          </cell>
        </row>
        <row r="2485">
          <cell r="C2485" t="str">
            <v>Villarreal Household</v>
          </cell>
          <cell r="D2485" t="str">
            <v>LUZ MARINA VILLARREAL</v>
          </cell>
        </row>
        <row r="2486">
          <cell r="C2486" t="str">
            <v>Viloria Household</v>
          </cell>
          <cell r="D2486" t="str">
            <v>Nowports Oriana Viloria</v>
          </cell>
        </row>
        <row r="2487">
          <cell r="C2487" t="str">
            <v>Virzi Household</v>
          </cell>
          <cell r="D2487" t="str">
            <v>Ana Laura Virzi</v>
          </cell>
          <cell r="F2487" t="str">
            <v>6613-9296</v>
          </cell>
        </row>
        <row r="2488">
          <cell r="C2488" t="str">
            <v>Virzi Household</v>
          </cell>
          <cell r="D2488" t="str">
            <v>Maria Elena Virzi</v>
          </cell>
        </row>
        <row r="2489">
          <cell r="C2489" t="str">
            <v>Virzi Martinelli Household</v>
          </cell>
          <cell r="D2489" t="str">
            <v>David José Virzi Martinelli</v>
          </cell>
        </row>
        <row r="2490">
          <cell r="C2490" t="str">
            <v>Vivas Household</v>
          </cell>
          <cell r="D2490" t="str">
            <v>Marialaura Vivas</v>
          </cell>
        </row>
        <row r="2491">
          <cell r="C2491" t="str">
            <v>Viveros Household</v>
          </cell>
          <cell r="D2491" t="str">
            <v>Valeria Viveros</v>
          </cell>
        </row>
        <row r="2492">
          <cell r="C2492" t="str">
            <v>Voitier Household</v>
          </cell>
          <cell r="D2492" t="str">
            <v>Olga Voitier</v>
          </cell>
        </row>
        <row r="2493">
          <cell r="C2493" t="str">
            <v>Watson Household</v>
          </cell>
          <cell r="D2493" t="str">
            <v>Roberto Watson</v>
          </cell>
        </row>
        <row r="2494">
          <cell r="C2494" t="str">
            <v>WEINERT Household</v>
          </cell>
          <cell r="D2494" t="str">
            <v>Nicole WEINERT</v>
          </cell>
        </row>
        <row r="2495">
          <cell r="C2495" t="str">
            <v>WENDEHAKE Household</v>
          </cell>
          <cell r="D2495" t="str">
            <v>EUGENIA WENDEHAKE</v>
          </cell>
        </row>
        <row r="2496">
          <cell r="C2496" t="str">
            <v>williams Household</v>
          </cell>
          <cell r="D2496" t="str">
            <v>yanett williams</v>
          </cell>
        </row>
        <row r="2497">
          <cell r="C2497" t="str">
            <v>Wong Household</v>
          </cell>
          <cell r="D2497" t="str">
            <v>Frances Wong</v>
          </cell>
        </row>
        <row r="2498">
          <cell r="C2498" t="str">
            <v>Wong Household</v>
          </cell>
          <cell r="D2498" t="str">
            <v>Nathaly Wong</v>
          </cell>
        </row>
        <row r="2499">
          <cell r="C2499" t="str">
            <v>Wong Household</v>
          </cell>
          <cell r="D2499" t="str">
            <v>Ricardo Wong</v>
          </cell>
          <cell r="F2499" t="str">
            <v>6626-7202</v>
          </cell>
        </row>
        <row r="2500">
          <cell r="C2500" t="str">
            <v>Wright Household</v>
          </cell>
          <cell r="D2500" t="str">
            <v>Yarelys Wright</v>
          </cell>
        </row>
        <row r="2501">
          <cell r="C2501" t="str">
            <v>Yang Household</v>
          </cell>
          <cell r="D2501" t="str">
            <v>Linda Yang</v>
          </cell>
        </row>
        <row r="2502">
          <cell r="C2502" t="str">
            <v>Yang Oxford Household</v>
          </cell>
          <cell r="D2502" t="str">
            <v>Linda Yang Oxford</v>
          </cell>
        </row>
        <row r="2503">
          <cell r="C2503" t="str">
            <v>YANGUEZ Household</v>
          </cell>
          <cell r="D2503" t="str">
            <v>DANIBIA YANGUEZ</v>
          </cell>
        </row>
        <row r="2504">
          <cell r="C2504" t="str">
            <v>Yañez Bakertilly Household</v>
          </cell>
          <cell r="D2504" t="str">
            <v>Yuviany Yañez Bakertilly</v>
          </cell>
        </row>
        <row r="2505">
          <cell r="C2505" t="str">
            <v>Yau Household</v>
          </cell>
          <cell r="D2505" t="str">
            <v>Maria Cristina Yau</v>
          </cell>
        </row>
        <row r="2506">
          <cell r="C2506" t="str">
            <v>Yimara Household</v>
          </cell>
          <cell r="D2506" t="str">
            <v>Auditores Yimara</v>
          </cell>
        </row>
        <row r="2507">
          <cell r="C2507" t="str">
            <v>Yura Household</v>
          </cell>
          <cell r="D2507" t="str">
            <v>Yuraneth Yura</v>
          </cell>
        </row>
        <row r="2508">
          <cell r="C2508" t="str">
            <v>Zaidman Household</v>
          </cell>
          <cell r="D2508" t="str">
            <v>Michelle Zaidman</v>
          </cell>
        </row>
        <row r="2509">
          <cell r="C2509" t="str">
            <v>Zambrano Household</v>
          </cell>
          <cell r="D2509" t="str">
            <v>Abdiel Zambrano</v>
          </cell>
        </row>
        <row r="2510">
          <cell r="C2510" t="str">
            <v>Zapata Household</v>
          </cell>
          <cell r="D2510" t="str">
            <v>Juan C. Zapata</v>
          </cell>
        </row>
        <row r="2511">
          <cell r="C2511" t="str">
            <v>Zapata Household</v>
          </cell>
          <cell r="D2511" t="str">
            <v>Lourdes Zapata</v>
          </cell>
        </row>
        <row r="2512">
          <cell r="C2512" t="str">
            <v>Zapata Household</v>
          </cell>
          <cell r="D2512" t="str">
            <v>Wilfredo Zapata</v>
          </cell>
        </row>
        <row r="2513">
          <cell r="C2513" t="str">
            <v>Zapata Household</v>
          </cell>
          <cell r="D2513" t="str">
            <v>Yordan Zapata</v>
          </cell>
        </row>
        <row r="2514">
          <cell r="C2514" t="str">
            <v>Zárate Household</v>
          </cell>
          <cell r="D2514" t="str">
            <v>Angie Zárate</v>
          </cell>
        </row>
        <row r="2515">
          <cell r="C2515" t="str">
            <v>Zelaya Household</v>
          </cell>
          <cell r="D2515" t="str">
            <v>Dazmara Zelaya</v>
          </cell>
        </row>
        <row r="2516">
          <cell r="C2516" t="str">
            <v>Zepeda Household</v>
          </cell>
          <cell r="D2516" t="str">
            <v>Josep Allan Zepeda</v>
          </cell>
        </row>
        <row r="2517">
          <cell r="C2517" t="str">
            <v>Zhang Household</v>
          </cell>
          <cell r="D2517" t="str">
            <v>Melissa Zhang</v>
          </cell>
        </row>
        <row r="2518">
          <cell r="C2518" t="str">
            <v>Zhang Household</v>
          </cell>
          <cell r="D2518" t="str">
            <v>Moises Zhang</v>
          </cell>
        </row>
        <row r="2519">
          <cell r="C2519" t="str">
            <v>Zhang Oxford Household</v>
          </cell>
          <cell r="D2519" t="str">
            <v>Angel Zhang Oxford</v>
          </cell>
        </row>
        <row r="2520">
          <cell r="C2520" t="str">
            <v>Zhang Oxford Household</v>
          </cell>
          <cell r="D2520" t="str">
            <v>Melissa Zhang Oxford</v>
          </cell>
        </row>
        <row r="2521">
          <cell r="C2521" t="str">
            <v>Zhong Household</v>
          </cell>
          <cell r="D2521" t="str">
            <v>Melissa Zhong</v>
          </cell>
        </row>
        <row r="2522">
          <cell r="C2522" t="str">
            <v>Zúñiga Household</v>
          </cell>
          <cell r="D2522" t="str">
            <v>Yitzel Zúñiga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  <wetp:taskpane dockstate="right" visibility="0" width="875" row="5">
    <wetp:webextensionref xmlns:r="http://schemas.openxmlformats.org/officeDocument/2006/relationships" r:id="rId2"/>
  </wetp:taskpane>
  <wetp:taskpane dockstate="right" visibility="0" width="875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ADDA0F9-5EFC-42DA-A16E-4284B0136BCB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42576EE-7194-40A2-B110-229F0E660A36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78196B4F-1E97-4C28-B763-86596FEC0FEA}">
  <we:reference id="wa200001145" version="2.1.2.0" store="en-US" storeType="OMEX"/>
  <we:alternateReferences>
    <we:reference id="wa200001145" version="2.1.2.0" store="wa20000114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2AB5-D51C-4905-851B-E1FF4D8720E5}">
  <sheetPr>
    <tabColor theme="9" tint="-0.499984740745262"/>
  </sheetPr>
  <dimension ref="A1:DB130"/>
  <sheetViews>
    <sheetView showGridLines="0" showZeros="0" tabSelected="1" zoomScale="86" zoomScaleNormal="100" workbookViewId="0">
      <pane xSplit="7" ySplit="1" topLeftCell="H2" activePane="bottomRight" state="frozen"/>
      <selection activeCell="A2" sqref="A2"/>
      <selection pane="topRight" activeCell="A2" sqref="A2"/>
      <selection pane="bottomLeft" activeCell="A2" sqref="A2"/>
      <selection pane="bottomRight" activeCell="M1" sqref="M1"/>
    </sheetView>
  </sheetViews>
  <sheetFormatPr defaultColWidth="10.9453125" defaultRowHeight="14.4" outlineLevelCol="1" x14ac:dyDescent="0.55000000000000004"/>
  <cols>
    <col min="1" max="1" width="49" bestFit="1" customWidth="1"/>
    <col min="2" max="2" width="12.734375" style="34" customWidth="1"/>
    <col min="3" max="4" width="12.734375" style="35" customWidth="1"/>
    <col min="5" max="6" width="14.1015625" style="36" customWidth="1"/>
    <col min="7" max="7" width="15.1015625" style="34" customWidth="1"/>
    <col min="8" max="10" width="11.734375" style="34" customWidth="1"/>
    <col min="11" max="46" width="11.734375" style="34" customWidth="1" outlineLevel="1"/>
    <col min="47" max="47" width="11.83984375" style="34" customWidth="1" outlineLevel="1"/>
    <col min="48" max="52" width="11.734375" style="34" customWidth="1" outlineLevel="1"/>
    <col min="53" max="63" width="11.734375" style="34" customWidth="1"/>
    <col min="64" max="102" width="9.734375" style="34" customWidth="1"/>
    <col min="103" max="103" width="19.734375" bestFit="1" customWidth="1"/>
    <col min="104" max="104" width="32.734375" bestFit="1" customWidth="1"/>
    <col min="105" max="105" width="19.26171875" bestFit="1" customWidth="1"/>
    <col min="106" max="106" width="87.41796875" bestFit="1" customWidth="1"/>
  </cols>
  <sheetData>
    <row r="1" spans="1:106" s="13" customFormat="1" ht="43.15" customHeight="1" x14ac:dyDescent="0.5500000000000000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5" t="s">
        <v>43</v>
      </c>
      <c r="AS1" s="5" t="s">
        <v>44</v>
      </c>
      <c r="AT1" s="5" t="s">
        <v>45</v>
      </c>
      <c r="AU1" s="6" t="s">
        <v>46</v>
      </c>
      <c r="AV1" s="6" t="s">
        <v>47</v>
      </c>
      <c r="AW1" s="6" t="s">
        <v>48</v>
      </c>
      <c r="AX1" s="7" t="s">
        <v>49</v>
      </c>
      <c r="AY1" s="7" t="s">
        <v>50</v>
      </c>
      <c r="AZ1" s="7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 x14ac:dyDescent="0.55000000000000004">
      <c r="A2" s="14" t="s">
        <v>106</v>
      </c>
      <c r="B2" s="15">
        <f>INT(IFERROR(VLOOKUP(A2,'[1]Donor Summary'!C:F,3,0),0))</f>
        <v>0</v>
      </c>
      <c r="C2" s="15">
        <f>INT(ROUND(IFERROR(VLOOKUP(A2,'[1]Donor Summary'!C:F,4,0),0),1))</f>
        <v>0</v>
      </c>
      <c r="D2" s="16">
        <f>INT(ROUND(C2-B2,1))</f>
        <v>0</v>
      </c>
      <c r="E2" s="17" t="str">
        <f>IF(A2=0,"",TEXT((IFERROR(D2/C2,0)),"0.00%"))</f>
        <v>0.00%</v>
      </c>
      <c r="F2" s="17" t="str">
        <f>IF(A2=0,"",TEXT((IFERROR(B2/C2,0)),"0.0%"))</f>
        <v>0.0%</v>
      </c>
      <c r="G2" s="15">
        <f>INT(D2*3)</f>
        <v>0</v>
      </c>
      <c r="H2" s="18"/>
      <c r="I2" s="18">
        <f>IFERROR(VLOOKUP(A2,'[1]Lot All by Part'!T:Y,6,0),0)</f>
        <v>0</v>
      </c>
      <c r="J2" s="18"/>
      <c r="K2" s="19">
        <f>IFERROR(VLOOKUP($A2,'[1]Donor-Served OBs'!A:N,3,0),0)</f>
        <v>0</v>
      </c>
      <c r="L2" s="19">
        <f>ROUNDUP(IF(A2=0,0,IFERROR(VLOOKUP($A2,'[1]Donor''s Assigned Kilos'!A:O,3,0),0)),0)</f>
        <v>0</v>
      </c>
      <c r="M2" s="19">
        <f>IF(A2=0,0,IFERROR(SUMIFS([1]Population!M:M,[1]Population!J:J,'MASTER-2025'!A2),0))</f>
        <v>0</v>
      </c>
      <c r="N2" s="20">
        <f>IFERROR(VLOOKUP($A2,'[1]Donor-Served OBs'!A:N,4,0),0)</f>
        <v>0</v>
      </c>
      <c r="O2" s="20">
        <f>ROUNDUP(IF(A2=0,0,IFERROR(VLOOKUP($A2,'[1]Donor''s Assigned Kilos'!A:O,4,0),0)),0)</f>
        <v>0</v>
      </c>
      <c r="P2" s="20">
        <f>IF(A2=0,0,IFERROR(SUMIFS([1]Population!N:N,[1]Population!J:J,'MASTER-2025'!A2),0))</f>
        <v>0</v>
      </c>
      <c r="Q2" s="18">
        <f>IFERROR(VLOOKUP($A2,'[1]Donor-Served OBs'!A:N,2,0),0)</f>
        <v>0</v>
      </c>
      <c r="R2" s="18">
        <f>ROUNDUP(ROUND(IF(A2=0,0,IFERROR(VLOOKUP($A2,'[1]Donor''s Assigned Kilos'!A:O,9,0),0)),1),0)</f>
        <v>0</v>
      </c>
      <c r="S2" s="18">
        <f>IF(A2=0,0,IFERROR(SUMIFS([1]Population!S:S,[1]Population!J:J,'MASTER-2025'!A2),0))</f>
        <v>0</v>
      </c>
      <c r="T2" s="19">
        <f>IFERROR(VLOOKUP($A2,'[1]Donor-Served OBs'!A:N,12,0),0)</f>
        <v>0</v>
      </c>
      <c r="U2" s="19">
        <f>ROUNDUP(IF(A2=0,0,IF(A2=0,0,IFERROR(VLOOKUP($A2,'[1]Donor''s Assigned Kilos'!A:O,7,0),0))),0)</f>
        <v>0</v>
      </c>
      <c r="V2" s="19">
        <f>IF(A2=0,0,IFERROR(SUMIFS([1]Population!Q:Q,[1]Population!J:J,'MASTER-2025'!A2),0))</f>
        <v>0</v>
      </c>
      <c r="W2" s="20">
        <f>IFERROR(VLOOKUP($A2,'[1]Donor-Served OBs'!A:N,10,0),0)</f>
        <v>0</v>
      </c>
      <c r="X2" s="20">
        <f>ROUNDUP(IF(A2=0,0,IFERROR(VLOOKUP($A2,'[1]Donor''s Assigned Kilos'!A:N,5,0),0)),0)</f>
        <v>0</v>
      </c>
      <c r="Y2" s="20">
        <f>IF(A2=0,0,IFERROR(SUMIFS([1]Population!O:O,[1]Population!J:J,'MASTER-2025'!A2),0))</f>
        <v>0</v>
      </c>
      <c r="Z2" s="18">
        <f>IFERROR(VLOOKUP($A2,'[1]Donor-Served OBs'!A:N,6,0),0)</f>
        <v>0</v>
      </c>
      <c r="AA2" s="18">
        <f>ROUNDUP(IF(A2=0,0,IFERROR(VLOOKUP($A2,'[1]Donor''s Assigned Kilos'!A:N,11,0),0)),0)</f>
        <v>0</v>
      </c>
      <c r="AB2" s="18">
        <f>IF(A2=0,0,IFERROR(SUMIFS([1]Population!U:U,[1]Population!J:J,'MASTER-2025'!A2),0))</f>
        <v>0</v>
      </c>
      <c r="AC2" s="19">
        <f>IFERROR(VLOOKUP($A2,'[1]Donor-Served OBs'!A:N,7,0),0)</f>
        <v>0</v>
      </c>
      <c r="AD2" s="19">
        <f>ROUNDUP(IF(A2=0,0,IFERROR(VLOOKUP($A2,'[1]Donor''s Assigned Kilos'!A:N,8,0),0)),0)</f>
        <v>0</v>
      </c>
      <c r="AE2" s="19">
        <f>IF(A2=0,0,IFERROR(SUMIFS([1]Population!R:R,[1]Population!J:J,'MASTER-2025'!A2),0))</f>
        <v>0</v>
      </c>
      <c r="AF2" s="20">
        <f>IFERROR(VLOOKUP($A2,'[1]Donor-Served OBs'!A:N,8,0),0)</f>
        <v>0</v>
      </c>
      <c r="AG2" s="20">
        <f>ROUNDUP(IF(A2=0,0,IFERROR(VLOOKUP($A2,'[1]Donor''s Assigned Kilos'!A:N,6,0),0)),0)</f>
        <v>0</v>
      </c>
      <c r="AH2" s="20">
        <f>IF(A2=0,0,IFERROR(SUMIFS([1]Population!P:P,[1]Population!J:J,'MASTER-2025'!A2),0))</f>
        <v>0</v>
      </c>
      <c r="AI2" s="18">
        <f>IFERROR(VLOOKUP($A2,'[1]Donor-Served OBs'!A:N,9,0),0)</f>
        <v>0</v>
      </c>
      <c r="AJ2" s="18">
        <f>ROUNDUP(IF(A2=0,0,IFERROR(VLOOKUP($A2,'[1]Donor''s Assigned Kilos'!A:N,12,0),0)),0)</f>
        <v>0</v>
      </c>
      <c r="AK2" s="18">
        <f>IF(A2=0,0,IFERROR(SUMIFS([1]Population!V:V,[1]Population!J:J,'MASTER-2025'!A2),0))</f>
        <v>0</v>
      </c>
      <c r="AL2" s="19">
        <f>IFERROR(VLOOKUP($A2,'[1]Donor-Served OBs'!A:N,16,0),0)</f>
        <v>0</v>
      </c>
      <c r="AM2" s="19">
        <f>ROUNDUP(IF(A2=0,0,IFERROR(VLOOKUP($A2,'[1]Donor''s Assigned Kilos'!A:O,16,0),0)),0)</f>
        <v>0</v>
      </c>
      <c r="AN2" s="19">
        <f>IF(A2=0,0,IFERROR(SUMIFS([1]Population!Z:Z,[1]Population!J:J,'MASTER-2025'!A2),0))</f>
        <v>0</v>
      </c>
      <c r="AO2" s="20">
        <f>IFERROR(VLOOKUP($A2,'[1]Donor-Served OBs'!A:N,11,0),0)</f>
        <v>0</v>
      </c>
      <c r="AP2" s="20">
        <f>ROUNDUP(IF(A2=0,0,IFERROR(VLOOKUP($A2,'[1]Donor''s Assigned Kilos'!A:N,13,0),0)),0)</f>
        <v>0</v>
      </c>
      <c r="AQ2" s="20">
        <f>IF(A2=0,0,IFERROR(SUMIFS([1]Population!W:W,[1]Population!J:J,'MASTER-2025'!A2),0))</f>
        <v>0</v>
      </c>
      <c r="AR2" s="18">
        <f>IFERROR(VLOOKUP($A2,'[1]Donor-Served OBs'!A:N,5,0),0)</f>
        <v>0</v>
      </c>
      <c r="AS2" s="18">
        <f>ROUNDUP(IF(A2=0,0,IFERROR(VLOOKUP($A2,'[1]Donor''s Assigned Kilos'!A:N,10,0),0)),0)</f>
        <v>0</v>
      </c>
      <c r="AT2" s="18">
        <f>IF(A2=0,0,IFERROR(SUMIFS([1]Population!T:T,[1]Population!J:J,'MASTER-2025'!A2),0))</f>
        <v>0</v>
      </c>
      <c r="AU2" s="19">
        <f>IFERROR(VLOOKUP($A2,'[1]Donor-Served OBs'!A:N,13,0),0)</f>
        <v>0</v>
      </c>
      <c r="AV2" s="19">
        <f>ROUNDUP(IF(A2=0,0,IFERROR(VLOOKUP($A2,'[1]Donor''s Assigned Kilos'!A:N,14,0),0)),0)</f>
        <v>0</v>
      </c>
      <c r="AW2" s="19">
        <f>IF(A2=0,0,IFERROR(SUMIFS([1]Population!X:X,[1]Population!J:J,'MASTER-2025'!A2),0))</f>
        <v>0</v>
      </c>
      <c r="AX2" s="20">
        <f>IFERROR(VLOOKUP($A2,'[1]Donor-Served OBs'!A:N,16,0),0)</f>
        <v>0</v>
      </c>
      <c r="AY2" s="20">
        <f>ROUNDUP(IF(A2=0,0,IFERROR(VLOOKUP($A2,'[1]Donor''s Assigned Kilos'!A:O,16,0),0)),0)</f>
        <v>0</v>
      </c>
      <c r="AZ2" s="20">
        <f>IF(A2=0,0,IFERROR(SUMIFS([1]Population!Y:Y,[1]Population!J:J,'MASTER-2025'!A2),0))</f>
        <v>0</v>
      </c>
      <c r="BA2" s="21">
        <f>+H2+K2+N2+Q2+T2+W2+Z2+AC2+AF2+AI2+AL2+AO2+AR2+AU2+AX2</f>
        <v>0</v>
      </c>
      <c r="BB2" s="21">
        <f>INT(I2+L2+O2+R2+U2+X2+AA2+AD2+AG2+AJ2+AM2+AP2+AS2+AV2+AY2)</f>
        <v>0</v>
      </c>
      <c r="BC2" s="21">
        <f t="shared" ref="BC2:BC9" si="0">ROUND(I2+L2+O2+R2+U2,0)</f>
        <v>0</v>
      </c>
      <c r="BD2" s="21">
        <f>IF(A2=0,0,(+J2+M2+P2+S2+V2+Y2+AB2+AE2+AH2+AK2+AN2+AQ2+AT2+AW2+AZ2))</f>
        <v>0</v>
      </c>
      <c r="BE2" s="22" t="e">
        <f>IF(A2=0,0,SUMIFS([1]Population!C:C,[1]Population!A:A,'MASTER-2025'!A2))</f>
        <v>#VALUE!</v>
      </c>
      <c r="BF2" s="22" t="e">
        <f>IF(A2=0,0,SUMIFS([1]Population!D:D,[1]Population!A:A,'MASTER-2025'!A2))</f>
        <v>#VALUE!</v>
      </c>
      <c r="BG2" s="22" t="e">
        <f>IF(A2=0,0,SUMIFS([1]Population!E:E,[1]Population!A:A,'MASTER-2025'!A2))</f>
        <v>#VALUE!</v>
      </c>
      <c r="BH2" s="22" t="e">
        <f>IF(A2=0,0,SUMIFS([1]Population!F:F,[1]Population!A:A,'MASTER-2025'!A2))</f>
        <v>#VALUE!</v>
      </c>
      <c r="BI2" s="22" t="e">
        <f>+BF2+BG2+BH2</f>
        <v>#VALUE!</v>
      </c>
      <c r="BJ2" s="23" t="e">
        <f>+BK2-BI2-BH2-BG2-BF2-BE2</f>
        <v>#VALUE!</v>
      </c>
      <c r="BK2" s="22" t="e">
        <f>IF(A2=0,0,SUMIFS([1]Population!G:G,[1]Population!A:A,'MASTER-2025'!A2))</f>
        <v>#VALUE!</v>
      </c>
      <c r="BL2" s="24" cm="1">
        <f t="array" ref="BL2:BW2">IFERROR(VLOOKUP(A2,'[1]Now-OB-kg-POB-25'!A:AQ,{3,4,5,6,7,8,9,10,11,12,13,14},0),0)</f>
        <v>60</v>
      </c>
      <c r="BM2" s="24">
        <v>53</v>
      </c>
      <c r="BN2" s="24">
        <v>88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>
        <v>0</v>
      </c>
      <c r="BV2" s="24">
        <v>0</v>
      </c>
      <c r="BW2" s="24">
        <v>0</v>
      </c>
      <c r="BX2" s="24">
        <f>SUM(BL2:BW2)</f>
        <v>201</v>
      </c>
      <c r="BY2" s="25" cm="1">
        <f t="array" ref="BY2:CJ2">IFERROR(VLOOKUP(A2,'[1]Now-OB-kg-POB-25'!A:AQ,{17,18,19,20,21,22,23,24,25,26,27,28},0),0)</f>
        <v>6112</v>
      </c>
      <c r="BZ2" s="25">
        <v>752</v>
      </c>
      <c r="CA2" s="25">
        <v>2508</v>
      </c>
      <c r="CB2" s="25">
        <v>0</v>
      </c>
      <c r="CC2" s="25">
        <v>0</v>
      </c>
      <c r="CD2" s="25">
        <v>0</v>
      </c>
      <c r="CE2" s="25">
        <v>0</v>
      </c>
      <c r="CF2" s="25">
        <v>0</v>
      </c>
      <c r="CG2" s="25">
        <v>0</v>
      </c>
      <c r="CH2" s="25">
        <v>0</v>
      </c>
      <c r="CI2" s="25">
        <v>0</v>
      </c>
      <c r="CJ2" s="25">
        <v>0</v>
      </c>
      <c r="CK2" s="25">
        <f>SUM(BY2:CJ2)</f>
        <v>9372</v>
      </c>
      <c r="CL2" s="26" cm="1">
        <f t="array" ref="CL2:CW2">IFERROR(VLOOKUP(A2,'[1]Now-OB-kg-POB-25'!A:AQ,{31,32,33,34,35,36,37,38,39,40,41,42},0),0)</f>
        <v>19341</v>
      </c>
      <c r="CM2" s="26">
        <v>16959</v>
      </c>
      <c r="CN2" s="26">
        <v>26002</v>
      </c>
      <c r="CO2" s="26">
        <v>0</v>
      </c>
      <c r="CP2" s="26">
        <v>0</v>
      </c>
      <c r="CQ2" s="26">
        <v>0</v>
      </c>
      <c r="CR2" s="26">
        <v>0</v>
      </c>
      <c r="CS2" s="26">
        <v>0</v>
      </c>
      <c r="CT2" s="26">
        <v>0</v>
      </c>
      <c r="CU2" s="26">
        <v>0</v>
      </c>
      <c r="CV2" s="26">
        <v>0</v>
      </c>
      <c r="CW2" s="26">
        <v>0</v>
      </c>
      <c r="CX2" s="26">
        <f>SUM(CL2:CW2)</f>
        <v>62302</v>
      </c>
      <c r="CY2" s="14" t="str">
        <f>IF(A2=0,0,IFERROR(VLOOKUP(A2,'[1]Info Donantes'!C:F,2,0),"Sin Contacto"))</f>
        <v>Sin Contacto</v>
      </c>
      <c r="CZ2" s="14" t="str">
        <f>IF(A2=0,0,IFERROR(VLOOKUP(A2,'[1]Info Donantes'!C:F,3,0),"Sin Correo"))</f>
        <v>Sin Correo</v>
      </c>
      <c r="DA2" s="14" t="str">
        <f>IF(A2=0,0,IFERROR(VLOOKUP(A2,'[1]Info Donantes'!C:F,4,0),"Sin Telefono"))</f>
        <v>Sin Telefono</v>
      </c>
      <c r="DB2" s="14" t="s">
        <v>107</v>
      </c>
    </row>
    <row r="3" spans="1:106" x14ac:dyDescent="0.55000000000000004">
      <c r="A3" s="14" t="s">
        <v>108</v>
      </c>
      <c r="B3" s="15">
        <f>INT(IFERROR(VLOOKUP(A3,'[1]Donor Summary'!C:F,3,0),0))</f>
        <v>0</v>
      </c>
      <c r="C3" s="15">
        <f>INT(ROUND(IFERROR(VLOOKUP(A3,'[1]Donor Summary'!C:F,4,0),0),1))</f>
        <v>0</v>
      </c>
      <c r="D3" s="16">
        <f t="shared" ref="D3:D8" si="1">INT(ROUND(C3-B3,1))</f>
        <v>0</v>
      </c>
      <c r="E3" s="17" t="str">
        <f>IF(A3=0,"",TEXT((IFERROR(D3/C3,0)),"0.00%"))</f>
        <v>0.00%</v>
      </c>
      <c r="F3" s="17" t="str">
        <f t="shared" ref="F3:F8" si="2">IF(A3=0,"",TEXT((IFERROR(B3/C3,0)),"0.0%"))</f>
        <v>0.0%</v>
      </c>
      <c r="G3" s="15">
        <f t="shared" ref="G3:G8" si="3">INT(D3*3)</f>
        <v>0</v>
      </c>
      <c r="H3" s="18"/>
      <c r="I3" s="18">
        <f>IFERROR(VLOOKUP(A3,'[1]Lot All by Part'!T:Y,6,0),0)</f>
        <v>0</v>
      </c>
      <c r="J3" s="18"/>
      <c r="K3" s="19">
        <f>IFERROR(VLOOKUP($A3,'[1]Donor-Served OBs'!A:N,3,0),0)</f>
        <v>0</v>
      </c>
      <c r="L3" s="19">
        <f>ROUNDUP(IF(A3=0,0,IFERROR(VLOOKUP($A3,'[1]Donor''s Assigned Kilos'!A:O,3,0),0)),0)</f>
        <v>0</v>
      </c>
      <c r="M3" s="19">
        <f>IF(A3=0,0,IFERROR(SUMIFS([1]Population!M:M,[1]Population!J:J,'MASTER-2025'!A3),0))</f>
        <v>0</v>
      </c>
      <c r="N3" s="20">
        <f>IFERROR(VLOOKUP($A3,'[1]Donor-Served OBs'!A:N,4,0),0)</f>
        <v>0</v>
      </c>
      <c r="O3" s="20">
        <f>ROUNDUP(IF(A3=0,0,IFERROR(VLOOKUP($A3,'[1]Donor''s Assigned Kilos'!A:O,4,0),0)),0)</f>
        <v>0</v>
      </c>
      <c r="P3" s="20">
        <f>IF(A3=0,0,IFERROR(SUMIFS([1]Population!N:N,[1]Population!J:J,'MASTER-2025'!A3),0))</f>
        <v>0</v>
      </c>
      <c r="Q3" s="18">
        <f>IFERROR(VLOOKUP($A3,'[1]Donor-Served OBs'!A:N,2,0),0)</f>
        <v>0</v>
      </c>
      <c r="R3" s="18">
        <f>ROUNDUP(ROUND(IF(A3=0,0,IFERROR(VLOOKUP($A3,'[1]Donor''s Assigned Kilos'!A:O,9,0),0)),1),0)</f>
        <v>0</v>
      </c>
      <c r="S3" s="18">
        <f>IF(A3=0,0,IFERROR(SUMIFS([1]Population!S:S,[1]Population!J:J,'MASTER-2025'!A3),0))</f>
        <v>0</v>
      </c>
      <c r="T3" s="19">
        <f>IFERROR(VLOOKUP($A3,'[1]Donor-Served OBs'!A:N,12,0),0)</f>
        <v>0</v>
      </c>
      <c r="U3" s="19">
        <f>ROUNDUP(IF(A3=0,0,IF(A3=0,0,IFERROR(VLOOKUP($A3,'[1]Donor''s Assigned Kilos'!A:O,7,0),0))),0)</f>
        <v>0</v>
      </c>
      <c r="V3" s="19">
        <f>IF(A3=0,0,IFERROR(SUMIFS([1]Population!Q:Q,[1]Population!J:J,'MASTER-2025'!A3),0))</f>
        <v>0</v>
      </c>
      <c r="W3" s="20">
        <f>IFERROR(VLOOKUP($A3,'[1]Donor-Served OBs'!A:N,10,0),0)</f>
        <v>0</v>
      </c>
      <c r="X3" s="20">
        <f>ROUNDUP(IF(A3=0,0,IFERROR(VLOOKUP($A3,'[1]Donor''s Assigned Kilos'!A:N,5,0),0)),0)</f>
        <v>0</v>
      </c>
      <c r="Y3" s="20">
        <f>IF(A3=0,0,IFERROR(SUMIFS([1]Population!O:O,[1]Population!J:J,'MASTER-2025'!A3),0))</f>
        <v>0</v>
      </c>
      <c r="Z3" s="18">
        <f>IFERROR(VLOOKUP($A3,'[1]Donor-Served OBs'!A:N,6,0),0)</f>
        <v>0</v>
      </c>
      <c r="AA3" s="18">
        <f>ROUNDUP(IF(A3=0,0,IFERROR(VLOOKUP($A3,'[1]Donor''s Assigned Kilos'!A:N,11,0),0)),0)</f>
        <v>0</v>
      </c>
      <c r="AB3" s="18">
        <f>IF(A3=0,0,IFERROR(SUMIFS([1]Population!U:U,[1]Population!J:J,'MASTER-2025'!A3),0))</f>
        <v>0</v>
      </c>
      <c r="AC3" s="19">
        <f>IFERROR(VLOOKUP($A3,'[1]Donor-Served OBs'!A:N,7,0),0)</f>
        <v>0</v>
      </c>
      <c r="AD3" s="19">
        <f>ROUNDUP(IF(A3=0,0,IFERROR(VLOOKUP($A3,'[1]Donor''s Assigned Kilos'!A:N,8,0),0)),0)</f>
        <v>0</v>
      </c>
      <c r="AE3" s="19">
        <f>IF(A3=0,0,IFERROR(SUMIFS([1]Population!R:R,[1]Population!J:J,'MASTER-2025'!A3),0))</f>
        <v>0</v>
      </c>
      <c r="AF3" s="20">
        <f>IFERROR(VLOOKUP($A3,'[1]Donor-Served OBs'!A:N,8,0),0)</f>
        <v>0</v>
      </c>
      <c r="AG3" s="20">
        <f>ROUNDUP(IF(A3=0,0,IFERROR(VLOOKUP($A3,'[1]Donor''s Assigned Kilos'!A:N,6,0),0)),0)</f>
        <v>0</v>
      </c>
      <c r="AH3" s="20">
        <f>IF(A3=0,0,IFERROR(SUMIFS([1]Population!P:P,[1]Population!J:J,'MASTER-2025'!A3),0))</f>
        <v>0</v>
      </c>
      <c r="AI3" s="18">
        <f>IFERROR(VLOOKUP($A3,'[1]Donor-Served OBs'!A:N,9,0),0)</f>
        <v>0</v>
      </c>
      <c r="AJ3" s="18">
        <f>ROUNDUP(IF(A3=0,0,IFERROR(VLOOKUP($A3,'[1]Donor''s Assigned Kilos'!A:N,12,0),0)),0)</f>
        <v>0</v>
      </c>
      <c r="AK3" s="18">
        <f>IF(A3=0,0,IFERROR(SUMIFS([1]Population!V:V,[1]Population!J:J,'MASTER-2025'!A3),0))</f>
        <v>0</v>
      </c>
      <c r="AL3" s="19">
        <f>IFERROR(VLOOKUP($A3,'[1]Donor-Served OBs'!A:N,16,0),0)</f>
        <v>0</v>
      </c>
      <c r="AM3" s="19">
        <f>ROUNDUP(IF(A3=0,0,IFERROR(VLOOKUP($A3,'[1]Donor''s Assigned Kilos'!A:O,16,0),0)),0)</f>
        <v>0</v>
      </c>
      <c r="AN3" s="19">
        <f>IF(A3=0,0,IFERROR(SUMIFS([1]Population!Z:Z,[1]Population!J:J,'MASTER-2025'!A3),0))</f>
        <v>0</v>
      </c>
      <c r="AO3" s="20">
        <f>IFERROR(VLOOKUP($A3,'[1]Donor-Served OBs'!A:N,11,0),0)</f>
        <v>0</v>
      </c>
      <c r="AP3" s="20">
        <f>ROUNDUP(IF(A3=0,0,IFERROR(VLOOKUP($A3,'[1]Donor''s Assigned Kilos'!A:N,13,0),0)),0)</f>
        <v>0</v>
      </c>
      <c r="AQ3" s="20">
        <f>IF(A3=0,0,IFERROR(SUMIFS([1]Population!W:W,[1]Population!J:J,'MASTER-2025'!A3),0))</f>
        <v>0</v>
      </c>
      <c r="AR3" s="18">
        <f>IFERROR(VLOOKUP($A3,'[1]Donor-Served OBs'!A:N,5,0),0)</f>
        <v>0</v>
      </c>
      <c r="AS3" s="18">
        <f>ROUNDUP(IF(A3=0,0,IFERROR(VLOOKUP($A3,'[1]Donor''s Assigned Kilos'!A:N,10,0),0)),0)</f>
        <v>0</v>
      </c>
      <c r="AT3" s="18">
        <f>IF(A3=0,0,IFERROR(SUMIFS([1]Population!T:T,[1]Population!J:J,'MASTER-2025'!A3),0))</f>
        <v>0</v>
      </c>
      <c r="AU3" s="19">
        <f>IFERROR(VLOOKUP($A3,'[1]Donor-Served OBs'!A:N,13,0),0)</f>
        <v>0</v>
      </c>
      <c r="AV3" s="19">
        <f>ROUNDUP(IF(A3=0,0,IFERROR(VLOOKUP($A3,'[1]Donor''s Assigned Kilos'!A:N,14,0),0)),0)</f>
        <v>0</v>
      </c>
      <c r="AW3" s="19">
        <f>IF(A3=0,0,IFERROR(SUMIFS([1]Population!X:X,[1]Population!J:J,'MASTER-2025'!A3),0))</f>
        <v>0</v>
      </c>
      <c r="AX3" s="20">
        <f>IFERROR(VLOOKUP($A3,'[1]Donor-Served OBs'!A:N,16,0),0)</f>
        <v>0</v>
      </c>
      <c r="AY3" s="20">
        <f>ROUNDUP(IF(A3=0,0,IFERROR(VLOOKUP($A3,'[1]Donor''s Assigned Kilos'!A:O,16,0),0)),0)</f>
        <v>0</v>
      </c>
      <c r="AZ3" s="20">
        <f>IF(A3=0,0,IFERROR(SUMIFS([1]Population!Y:Y,[1]Population!J:J,'MASTER-2025'!A3),0))</f>
        <v>0</v>
      </c>
      <c r="BA3" s="21">
        <f t="shared" ref="BA3:BA8" si="4">+H3+K3+N3+Q3+T3+W3+Z3+AC3+AF3+AI3+AL3+AO3+AR3+AU3+AX3</f>
        <v>0</v>
      </c>
      <c r="BB3" s="21">
        <f>INT(I3+L3+O3+R3+U3+X3+AA3+AD3+AG3+AJ3+AM3+AP3+AS3+AV3+AY3)</f>
        <v>0</v>
      </c>
      <c r="BC3" s="21">
        <f t="shared" si="0"/>
        <v>0</v>
      </c>
      <c r="BD3" s="21">
        <f>IF(A3=0,0,(+J3+M3+P3+S3+V3+Y3+AB3+AE3+AH3+AK3+AN3+AQ3+AT3+AW3+AZ3))</f>
        <v>0</v>
      </c>
      <c r="BE3" s="22" t="e">
        <f>IF(A3=0,0,SUMIFS([1]Population!C:C,[1]Population!A:A,'MASTER-2025'!A3))</f>
        <v>#VALUE!</v>
      </c>
      <c r="BF3" s="22" t="e">
        <f>IF(A3=0,0,SUMIFS([1]Population!D:D,[1]Population!A:A,'MASTER-2025'!A3))</f>
        <v>#VALUE!</v>
      </c>
      <c r="BG3" s="22" t="e">
        <f>IF(A3=0,0,SUMIFS([1]Population!E:E,[1]Population!A:A,'MASTER-2025'!A3))</f>
        <v>#VALUE!</v>
      </c>
      <c r="BH3" s="22" t="e">
        <f>IF(A3=0,0,SUMIFS([1]Population!F:F,[1]Population!A:A,'MASTER-2025'!A3))</f>
        <v>#VALUE!</v>
      </c>
      <c r="BI3" s="22" t="e">
        <f t="shared" ref="BI3" si="5">+BF3+BG3+BH3</f>
        <v>#VALUE!</v>
      </c>
      <c r="BJ3" s="23" t="e">
        <f t="shared" ref="BJ3:BJ66" si="6">+BK3-BI3-BH3-BG3-BF3-BE3</f>
        <v>#VALUE!</v>
      </c>
      <c r="BK3" s="22" t="e">
        <f>IF(A3=0,0,SUMIFS([1]Population!G:G,[1]Population!A:A,'MASTER-2025'!A3))</f>
        <v>#VALUE!</v>
      </c>
      <c r="BL3" s="24" cm="1">
        <f t="array" ref="BL3:BW3">IFERROR(VLOOKUP(A3,'[1]Now-OB-kg-POB-25'!A:AQ,{3,4,5,6,7,8,9,10,11,12,13,14},0),0)</f>
        <v>34</v>
      </c>
      <c r="BM3" s="24">
        <v>0</v>
      </c>
      <c r="BN3" s="24">
        <v>13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4">
        <v>0</v>
      </c>
      <c r="BV3" s="24">
        <v>0</v>
      </c>
      <c r="BW3" s="24">
        <v>0</v>
      </c>
      <c r="BX3" s="24">
        <f t="shared" ref="BX3:BX66" si="7">SUM(BL3:BW3)</f>
        <v>47</v>
      </c>
      <c r="BY3" s="25" cm="1">
        <f t="array" ref="BY3:CJ3">IFERROR(VLOOKUP(A3,'[1]Now-OB-kg-POB-25'!A:AQ,{17,18,19,20,21,22,23,24,25,26,27,28},0),0)</f>
        <v>1045</v>
      </c>
      <c r="BZ3" s="25">
        <v>0</v>
      </c>
      <c r="CA3" s="25">
        <v>108</v>
      </c>
      <c r="CB3" s="25">
        <v>0</v>
      </c>
      <c r="CC3" s="25">
        <v>0</v>
      </c>
      <c r="CD3" s="25">
        <v>0</v>
      </c>
      <c r="CE3" s="25">
        <v>0</v>
      </c>
      <c r="CF3" s="25">
        <v>0</v>
      </c>
      <c r="CG3" s="25">
        <v>0</v>
      </c>
      <c r="CH3" s="25">
        <v>0</v>
      </c>
      <c r="CI3" s="25">
        <v>0</v>
      </c>
      <c r="CJ3" s="25">
        <v>0</v>
      </c>
      <c r="CK3" s="25">
        <f t="shared" ref="CK3:CK66" si="8">SUM(BY3:CJ3)</f>
        <v>1153</v>
      </c>
      <c r="CL3" s="26" cm="1">
        <f t="array" ref="CL3:CW3">IFERROR(VLOOKUP(A3,'[1]Now-OB-kg-POB-25'!A:AQ,{31,32,33,34,35,36,37,38,39,40,41,42},0),0)</f>
        <v>11762</v>
      </c>
      <c r="CM3" s="26">
        <v>0</v>
      </c>
      <c r="CN3" s="26">
        <v>3455</v>
      </c>
      <c r="CO3" s="26">
        <v>0</v>
      </c>
      <c r="CP3" s="26">
        <v>0</v>
      </c>
      <c r="CQ3" s="26">
        <v>0</v>
      </c>
      <c r="CR3" s="26">
        <v>0</v>
      </c>
      <c r="CS3" s="26">
        <v>0</v>
      </c>
      <c r="CT3" s="26">
        <v>0</v>
      </c>
      <c r="CU3" s="26">
        <v>0</v>
      </c>
      <c r="CV3" s="26">
        <v>0</v>
      </c>
      <c r="CW3" s="26">
        <v>0</v>
      </c>
      <c r="CX3" s="26">
        <f t="shared" ref="CX3:CX66" si="9">SUM(CL3:CW3)</f>
        <v>15217</v>
      </c>
      <c r="CY3" s="14" t="str">
        <f>IF(A3=0,0,IFERROR(VLOOKUP(A3,'[1]Info Donantes'!C:F,2,0),"Sin Contacto"))</f>
        <v>Sin Contacto</v>
      </c>
      <c r="CZ3" s="14" t="str">
        <f>IF(A3=0,0,IFERROR(VLOOKUP(A3,'[1]Info Donantes'!C:F,3,0),"Sin Correo"))</f>
        <v>Sin Correo</v>
      </c>
      <c r="DA3" s="14" t="str">
        <f>IF(A3=0,0,IFERROR(VLOOKUP(A3,'[1]Info Donantes'!C:F,4,0),"Sin Telefono"))</f>
        <v>Sin Telefono</v>
      </c>
      <c r="DB3" s="14" t="s">
        <v>109</v>
      </c>
    </row>
    <row r="4" spans="1:106" x14ac:dyDescent="0.55000000000000004">
      <c r="A4" s="14" t="s">
        <v>110</v>
      </c>
      <c r="B4" s="15">
        <f>INT(IFERROR(VLOOKUP(A4,'[1]Donor Summary'!C:F,3,0),0))</f>
        <v>0</v>
      </c>
      <c r="C4" s="15">
        <f>INT(ROUND(IFERROR(VLOOKUP(A4,'[1]Donor Summary'!C:F,4,0),0),1))</f>
        <v>0</v>
      </c>
      <c r="D4" s="16">
        <f t="shared" si="1"/>
        <v>0</v>
      </c>
      <c r="E4" s="17" t="str">
        <f t="shared" ref="E4:E8" si="10">IF(A4=0,"",TEXT((IFERROR(D4/C4,0)),"0.00%"))</f>
        <v>0.00%</v>
      </c>
      <c r="F4" s="17" t="str">
        <f t="shared" si="2"/>
        <v>0.0%</v>
      </c>
      <c r="G4" s="15">
        <f t="shared" si="3"/>
        <v>0</v>
      </c>
      <c r="H4" s="18"/>
      <c r="I4" s="18">
        <f>IFERROR(VLOOKUP(A4,'[1]Lot All by Part'!T:Y,6,0),0)</f>
        <v>0</v>
      </c>
      <c r="J4" s="18"/>
      <c r="K4" s="19">
        <f>IFERROR(VLOOKUP($A4,'[1]Donor-Served OBs'!A:N,3,0),0)</f>
        <v>0</v>
      </c>
      <c r="L4" s="19">
        <f>ROUNDUP(IF(A4=0,0,IFERROR(VLOOKUP($A4,'[1]Donor''s Assigned Kilos'!A:O,3,0),0)),0)</f>
        <v>0</v>
      </c>
      <c r="M4" s="19">
        <f>IF(A4=0,0,IFERROR(SUMIFS([1]Population!M:M,[1]Population!J:J,'MASTER-2025'!A4),0))</f>
        <v>0</v>
      </c>
      <c r="N4" s="20">
        <f>IFERROR(VLOOKUP($A4,'[1]Donor-Served OBs'!A:N,4,0),0)</f>
        <v>0</v>
      </c>
      <c r="O4" s="20">
        <f>ROUNDUP(IF(A4=0,0,IFERROR(VLOOKUP($A4,'[1]Donor''s Assigned Kilos'!A:O,4,0),0)),0)</f>
        <v>0</v>
      </c>
      <c r="P4" s="20">
        <f>IF(A4=0,0,IFERROR(SUMIFS([1]Population!N:N,[1]Population!J:J,'MASTER-2025'!A4),0))</f>
        <v>0</v>
      </c>
      <c r="Q4" s="18">
        <f>IFERROR(VLOOKUP($A4,'[1]Donor-Served OBs'!A:N,2,0),0)</f>
        <v>0</v>
      </c>
      <c r="R4" s="18">
        <f>ROUNDUP(ROUND(IF(A4=0,0,IFERROR(VLOOKUP($A4,'[1]Donor''s Assigned Kilos'!A:O,9,0),0)),1),0)</f>
        <v>0</v>
      </c>
      <c r="S4" s="18">
        <f>IF(A4=0,0,IFERROR(SUMIFS([1]Population!S:S,[1]Population!J:J,'MASTER-2025'!A4),0))</f>
        <v>0</v>
      </c>
      <c r="T4" s="19">
        <f>IFERROR(VLOOKUP($A4,'[1]Donor-Served OBs'!A:N,12,0),0)</f>
        <v>0</v>
      </c>
      <c r="U4" s="19">
        <f>ROUNDUP(IF(A4=0,0,IF(A4=0,0,IFERROR(VLOOKUP($A4,'[1]Donor''s Assigned Kilos'!A:O,7,0),0))),0)</f>
        <v>0</v>
      </c>
      <c r="V4" s="19">
        <f>IF(A4=0,0,IFERROR(SUMIFS([1]Population!Q:Q,[1]Population!J:J,'MASTER-2025'!A4),0))</f>
        <v>0</v>
      </c>
      <c r="W4" s="20">
        <f>IFERROR(VLOOKUP($A4,'[1]Donor-Served OBs'!A:N,10,0),0)</f>
        <v>0</v>
      </c>
      <c r="X4" s="20">
        <f>ROUNDUP(IF(A4=0,0,IFERROR(VLOOKUP($A4,'[1]Donor''s Assigned Kilos'!A:N,5,0),0)),0)</f>
        <v>0</v>
      </c>
      <c r="Y4" s="20">
        <f>IF(A4=0,0,IFERROR(SUMIFS([1]Population!O:O,[1]Population!J:J,'MASTER-2025'!A4),0))</f>
        <v>0</v>
      </c>
      <c r="Z4" s="18">
        <f>IFERROR(VLOOKUP($A4,'[1]Donor-Served OBs'!A:N,6,0),0)</f>
        <v>0</v>
      </c>
      <c r="AA4" s="18">
        <f>ROUNDUP(IF(A4=0,0,IFERROR(VLOOKUP($A4,'[1]Donor''s Assigned Kilos'!A:N,11,0),0)),0)</f>
        <v>0</v>
      </c>
      <c r="AB4" s="18">
        <f>IF(A4=0,0,IFERROR(SUMIFS([1]Population!U:U,[1]Population!J:J,'MASTER-2025'!A4),0))</f>
        <v>0</v>
      </c>
      <c r="AC4" s="19">
        <f>IFERROR(VLOOKUP($A4,'[1]Donor-Served OBs'!A:N,7,0),0)</f>
        <v>0</v>
      </c>
      <c r="AD4" s="19">
        <f>ROUNDUP(IF(A4=0,0,IFERROR(VLOOKUP($A4,'[1]Donor''s Assigned Kilos'!A:N,8,0),0)),0)</f>
        <v>0</v>
      </c>
      <c r="AE4" s="19">
        <f>IF(A4=0,0,IFERROR(SUMIFS([1]Population!R:R,[1]Population!J:J,'MASTER-2025'!A4),0))</f>
        <v>0</v>
      </c>
      <c r="AF4" s="20">
        <f>IFERROR(VLOOKUP($A4,'[1]Donor-Served OBs'!A:N,8,0),0)</f>
        <v>0</v>
      </c>
      <c r="AG4" s="20">
        <f>ROUNDUP(IF(A4=0,0,IFERROR(VLOOKUP($A4,'[1]Donor''s Assigned Kilos'!A:N,6,0),0)),0)</f>
        <v>0</v>
      </c>
      <c r="AH4" s="20">
        <f>IF(A4=0,0,IFERROR(SUMIFS([1]Population!P:P,[1]Population!J:J,'MASTER-2025'!A4),0))</f>
        <v>0</v>
      </c>
      <c r="AI4" s="18">
        <f>IFERROR(VLOOKUP($A4,'[1]Donor-Served OBs'!A:N,9,0),0)</f>
        <v>0</v>
      </c>
      <c r="AJ4" s="18">
        <f>ROUNDUP(IF(A4=0,0,IFERROR(VLOOKUP($A4,'[1]Donor''s Assigned Kilos'!A:N,12,0),0)),0)</f>
        <v>0</v>
      </c>
      <c r="AK4" s="18">
        <f>IF(A4=0,0,IFERROR(SUMIFS([1]Population!V:V,[1]Population!J:J,'MASTER-2025'!A4),0))</f>
        <v>0</v>
      </c>
      <c r="AL4" s="19">
        <f>IFERROR(VLOOKUP($A4,'[1]Donor-Served OBs'!A:N,16,0),0)</f>
        <v>0</v>
      </c>
      <c r="AM4" s="19">
        <f>ROUNDUP(IF(A4=0,0,IFERROR(VLOOKUP($A4,'[1]Donor''s Assigned Kilos'!A:O,16,0),0)),0)</f>
        <v>0</v>
      </c>
      <c r="AN4" s="19">
        <f>IF(A4=0,0,IFERROR(SUMIFS([1]Population!Z:Z,[1]Population!J:J,'MASTER-2025'!A4),0))</f>
        <v>0</v>
      </c>
      <c r="AO4" s="20">
        <f>IFERROR(VLOOKUP($A4,'[1]Donor-Served OBs'!A:N,11,0),0)</f>
        <v>0</v>
      </c>
      <c r="AP4" s="20">
        <f>ROUNDUP(IF(A4=0,0,IFERROR(VLOOKUP($A4,'[1]Donor''s Assigned Kilos'!A:N,13,0),0)),0)</f>
        <v>0</v>
      </c>
      <c r="AQ4" s="20">
        <f>IF(A4=0,0,IFERROR(SUMIFS([1]Population!W:W,[1]Population!J:J,'MASTER-2025'!A4),0))</f>
        <v>0</v>
      </c>
      <c r="AR4" s="18">
        <f>IFERROR(VLOOKUP($A4,'[1]Donor-Served OBs'!A:N,5,0),0)</f>
        <v>0</v>
      </c>
      <c r="AS4" s="18">
        <f>ROUNDUP(IF(A4=0,0,IFERROR(VLOOKUP($A4,'[1]Donor''s Assigned Kilos'!A:N,10,0),0)),0)</f>
        <v>0</v>
      </c>
      <c r="AT4" s="18">
        <f>IF(A4=0,0,IFERROR(SUMIFS([1]Population!T:T,[1]Population!J:J,'MASTER-2025'!A4),0))</f>
        <v>0</v>
      </c>
      <c r="AU4" s="19">
        <f>IFERROR(VLOOKUP($A4,'[1]Donor-Served OBs'!A:N,13,0),0)</f>
        <v>0</v>
      </c>
      <c r="AV4" s="19">
        <f>ROUNDUP(IF(A4=0,0,IFERROR(VLOOKUP($A4,'[1]Donor''s Assigned Kilos'!A:N,14,0),0)),0)</f>
        <v>0</v>
      </c>
      <c r="AW4" s="19">
        <f>IF(A4=0,0,IFERROR(SUMIFS([1]Population!X:X,[1]Population!J:J,'MASTER-2025'!A4),0))</f>
        <v>0</v>
      </c>
      <c r="AX4" s="20">
        <f>IFERROR(VLOOKUP($A4,'[1]Donor-Served OBs'!A:N,16,0),0)</f>
        <v>0</v>
      </c>
      <c r="AY4" s="20">
        <f>ROUNDUP(IF(A4=0,0,IFERROR(VLOOKUP($A4,'[1]Donor''s Assigned Kilos'!A:O,16,0),0)),0)</f>
        <v>0</v>
      </c>
      <c r="AZ4" s="20">
        <f>IF(A4=0,0,IFERROR(SUMIFS([1]Population!Y:Y,[1]Population!J:J,'MASTER-2025'!A4),0))</f>
        <v>0</v>
      </c>
      <c r="BA4" s="21">
        <f t="shared" si="4"/>
        <v>0</v>
      </c>
      <c r="BB4" s="21">
        <f>INT(I4+L4+O4+R4+U4+X4+AA4+AD4+AG4+AJ4+AM4+AP4+AS4+AV4+AY4)</f>
        <v>0</v>
      </c>
      <c r="BC4" s="21">
        <f t="shared" si="0"/>
        <v>0</v>
      </c>
      <c r="BD4" s="21">
        <f>IF(A4=0,0,(+J4+M4+P4+S4+V4+Y4+AB4+AE4+AH4+AK4+AN4+AQ4+AT4+AW4+AZ4))</f>
        <v>0</v>
      </c>
      <c r="BE4" s="22" t="e">
        <f>IF(A4=0,0,SUMIFS([1]Population!C:C,[1]Population!A:A,'MASTER-2025'!A4))</f>
        <v>#VALUE!</v>
      </c>
      <c r="BF4" s="22" t="e">
        <f>IF(A4=0,0,SUMIFS([1]Population!D:D,[1]Population!A:A,'MASTER-2025'!A4))</f>
        <v>#VALUE!</v>
      </c>
      <c r="BG4" s="22" t="e">
        <f>IF(A4=0,0,SUMIFS([1]Population!E:E,[1]Population!A:A,'MASTER-2025'!A4))</f>
        <v>#VALUE!</v>
      </c>
      <c r="BH4" s="22" t="e">
        <f>IF(A4=0,0,SUMIFS([1]Population!F:F,[1]Population!A:A,'MASTER-2025'!A4))</f>
        <v>#VALUE!</v>
      </c>
      <c r="BI4" s="22" t="e">
        <f>+BF4+BG4+BH4</f>
        <v>#VALUE!</v>
      </c>
      <c r="BJ4" s="23" t="e">
        <f t="shared" si="6"/>
        <v>#VALUE!</v>
      </c>
      <c r="BK4" s="22" t="e">
        <f>IF(A4=0,0,SUMIFS([1]Population!G:G,[1]Population!A:A,'MASTER-2025'!A4))</f>
        <v>#VALUE!</v>
      </c>
      <c r="BL4" s="24" cm="1">
        <f t="array" ref="BL4:BW4">IFERROR(VLOOKUP(A4,'[1]Now-OB-kg-POB-25'!A:AQ,{3,4,5,6,7,8,9,10,11,12,13,14},0),0)</f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4">
        <v>0</v>
      </c>
      <c r="BX4" s="24">
        <f t="shared" si="7"/>
        <v>0</v>
      </c>
      <c r="BY4" s="25" cm="1">
        <f t="array" ref="BY4:CJ4">IFERROR(VLOOKUP(A4,'[1]Now-OB-kg-POB-25'!A:AQ,{17,18,19,20,21,22,23,24,25,26,27,28},0),0)</f>
        <v>0</v>
      </c>
      <c r="BZ4" s="25">
        <v>0</v>
      </c>
      <c r="CA4" s="25">
        <v>0</v>
      </c>
      <c r="CB4" s="25">
        <v>0</v>
      </c>
      <c r="CC4" s="25">
        <v>0</v>
      </c>
      <c r="CD4" s="25">
        <v>0</v>
      </c>
      <c r="CE4" s="25">
        <v>0</v>
      </c>
      <c r="CF4" s="25">
        <v>0</v>
      </c>
      <c r="CG4" s="25">
        <v>0</v>
      </c>
      <c r="CH4" s="25">
        <v>0</v>
      </c>
      <c r="CI4" s="25">
        <v>0</v>
      </c>
      <c r="CJ4" s="25">
        <v>0</v>
      </c>
      <c r="CK4" s="25">
        <f t="shared" si="8"/>
        <v>0</v>
      </c>
      <c r="CL4" s="26" cm="1">
        <f t="array" ref="CL4:CW4">IFERROR(VLOOKUP(A4,'[1]Now-OB-kg-POB-25'!A:AQ,{31,32,33,34,35,36,37,38,39,40,41,42},0),0)</f>
        <v>0</v>
      </c>
      <c r="CM4" s="26">
        <v>0</v>
      </c>
      <c r="CN4" s="26">
        <v>0</v>
      </c>
      <c r="CO4" s="26">
        <v>0</v>
      </c>
      <c r="CP4" s="26">
        <v>0</v>
      </c>
      <c r="CQ4" s="26">
        <v>0</v>
      </c>
      <c r="CR4" s="26">
        <v>0</v>
      </c>
      <c r="CS4" s="26">
        <v>0</v>
      </c>
      <c r="CT4" s="26">
        <v>0</v>
      </c>
      <c r="CU4" s="26">
        <v>0</v>
      </c>
      <c r="CV4" s="26">
        <v>0</v>
      </c>
      <c r="CW4" s="26">
        <v>0</v>
      </c>
      <c r="CX4" s="26">
        <f t="shared" si="9"/>
        <v>0</v>
      </c>
      <c r="CY4" s="14" t="str">
        <f>IF(A4=0,0,IFERROR(VLOOKUP(A4,'[1]Info Donantes'!C:F,2,0),"Sin Contacto"))</f>
        <v>David Yanguez</v>
      </c>
      <c r="CZ4" s="14" t="str">
        <f>IF(A4=0,0,IFERROR(VLOOKUP(A4,'[1]Info Donantes'!C:F,3,0),"Sin Correo"))</f>
        <v>cafe.don.tino@hotmail.com</v>
      </c>
      <c r="DA4" s="14" t="str">
        <f>IF(A4=0,0,IFERROR(VLOOKUP(A4,'[1]Info Donantes'!C:F,4,0),"Sin Telefono"))</f>
        <v>851 0138</v>
      </c>
      <c r="DB4" s="14" t="s">
        <v>111</v>
      </c>
    </row>
    <row r="5" spans="1:106" x14ac:dyDescent="0.55000000000000004">
      <c r="A5" s="14" t="s">
        <v>112</v>
      </c>
      <c r="B5" s="15">
        <f>INT(IFERROR(VLOOKUP(A5,'[1]Donor Summary'!C:F,3,0),0))</f>
        <v>0</v>
      </c>
      <c r="C5" s="15">
        <f>INT(ROUND(IFERROR(VLOOKUP(A5,'[1]Donor Summary'!C:F,4,0),0),1))</f>
        <v>45</v>
      </c>
      <c r="D5" s="16">
        <f t="shared" si="1"/>
        <v>45</v>
      </c>
      <c r="E5" s="17" t="str">
        <f t="shared" si="10"/>
        <v>100.00%</v>
      </c>
      <c r="F5" s="17" t="str">
        <f t="shared" si="2"/>
        <v>0.0%</v>
      </c>
      <c r="G5" s="15">
        <f t="shared" si="3"/>
        <v>135</v>
      </c>
      <c r="H5" s="18"/>
      <c r="I5" s="18">
        <f>IFERROR(VLOOKUP(A5,'[1]Lot All by Part'!T:Y,6,0),0)</f>
        <v>0</v>
      </c>
      <c r="J5" s="18"/>
      <c r="K5" s="19">
        <f>IFERROR(VLOOKUP($A5,'[1]Donor-Served OBs'!A:N,3,0),0)</f>
        <v>0</v>
      </c>
      <c r="L5" s="19">
        <f>ROUNDUP(IF(A5=0,0,IFERROR(VLOOKUP($A5,'[1]Donor''s Assigned Kilos'!A:O,3,0),0)),0)</f>
        <v>0</v>
      </c>
      <c r="M5" s="19">
        <f>IF(A5=0,0,IFERROR(SUMIFS([1]Population!M:M,[1]Population!J:J,'MASTER-2025'!A5),0))</f>
        <v>0</v>
      </c>
      <c r="N5" s="20">
        <f>IFERROR(VLOOKUP($A5,'[1]Donor-Served OBs'!A:N,4,0),0)</f>
        <v>0</v>
      </c>
      <c r="O5" s="20">
        <f>ROUNDUP(IF(A5=0,0,IFERROR(VLOOKUP($A5,'[1]Donor''s Assigned Kilos'!A:O,4,0),0)),0)</f>
        <v>0</v>
      </c>
      <c r="P5" s="20">
        <f>IF(A5=0,0,IFERROR(SUMIFS([1]Population!N:N,[1]Population!J:J,'MASTER-2025'!A5),0))</f>
        <v>0</v>
      </c>
      <c r="Q5" s="18">
        <f>IFERROR(VLOOKUP($A5,'[1]Donor-Served OBs'!A:N,2,0),0)</f>
        <v>0</v>
      </c>
      <c r="R5" s="18">
        <f>ROUNDUP(ROUND(IF(A5=0,0,IFERROR(VLOOKUP($A5,'[1]Donor''s Assigned Kilos'!A:O,9,0),0)),1),0)</f>
        <v>0</v>
      </c>
      <c r="S5" s="18">
        <f>IF(A5=0,0,IFERROR(SUMIFS([1]Population!S:S,[1]Population!J:J,'MASTER-2025'!A5),0))</f>
        <v>0</v>
      </c>
      <c r="T5" s="19">
        <f>IFERROR(VLOOKUP($A5,'[1]Donor-Served OBs'!A:N,12,0),0)</f>
        <v>0</v>
      </c>
      <c r="U5" s="19">
        <f>ROUNDUP(IF(A5=0,0,IF(A5=0,0,IFERROR(VLOOKUP($A5,'[1]Donor''s Assigned Kilos'!A:O,7,0),0))),0)</f>
        <v>0</v>
      </c>
      <c r="V5" s="19">
        <f>IF(A5=0,0,IFERROR(SUMIFS([1]Population!Q:Q,[1]Population!J:J,'MASTER-2025'!A5),0))</f>
        <v>0</v>
      </c>
      <c r="W5" s="20">
        <f>IFERROR(VLOOKUP($A5,'[1]Donor-Served OBs'!A:N,10,0),0)</f>
        <v>0</v>
      </c>
      <c r="X5" s="20">
        <f>ROUNDUP(IF(A5=0,0,IFERROR(VLOOKUP($A5,'[1]Donor''s Assigned Kilos'!A:N,5,0),0)),0)</f>
        <v>0</v>
      </c>
      <c r="Y5" s="20">
        <f>IF(A5=0,0,IFERROR(SUMIFS([1]Population!O:O,[1]Population!J:J,'MASTER-2025'!A5),0))</f>
        <v>0</v>
      </c>
      <c r="Z5" s="18">
        <f>IFERROR(VLOOKUP($A5,'[1]Donor-Served OBs'!A:N,6,0),0)</f>
        <v>1</v>
      </c>
      <c r="AA5" s="18">
        <f>ROUNDUP(IF(A5=0,0,IFERROR(VLOOKUP($A5,'[1]Donor''s Assigned Kilos'!A:N,11,0),0)),0)</f>
        <v>3</v>
      </c>
      <c r="AB5" s="18">
        <f>IF(A5=0,0,IFERROR(SUMIFS([1]Population!U:U,[1]Population!J:J,'MASTER-2025'!A5),0))</f>
        <v>0</v>
      </c>
      <c r="AC5" s="19">
        <f>IFERROR(VLOOKUP($A5,'[1]Donor-Served OBs'!A:N,7,0),0)</f>
        <v>0</v>
      </c>
      <c r="AD5" s="19">
        <f>ROUNDUP(IF(A5=0,0,IFERROR(VLOOKUP($A5,'[1]Donor''s Assigned Kilos'!A:N,8,0),0)),0)</f>
        <v>0</v>
      </c>
      <c r="AE5" s="19">
        <f>IF(A5=0,0,IFERROR(SUMIFS([1]Population!R:R,[1]Population!J:J,'MASTER-2025'!A5),0))</f>
        <v>0</v>
      </c>
      <c r="AF5" s="20">
        <f>IFERROR(VLOOKUP($A5,'[1]Donor-Served OBs'!A:N,8,0),0)</f>
        <v>0</v>
      </c>
      <c r="AG5" s="20">
        <f>ROUNDUP(IF(A5=0,0,IFERROR(VLOOKUP($A5,'[1]Donor''s Assigned Kilos'!A:N,6,0),0)),0)</f>
        <v>0</v>
      </c>
      <c r="AH5" s="20">
        <f>IF(A5=0,0,IFERROR(SUMIFS([1]Population!P:P,[1]Population!J:J,'MASTER-2025'!A5),0))</f>
        <v>0</v>
      </c>
      <c r="AI5" s="18">
        <f>IFERROR(VLOOKUP($A5,'[1]Donor-Served OBs'!A:N,9,0),0)</f>
        <v>1</v>
      </c>
      <c r="AJ5" s="18">
        <f>ROUNDUP(IF(A5=0,0,IFERROR(VLOOKUP($A5,'[1]Donor''s Assigned Kilos'!A:N,12,0),0)),0)</f>
        <v>3</v>
      </c>
      <c r="AK5" s="18">
        <f>IF(A5=0,0,IFERROR(SUMIFS([1]Population!V:V,[1]Population!J:J,'MASTER-2025'!A5),0))</f>
        <v>0</v>
      </c>
      <c r="AL5" s="19">
        <f>IFERROR(VLOOKUP($A5,'[1]Donor-Served OBs'!A:N,16,0),0)</f>
        <v>0</v>
      </c>
      <c r="AM5" s="19">
        <f>ROUNDUP(IF(A5=0,0,IFERROR(VLOOKUP($A5,'[1]Donor''s Assigned Kilos'!A:O,16,0),0)),0)</f>
        <v>0</v>
      </c>
      <c r="AN5" s="19">
        <f>IF(A5=0,0,IFERROR(SUMIFS([1]Population!Z:Z,[1]Population!J:J,'MASTER-2025'!A5),0))</f>
        <v>0</v>
      </c>
      <c r="AO5" s="20">
        <f>IFERROR(VLOOKUP($A5,'[1]Donor-Served OBs'!A:N,11,0),0)</f>
        <v>0</v>
      </c>
      <c r="AP5" s="20">
        <f>ROUNDUP(IF(A5=0,0,IFERROR(VLOOKUP($A5,'[1]Donor''s Assigned Kilos'!A:N,13,0),0)),0)</f>
        <v>0</v>
      </c>
      <c r="AQ5" s="20">
        <f>IF(A5=0,0,IFERROR(SUMIFS([1]Population!W:W,[1]Population!J:J,'MASTER-2025'!A5),0))</f>
        <v>0</v>
      </c>
      <c r="AR5" s="18">
        <f>IFERROR(VLOOKUP($A5,'[1]Donor-Served OBs'!A:N,5,0),0)</f>
        <v>0</v>
      </c>
      <c r="AS5" s="18">
        <f>ROUNDUP(IF(A5=0,0,IFERROR(VLOOKUP($A5,'[1]Donor''s Assigned Kilos'!A:N,10,0),0)),0)</f>
        <v>0</v>
      </c>
      <c r="AT5" s="18">
        <f>IF(A5=0,0,IFERROR(SUMIFS([1]Population!T:T,[1]Population!J:J,'MASTER-2025'!A5),0))</f>
        <v>0</v>
      </c>
      <c r="AU5" s="19">
        <f>IFERROR(VLOOKUP($A5,'[1]Donor-Served OBs'!A:N,13,0),0)</f>
        <v>0</v>
      </c>
      <c r="AV5" s="19">
        <f>ROUNDUP(IF(A5=0,0,IFERROR(VLOOKUP($A5,'[1]Donor''s Assigned Kilos'!A:N,14,0),0)),0)</f>
        <v>0</v>
      </c>
      <c r="AW5" s="19">
        <f>IF(A5=0,0,IFERROR(SUMIFS([1]Population!X:X,[1]Population!J:J,'MASTER-2025'!A5),0))</f>
        <v>0</v>
      </c>
      <c r="AX5" s="20">
        <f>IFERROR(VLOOKUP($A5,'[1]Donor-Served OBs'!A:N,16,0),0)</f>
        <v>0</v>
      </c>
      <c r="AY5" s="20">
        <f>ROUNDUP(IF(A5=0,0,IFERROR(VLOOKUP($A5,'[1]Donor''s Assigned Kilos'!A:O,16,0),0)),0)</f>
        <v>0</v>
      </c>
      <c r="AZ5" s="20">
        <f>IF(A5=0,0,IFERROR(SUMIFS([1]Population!Y:Y,[1]Population!J:J,'MASTER-2025'!A5),0))</f>
        <v>0</v>
      </c>
      <c r="BA5" s="21">
        <f t="shared" si="4"/>
        <v>2</v>
      </c>
      <c r="BB5" s="21">
        <f t="shared" ref="BB5:BB6" si="11">INT(I5+L5+O5+R5+U5+X5+AA5+AD5+AG5+AJ5+AM5+AP5+AS5+AV5+AY5)</f>
        <v>6</v>
      </c>
      <c r="BC5" s="21">
        <f t="shared" si="0"/>
        <v>0</v>
      </c>
      <c r="BD5" s="21">
        <f t="shared" ref="BD5:BD9" si="12">IF(A5=0,0,(+J5+M5+P5+S5+V5+Y5+AB5+AE5+AH5+AK5+AN5+AQ5+AT5+AW5+AZ5))</f>
        <v>0</v>
      </c>
      <c r="BE5" s="22" t="e">
        <f>IF(A5=0,0,SUMIFS([1]Population!C:C,[1]Population!A:A,'MASTER-2025'!A5))</f>
        <v>#VALUE!</v>
      </c>
      <c r="BF5" s="22" t="e">
        <f>IF(A5=0,0,SUMIFS([1]Population!D:D,[1]Population!A:A,'MASTER-2025'!A5))</f>
        <v>#VALUE!</v>
      </c>
      <c r="BG5" s="22" t="e">
        <f>IF(A5=0,0,SUMIFS([1]Population!E:E,[1]Population!A:A,'MASTER-2025'!A5))</f>
        <v>#VALUE!</v>
      </c>
      <c r="BH5" s="22" t="e">
        <f>IF(A5=0,0,SUMIFS([1]Population!F:F,[1]Population!A:A,'MASTER-2025'!A5))</f>
        <v>#VALUE!</v>
      </c>
      <c r="BI5" s="22" t="e">
        <f t="shared" ref="BI5:BI9" si="13">+BF5+BG5+BH5</f>
        <v>#VALUE!</v>
      </c>
      <c r="BJ5" s="23" t="e">
        <f t="shared" si="6"/>
        <v>#VALUE!</v>
      </c>
      <c r="BK5" s="22" t="e">
        <f>IF(A5=0,0,SUMIFS([1]Population!G:G,[1]Population!A:A,'MASTER-2025'!A5))</f>
        <v>#VALUE!</v>
      </c>
      <c r="BL5" s="24" cm="1">
        <f t="array" ref="BL5:BW5">IFERROR(VLOOKUP(A5,'[1]Now-OB-kg-POB-25'!A:AQ,{3,4,5,6,7,8,9,10,11,12,13,14},0),0)</f>
        <v>0</v>
      </c>
      <c r="BM5" s="24">
        <v>3</v>
      </c>
      <c r="BN5" s="24">
        <v>2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4">
        <v>0</v>
      </c>
      <c r="BX5" s="24">
        <f t="shared" si="7"/>
        <v>5</v>
      </c>
      <c r="BY5" s="25" cm="1">
        <f t="array" ref="BY5:CJ5">IFERROR(VLOOKUP(A5,'[1]Now-OB-kg-POB-25'!A:AQ,{17,18,19,20,21,22,23,24,25,26,27,28},0),0)</f>
        <v>45</v>
      </c>
      <c r="BZ5" s="25">
        <v>45</v>
      </c>
      <c r="CA5" s="25">
        <v>45</v>
      </c>
      <c r="CB5" s="25">
        <v>0</v>
      </c>
      <c r="CC5" s="25">
        <v>0</v>
      </c>
      <c r="CD5" s="25">
        <v>0</v>
      </c>
      <c r="CE5" s="25">
        <v>0</v>
      </c>
      <c r="CF5" s="25">
        <v>0</v>
      </c>
      <c r="CG5" s="25">
        <v>0</v>
      </c>
      <c r="CH5" s="25">
        <v>0</v>
      </c>
      <c r="CI5" s="25">
        <v>0</v>
      </c>
      <c r="CJ5" s="25">
        <v>0</v>
      </c>
      <c r="CK5" s="25">
        <f t="shared" si="8"/>
        <v>135</v>
      </c>
      <c r="CL5" s="26" cm="1">
        <f t="array" ref="CL5:CW5">IFERROR(VLOOKUP(A5,'[1]Now-OB-kg-POB-25'!A:AQ,{31,32,33,34,35,36,37,38,39,40,41,42},0),0)</f>
        <v>0</v>
      </c>
      <c r="CM5" s="26">
        <v>333</v>
      </c>
      <c r="CN5" s="26">
        <v>340</v>
      </c>
      <c r="CO5" s="26">
        <v>0</v>
      </c>
      <c r="CP5" s="26">
        <v>0</v>
      </c>
      <c r="CQ5" s="26">
        <v>0</v>
      </c>
      <c r="CR5" s="26">
        <v>0</v>
      </c>
      <c r="CS5" s="26">
        <v>0</v>
      </c>
      <c r="CT5" s="26">
        <v>0</v>
      </c>
      <c r="CU5" s="26">
        <v>0</v>
      </c>
      <c r="CV5" s="26">
        <v>0</v>
      </c>
      <c r="CW5" s="26">
        <v>0</v>
      </c>
      <c r="CX5" s="26">
        <f t="shared" si="9"/>
        <v>673</v>
      </c>
      <c r="CY5" s="14" t="str">
        <f>IF(A5=0,0,IFERROR(VLOOKUP(A5,'[1]Info Donantes'!C:F,2,0),"Sin Contacto"))</f>
        <v>Jose Tello</v>
      </c>
      <c r="CZ5" s="14" t="str">
        <f>IF(A5=0,0,IFERROR(VLOOKUP(A5,'[1]Info Donantes'!C:F,3,0),"Sin Correo"))</f>
        <v>tmj1929@hotmail.com</v>
      </c>
      <c r="DA5" s="14" t="str">
        <f>IF(A5=0,0,IFERROR(VLOOKUP(A5,'[1]Info Donantes'!C:F,4,0),"Sin Telefono"))</f>
        <v>6675-0897</v>
      </c>
      <c r="DB5" s="14" t="s">
        <v>113</v>
      </c>
    </row>
    <row r="6" spans="1:106" x14ac:dyDescent="0.55000000000000004">
      <c r="A6" s="14" t="s">
        <v>114</v>
      </c>
      <c r="B6" s="15">
        <f>INT(IFERROR(VLOOKUP(A6,'[1]Donor Summary'!C:F,3,0),0))</f>
        <v>0</v>
      </c>
      <c r="C6" s="15">
        <f>INT(ROUND(IFERROR(VLOOKUP(A6,'[1]Donor Summary'!C:F,4,0),0),1))</f>
        <v>0</v>
      </c>
      <c r="D6" s="16">
        <f t="shared" si="1"/>
        <v>0</v>
      </c>
      <c r="E6" s="17" t="str">
        <f t="shared" si="10"/>
        <v>0.00%</v>
      </c>
      <c r="F6" s="17" t="str">
        <f t="shared" si="2"/>
        <v>0.0%</v>
      </c>
      <c r="G6" s="15">
        <f t="shared" si="3"/>
        <v>0</v>
      </c>
      <c r="H6" s="18"/>
      <c r="I6" s="18">
        <f>IFERROR(VLOOKUP(A6,'[1]Lot All by Part'!T:Y,6,0),0)</f>
        <v>0</v>
      </c>
      <c r="J6" s="18"/>
      <c r="K6" s="19">
        <f>IFERROR(VLOOKUP($A6,'[1]Donor-Served OBs'!A:N,3,0),0)</f>
        <v>0</v>
      </c>
      <c r="L6" s="19">
        <f>ROUNDUP(IF(A6=0,0,IFERROR(VLOOKUP($A6,'[1]Donor''s Assigned Kilos'!A:O,3,0),0)),0)</f>
        <v>0</v>
      </c>
      <c r="M6" s="19">
        <f>IF(A6=0,0,IFERROR(SUMIFS([1]Population!M:M,[1]Population!J:J,'MASTER-2025'!A6),0))</f>
        <v>0</v>
      </c>
      <c r="N6" s="20">
        <f>IFERROR(VLOOKUP($A6,'[1]Donor-Served OBs'!A:N,4,0),0)</f>
        <v>0</v>
      </c>
      <c r="O6" s="20">
        <f>ROUNDUP(IF(A6=0,0,IFERROR(VLOOKUP($A6,'[1]Donor''s Assigned Kilos'!A:O,4,0),0)),0)</f>
        <v>0</v>
      </c>
      <c r="P6" s="20">
        <f>IF(A6=0,0,IFERROR(SUMIFS([1]Population!N:N,[1]Population!J:J,'MASTER-2025'!A6),0))</f>
        <v>0</v>
      </c>
      <c r="Q6" s="18">
        <f>IFERROR(VLOOKUP($A6,'[1]Donor-Served OBs'!A:N,2,0),0)</f>
        <v>0</v>
      </c>
      <c r="R6" s="18">
        <f>ROUNDUP(ROUND(IF(A6=0,0,IFERROR(VLOOKUP($A6,'[1]Donor''s Assigned Kilos'!A:O,9,0),0)),1),0)</f>
        <v>0</v>
      </c>
      <c r="S6" s="18">
        <f>IF(A6=0,0,IFERROR(SUMIFS([1]Population!S:S,[1]Population!J:J,'MASTER-2025'!A6),0))</f>
        <v>0</v>
      </c>
      <c r="T6" s="19">
        <f>IFERROR(VLOOKUP($A6,'[1]Donor-Served OBs'!A:N,12,0),0)</f>
        <v>0</v>
      </c>
      <c r="U6" s="19">
        <f>ROUNDUP(IF(A6=0,0,IF(A6=0,0,IFERROR(VLOOKUP($A6,'[1]Donor''s Assigned Kilos'!A:O,7,0),0))),0)</f>
        <v>0</v>
      </c>
      <c r="V6" s="19">
        <f>IF(A6=0,0,IFERROR(SUMIFS([1]Population!Q:Q,[1]Population!J:J,'MASTER-2025'!A6),0))</f>
        <v>0</v>
      </c>
      <c r="W6" s="20">
        <f>IFERROR(VLOOKUP($A6,'[1]Donor-Served OBs'!A:N,10,0),0)</f>
        <v>0</v>
      </c>
      <c r="X6" s="20">
        <f>ROUNDUP(IF(A6=0,0,IFERROR(VLOOKUP($A6,'[1]Donor''s Assigned Kilos'!A:N,5,0),0)),0)</f>
        <v>0</v>
      </c>
      <c r="Y6" s="20">
        <f>IF(A6=0,0,IFERROR(SUMIFS([1]Population!O:O,[1]Population!J:J,'MASTER-2025'!A6),0))</f>
        <v>0</v>
      </c>
      <c r="Z6" s="18">
        <f>IFERROR(VLOOKUP($A6,'[1]Donor-Served OBs'!A:N,6,0),0)</f>
        <v>0</v>
      </c>
      <c r="AA6" s="18">
        <f>ROUNDUP(IF(A6=0,0,IFERROR(VLOOKUP($A6,'[1]Donor''s Assigned Kilos'!A:N,11,0),0)),0)</f>
        <v>0</v>
      </c>
      <c r="AB6" s="18">
        <f>IF(A6=0,0,IFERROR(SUMIFS([1]Population!U:U,[1]Population!J:J,'MASTER-2025'!A6),0))</f>
        <v>0</v>
      </c>
      <c r="AC6" s="19">
        <f>IFERROR(VLOOKUP($A6,'[1]Donor-Served OBs'!A:N,7,0),0)</f>
        <v>0</v>
      </c>
      <c r="AD6" s="19">
        <f>ROUNDUP(IF(A6=0,0,IFERROR(VLOOKUP($A6,'[1]Donor''s Assigned Kilos'!A:N,8,0),0)),0)</f>
        <v>0</v>
      </c>
      <c r="AE6" s="19">
        <f>IF(A6=0,0,IFERROR(SUMIFS([1]Population!R:R,[1]Population!J:J,'MASTER-2025'!A6),0))</f>
        <v>0</v>
      </c>
      <c r="AF6" s="20">
        <f>IFERROR(VLOOKUP($A6,'[1]Donor-Served OBs'!A:N,8,0),0)</f>
        <v>0</v>
      </c>
      <c r="AG6" s="20">
        <f>ROUNDUP(IF(A6=0,0,IFERROR(VLOOKUP($A6,'[1]Donor''s Assigned Kilos'!A:N,6,0),0)),0)</f>
        <v>0</v>
      </c>
      <c r="AH6" s="20">
        <f>IF(A6=0,0,IFERROR(SUMIFS([1]Population!P:P,[1]Population!J:J,'MASTER-2025'!A6),0))</f>
        <v>0</v>
      </c>
      <c r="AI6" s="18">
        <f>IFERROR(VLOOKUP($A6,'[1]Donor-Served OBs'!A:N,9,0),0)</f>
        <v>0</v>
      </c>
      <c r="AJ6" s="18">
        <f>ROUNDUP(IF(A6=0,0,IFERROR(VLOOKUP($A6,'[1]Donor''s Assigned Kilos'!A:N,12,0),0)),0)</f>
        <v>0</v>
      </c>
      <c r="AK6" s="18">
        <f>IF(A6=0,0,IFERROR(SUMIFS([1]Population!V:V,[1]Population!J:J,'MASTER-2025'!A6),0))</f>
        <v>0</v>
      </c>
      <c r="AL6" s="19">
        <f>IFERROR(VLOOKUP($A6,'[1]Donor-Served OBs'!A:N,16,0),0)</f>
        <v>0</v>
      </c>
      <c r="AM6" s="19">
        <f>ROUNDUP(IF(A6=0,0,IFERROR(VLOOKUP($A6,'[1]Donor''s Assigned Kilos'!A:O,16,0),0)),0)</f>
        <v>0</v>
      </c>
      <c r="AN6" s="19">
        <f>IF(A6=0,0,IFERROR(SUMIFS([1]Population!Z:Z,[1]Population!J:J,'MASTER-2025'!A6),0))</f>
        <v>0</v>
      </c>
      <c r="AO6" s="20">
        <f>IFERROR(VLOOKUP($A6,'[1]Donor-Served OBs'!A:N,11,0),0)</f>
        <v>0</v>
      </c>
      <c r="AP6" s="20">
        <f>ROUNDUP(IF(A6=0,0,IFERROR(VLOOKUP($A6,'[1]Donor''s Assigned Kilos'!A:N,13,0),0)),0)</f>
        <v>0</v>
      </c>
      <c r="AQ6" s="20">
        <f>IF(A6=0,0,IFERROR(SUMIFS([1]Population!W:W,[1]Population!J:J,'MASTER-2025'!A6),0))</f>
        <v>0</v>
      </c>
      <c r="AR6" s="18">
        <f>IFERROR(VLOOKUP($A6,'[1]Donor-Served OBs'!A:N,5,0),0)</f>
        <v>0</v>
      </c>
      <c r="AS6" s="18">
        <f>ROUNDUP(IF(A6=0,0,IFERROR(VLOOKUP($A6,'[1]Donor''s Assigned Kilos'!A:N,10,0),0)),0)</f>
        <v>0</v>
      </c>
      <c r="AT6" s="18">
        <f>IF(A6=0,0,IFERROR(SUMIFS([1]Population!T:T,[1]Population!J:J,'MASTER-2025'!A6),0))</f>
        <v>0</v>
      </c>
      <c r="AU6" s="19">
        <f>IFERROR(VLOOKUP($A6,'[1]Donor-Served OBs'!A:N,13,0),0)</f>
        <v>0</v>
      </c>
      <c r="AV6" s="19">
        <f>ROUNDUP(IF(A6=0,0,IFERROR(VLOOKUP($A6,'[1]Donor''s Assigned Kilos'!A:N,14,0),0)),0)</f>
        <v>0</v>
      </c>
      <c r="AW6" s="19">
        <f>IF(A6=0,0,IFERROR(SUMIFS([1]Population!X:X,[1]Population!J:J,'MASTER-2025'!A6),0))</f>
        <v>0</v>
      </c>
      <c r="AX6" s="20">
        <f>IFERROR(VLOOKUP($A6,'[1]Donor-Served OBs'!A:N,16,0),0)</f>
        <v>0</v>
      </c>
      <c r="AY6" s="20">
        <f>ROUNDUP(IF(A6=0,0,IFERROR(VLOOKUP($A6,'[1]Donor''s Assigned Kilos'!A:O,16,0),0)),0)</f>
        <v>0</v>
      </c>
      <c r="AZ6" s="20">
        <f>IF(A6=0,0,IFERROR(SUMIFS([1]Population!Y:Y,[1]Population!J:J,'MASTER-2025'!A6),0))</f>
        <v>0</v>
      </c>
      <c r="BA6" s="21">
        <f t="shared" si="4"/>
        <v>0</v>
      </c>
      <c r="BB6" s="21">
        <f t="shared" si="11"/>
        <v>0</v>
      </c>
      <c r="BC6" s="21">
        <f t="shared" si="0"/>
        <v>0</v>
      </c>
      <c r="BD6" s="21">
        <f t="shared" si="12"/>
        <v>0</v>
      </c>
      <c r="BE6" s="22" t="e">
        <f>IF(A6=0,0,SUMIFS([1]Population!C:C,[1]Population!A:A,'MASTER-2025'!A6))</f>
        <v>#VALUE!</v>
      </c>
      <c r="BF6" s="22" t="e">
        <f>IF(A6=0,0,SUMIFS([1]Population!D:D,[1]Population!A:A,'MASTER-2025'!A6))</f>
        <v>#VALUE!</v>
      </c>
      <c r="BG6" s="22" t="e">
        <f>IF(A6=0,0,SUMIFS([1]Population!E:E,[1]Population!A:A,'MASTER-2025'!A6))</f>
        <v>#VALUE!</v>
      </c>
      <c r="BH6" s="22" t="e">
        <f>IF(A6=0,0,SUMIFS([1]Population!F:F,[1]Population!A:A,'MASTER-2025'!A6))</f>
        <v>#VALUE!</v>
      </c>
      <c r="BI6" s="22" t="e">
        <f t="shared" si="13"/>
        <v>#VALUE!</v>
      </c>
      <c r="BJ6" s="23" t="e">
        <f t="shared" si="6"/>
        <v>#VALUE!</v>
      </c>
      <c r="BK6" s="22" t="e">
        <f>IF(A6=0,0,SUMIFS([1]Population!G:G,[1]Population!A:A,'MASTER-2025'!A6))</f>
        <v>#VALUE!</v>
      </c>
      <c r="BL6" s="24" cm="1">
        <f t="array" ref="BL6:BW6">IFERROR(VLOOKUP(A6,'[1]Now-OB-kg-POB-25'!A:AQ,{3,4,5,6,7,8,9,10,11,12,13,14},0),0)</f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24">
        <v>0</v>
      </c>
      <c r="BU6" s="24">
        <v>0</v>
      </c>
      <c r="BV6" s="24">
        <v>0</v>
      </c>
      <c r="BW6" s="24">
        <v>0</v>
      </c>
      <c r="BX6" s="24">
        <f t="shared" si="7"/>
        <v>0</v>
      </c>
      <c r="BY6" s="25" cm="1">
        <f t="array" ref="BY6:CJ6">IFERROR(VLOOKUP(A6,'[1]Now-OB-kg-POB-25'!A:AQ,{17,18,19,20,21,22,23,24,25,26,27,28},0),0)</f>
        <v>0</v>
      </c>
      <c r="BZ6" s="25">
        <v>0</v>
      </c>
      <c r="CA6" s="25">
        <v>0</v>
      </c>
      <c r="CB6" s="25">
        <v>0</v>
      </c>
      <c r="CC6" s="25">
        <v>0</v>
      </c>
      <c r="CD6" s="25">
        <v>0</v>
      </c>
      <c r="CE6" s="25">
        <v>0</v>
      </c>
      <c r="CF6" s="25">
        <v>0</v>
      </c>
      <c r="CG6" s="25">
        <v>0</v>
      </c>
      <c r="CH6" s="25">
        <v>0</v>
      </c>
      <c r="CI6" s="25">
        <v>0</v>
      </c>
      <c r="CJ6" s="25">
        <v>0</v>
      </c>
      <c r="CK6" s="25">
        <f t="shared" si="8"/>
        <v>0</v>
      </c>
      <c r="CL6" s="26" cm="1">
        <f t="array" ref="CL6:CW6">IFERROR(VLOOKUP(A6,'[1]Now-OB-kg-POB-25'!A:AQ,{31,32,33,34,35,36,37,38,39,40,41,42},0),0)</f>
        <v>0</v>
      </c>
      <c r="CM6" s="26">
        <v>0</v>
      </c>
      <c r="CN6" s="26">
        <v>0</v>
      </c>
      <c r="CO6" s="26">
        <v>0</v>
      </c>
      <c r="CP6" s="26">
        <v>0</v>
      </c>
      <c r="CQ6" s="26">
        <v>0</v>
      </c>
      <c r="CR6" s="26">
        <v>0</v>
      </c>
      <c r="CS6" s="26">
        <v>0</v>
      </c>
      <c r="CT6" s="26">
        <v>0</v>
      </c>
      <c r="CU6" s="26">
        <v>0</v>
      </c>
      <c r="CV6" s="26">
        <v>0</v>
      </c>
      <c r="CW6" s="26">
        <v>0</v>
      </c>
      <c r="CX6" s="26">
        <f t="shared" si="9"/>
        <v>0</v>
      </c>
      <c r="CY6" s="14" t="str">
        <f>IF(A6=0,0,IFERROR(VLOOKUP(A6,'[1]Info Donantes'!C:F,2,0),"Sin Contacto"))</f>
        <v>Sin Contacto</v>
      </c>
      <c r="CZ6" s="14" t="str">
        <f>IF(A6=0,0,IFERROR(VLOOKUP(A6,'[1]Info Donantes'!C:F,3,0),"Sin Correo"))</f>
        <v>Sin Correo</v>
      </c>
      <c r="DA6" s="14" t="str">
        <f>IF(A6=0,0,IFERROR(VLOOKUP(A6,'[1]Info Donantes'!C:F,4,0),"Sin Telefono"))</f>
        <v>Sin Telefono</v>
      </c>
      <c r="DB6" s="14" t="s">
        <v>115</v>
      </c>
    </row>
    <row r="7" spans="1:106" x14ac:dyDescent="0.55000000000000004">
      <c r="A7" s="14" t="s">
        <v>116</v>
      </c>
      <c r="B7" s="15">
        <f>INT(IFERROR(VLOOKUP(A7,'[1]Donor Summary'!C:F,3,0),0))</f>
        <v>0</v>
      </c>
      <c r="C7" s="15">
        <f>INT(ROUND(IFERROR(VLOOKUP(A7,'[1]Donor Summary'!C:F,4,0),0),1))</f>
        <v>0</v>
      </c>
      <c r="D7" s="16">
        <f t="shared" si="1"/>
        <v>0</v>
      </c>
      <c r="E7" s="17" t="str">
        <f t="shared" si="10"/>
        <v>0.00%</v>
      </c>
      <c r="F7" s="17" t="str">
        <f t="shared" si="2"/>
        <v>0.0%</v>
      </c>
      <c r="G7" s="15">
        <f t="shared" si="3"/>
        <v>0</v>
      </c>
      <c r="H7" s="18"/>
      <c r="I7" s="18">
        <f>IFERROR(VLOOKUP(A7,'[1]Lot All by Part'!T:Y,6,0),0)</f>
        <v>0</v>
      </c>
      <c r="J7" s="18"/>
      <c r="K7" s="19">
        <f>IFERROR(VLOOKUP($A7,'[1]Donor-Served OBs'!A:N,3,0),0)</f>
        <v>0</v>
      </c>
      <c r="L7" s="19">
        <f>ROUNDUP(IF(A7=0,0,IFERROR(VLOOKUP($A7,'[1]Donor''s Assigned Kilos'!A:O,3,0),0)),0)</f>
        <v>0</v>
      </c>
      <c r="M7" s="19">
        <f>IF(A7=0,0,IFERROR(SUMIFS([1]Population!M:M,[1]Population!J:J,'MASTER-2025'!A7),0))</f>
        <v>0</v>
      </c>
      <c r="N7" s="20">
        <f>IFERROR(VLOOKUP($A7,'[1]Donor-Served OBs'!A:N,4,0),0)</f>
        <v>0</v>
      </c>
      <c r="O7" s="20">
        <f>ROUNDUP(IF(A7=0,0,IFERROR(VLOOKUP($A7,'[1]Donor''s Assigned Kilos'!A:O,4,0),0)),0)</f>
        <v>0</v>
      </c>
      <c r="P7" s="20">
        <f>IF(A7=0,0,IFERROR(SUMIFS([1]Population!N:N,[1]Population!J:J,'MASTER-2025'!A7),0))</f>
        <v>0</v>
      </c>
      <c r="Q7" s="18">
        <f>IFERROR(VLOOKUP($A7,'[1]Donor-Served OBs'!A:N,2,0),0)</f>
        <v>0</v>
      </c>
      <c r="R7" s="18">
        <f>ROUNDUP(ROUND(IF(A7=0,0,IFERROR(VLOOKUP($A7,'[1]Donor''s Assigned Kilos'!A:O,9,0),0)),1),0)</f>
        <v>0</v>
      </c>
      <c r="S7" s="18">
        <f>IF(A7=0,0,IFERROR(SUMIFS([1]Population!S:S,[1]Population!J:J,'MASTER-2025'!A7),0))</f>
        <v>0</v>
      </c>
      <c r="T7" s="19">
        <f>IFERROR(VLOOKUP($A7,'[1]Donor-Served OBs'!A:N,12,0),0)</f>
        <v>0</v>
      </c>
      <c r="U7" s="19">
        <f>ROUNDUP(IF(A7=0,0,IF(A7=0,0,IFERROR(VLOOKUP($A7,'[1]Donor''s Assigned Kilos'!A:O,7,0),0))),0)</f>
        <v>0</v>
      </c>
      <c r="V7" s="19">
        <f>IF(A7=0,0,IFERROR(SUMIFS([1]Population!Q:Q,[1]Population!J:J,'MASTER-2025'!A7),0))</f>
        <v>0</v>
      </c>
      <c r="W7" s="20">
        <f>IFERROR(VLOOKUP($A7,'[1]Donor-Served OBs'!A:N,10,0),0)</f>
        <v>0</v>
      </c>
      <c r="X7" s="20">
        <f>ROUNDUP(IF(A7=0,0,IFERROR(VLOOKUP($A7,'[1]Donor''s Assigned Kilos'!A:N,5,0),0)),0)</f>
        <v>0</v>
      </c>
      <c r="Y7" s="20">
        <f>IF(A7=0,0,IFERROR(SUMIFS([1]Population!O:O,[1]Population!J:J,'MASTER-2025'!A7),0))</f>
        <v>0</v>
      </c>
      <c r="Z7" s="18">
        <f>IFERROR(VLOOKUP($A7,'[1]Donor-Served OBs'!A:N,6,0),0)</f>
        <v>0</v>
      </c>
      <c r="AA7" s="18">
        <f>ROUNDUP(IF(A7=0,0,IFERROR(VLOOKUP($A7,'[1]Donor''s Assigned Kilos'!A:N,11,0),0)),0)</f>
        <v>0</v>
      </c>
      <c r="AB7" s="18">
        <f>IF(A7=0,0,IFERROR(SUMIFS([1]Population!U:U,[1]Population!J:J,'MASTER-2025'!A7),0))</f>
        <v>0</v>
      </c>
      <c r="AC7" s="19">
        <f>IFERROR(VLOOKUP($A7,'[1]Donor-Served OBs'!A:N,7,0),0)</f>
        <v>0</v>
      </c>
      <c r="AD7" s="19">
        <f>ROUNDUP(IF(A7=0,0,IFERROR(VLOOKUP($A7,'[1]Donor''s Assigned Kilos'!A:N,8,0),0)),0)</f>
        <v>0</v>
      </c>
      <c r="AE7" s="19">
        <f>IF(A7=0,0,IFERROR(SUMIFS([1]Population!R:R,[1]Population!J:J,'MASTER-2025'!A7),0))</f>
        <v>0</v>
      </c>
      <c r="AF7" s="20">
        <f>IFERROR(VLOOKUP($A7,'[1]Donor-Served OBs'!A:N,8,0),0)</f>
        <v>0</v>
      </c>
      <c r="AG7" s="20">
        <f>ROUNDUP(IF(A7=0,0,IFERROR(VLOOKUP($A7,'[1]Donor''s Assigned Kilos'!A:N,6,0),0)),0)</f>
        <v>0</v>
      </c>
      <c r="AH7" s="20">
        <f>IF(A7=0,0,IFERROR(SUMIFS([1]Population!P:P,[1]Population!J:J,'MASTER-2025'!A7),0))</f>
        <v>0</v>
      </c>
      <c r="AI7" s="18">
        <f>IFERROR(VLOOKUP($A7,'[1]Donor-Served OBs'!A:N,9,0),0)</f>
        <v>0</v>
      </c>
      <c r="AJ7" s="18">
        <f>ROUNDUP(IF(A7=0,0,IFERROR(VLOOKUP($A7,'[1]Donor''s Assigned Kilos'!A:N,12,0),0)),0)</f>
        <v>0</v>
      </c>
      <c r="AK7" s="18">
        <f>IF(A7=0,0,IFERROR(SUMIFS([1]Population!V:V,[1]Population!J:J,'MASTER-2025'!A7),0))</f>
        <v>0</v>
      </c>
      <c r="AL7" s="19">
        <f>IFERROR(VLOOKUP($A7,'[1]Donor-Served OBs'!A:N,16,0),0)</f>
        <v>0</v>
      </c>
      <c r="AM7" s="19">
        <f>ROUNDUP(IF(A7=0,0,IFERROR(VLOOKUP($A7,'[1]Donor''s Assigned Kilos'!A:O,16,0),0)),0)</f>
        <v>0</v>
      </c>
      <c r="AN7" s="19">
        <f>IF(A7=0,0,IFERROR(SUMIFS([1]Population!Z:Z,[1]Population!J:J,'MASTER-2025'!A7),0))</f>
        <v>0</v>
      </c>
      <c r="AO7" s="20">
        <f>IFERROR(VLOOKUP($A7,'[1]Donor-Served OBs'!A:N,11,0),0)</f>
        <v>0</v>
      </c>
      <c r="AP7" s="20">
        <f>ROUNDUP(IF(A7=0,0,IFERROR(VLOOKUP($A7,'[1]Donor''s Assigned Kilos'!A:N,13,0),0)),0)</f>
        <v>0</v>
      </c>
      <c r="AQ7" s="20">
        <f>IF(A7=0,0,IFERROR(SUMIFS([1]Population!W:W,[1]Population!J:J,'MASTER-2025'!A7),0))</f>
        <v>0</v>
      </c>
      <c r="AR7" s="18">
        <f>IFERROR(VLOOKUP($A7,'[1]Donor-Served OBs'!A:N,5,0),0)</f>
        <v>0</v>
      </c>
      <c r="AS7" s="18">
        <f>ROUNDUP(IF(A7=0,0,IFERROR(VLOOKUP($A7,'[1]Donor''s Assigned Kilos'!A:N,10,0),0)),0)</f>
        <v>0</v>
      </c>
      <c r="AT7" s="18">
        <f>IF(A7=0,0,IFERROR(SUMIFS([1]Population!T:T,[1]Population!J:J,'MASTER-2025'!A7),0))</f>
        <v>0</v>
      </c>
      <c r="AU7" s="19">
        <f>IFERROR(VLOOKUP($A7,'[1]Donor-Served OBs'!A:N,13,0),0)</f>
        <v>0</v>
      </c>
      <c r="AV7" s="19">
        <f>ROUNDUP(IF(A7=0,0,IFERROR(VLOOKUP($A7,'[1]Donor''s Assigned Kilos'!A:N,14,0),0)),0)</f>
        <v>0</v>
      </c>
      <c r="AW7" s="19">
        <f>IF(A7=0,0,IFERROR(SUMIFS([1]Population!X:X,[1]Population!J:J,'MASTER-2025'!A7),0))</f>
        <v>0</v>
      </c>
      <c r="AX7" s="20">
        <f>IFERROR(VLOOKUP($A7,'[1]Donor-Served OBs'!A:N,16,0),0)</f>
        <v>0</v>
      </c>
      <c r="AY7" s="20">
        <f>ROUNDUP(IF(A7=0,0,IFERROR(VLOOKUP($A7,'[1]Donor''s Assigned Kilos'!A:O,16,0),0)),0)</f>
        <v>0</v>
      </c>
      <c r="AZ7" s="20">
        <f>IF(A7=0,0,IFERROR(SUMIFS([1]Population!Y:Y,[1]Population!J:J,'MASTER-2025'!A7),0))</f>
        <v>0</v>
      </c>
      <c r="BA7" s="21">
        <f t="shared" si="4"/>
        <v>0</v>
      </c>
      <c r="BB7" s="21">
        <f>INT(I7+L7+O7+R7+U7+X7+AA7+AD7+AG7+AJ7+AM7+AP7+AS7+AV7+AY7)</f>
        <v>0</v>
      </c>
      <c r="BC7" s="21">
        <f t="shared" si="0"/>
        <v>0</v>
      </c>
      <c r="BD7" s="21">
        <f t="shared" si="12"/>
        <v>0</v>
      </c>
      <c r="BE7" s="22" t="e">
        <f>IF(A7=0,0,SUMIFS([1]Population!C:C,[1]Population!A:A,'MASTER-2025'!A7))</f>
        <v>#VALUE!</v>
      </c>
      <c r="BF7" s="22" t="e">
        <f>IF(A7=0,0,SUMIFS([1]Population!D:D,[1]Population!A:A,'MASTER-2025'!A7))</f>
        <v>#VALUE!</v>
      </c>
      <c r="BG7" s="22" t="e">
        <f>IF(A7=0,0,SUMIFS([1]Population!E:E,[1]Population!A:A,'MASTER-2025'!A7))</f>
        <v>#VALUE!</v>
      </c>
      <c r="BH7" s="22" t="e">
        <f>IF(A7=0,0,SUMIFS([1]Population!F:F,[1]Population!A:A,'MASTER-2025'!A7))</f>
        <v>#VALUE!</v>
      </c>
      <c r="BI7" s="22" t="e">
        <f t="shared" si="13"/>
        <v>#VALUE!</v>
      </c>
      <c r="BJ7" s="23" t="e">
        <f t="shared" si="6"/>
        <v>#VALUE!</v>
      </c>
      <c r="BK7" s="22" t="e">
        <f>IF(A7=0,0,SUMIFS([1]Population!G:G,[1]Population!A:A,'MASTER-2025'!A7))</f>
        <v>#VALUE!</v>
      </c>
      <c r="BL7" s="24" cm="1">
        <f t="array" ref="BL7:BW7">IFERROR(VLOOKUP(A7,'[1]Now-OB-kg-POB-25'!A:AQ,{3,4,5,6,7,8,9,10,11,12,13,14},0),0)</f>
        <v>33</v>
      </c>
      <c r="BM7" s="24">
        <v>33</v>
      </c>
      <c r="BN7" s="24">
        <v>23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24">
        <v>0</v>
      </c>
      <c r="BU7" s="24">
        <v>0</v>
      </c>
      <c r="BV7" s="24">
        <v>0</v>
      </c>
      <c r="BW7" s="24">
        <v>0</v>
      </c>
      <c r="BX7" s="24">
        <f t="shared" si="7"/>
        <v>89</v>
      </c>
      <c r="BY7" s="25" cm="1">
        <f t="array" ref="BY7:CJ7">IFERROR(VLOOKUP(A7,'[1]Now-OB-kg-POB-25'!A:AQ,{17,18,19,20,21,22,23,24,25,26,27,28},0),0)</f>
        <v>678</v>
      </c>
      <c r="BZ7" s="25">
        <v>663</v>
      </c>
      <c r="CA7" s="25">
        <v>663</v>
      </c>
      <c r="CB7" s="25">
        <v>0</v>
      </c>
      <c r="CC7" s="25">
        <v>0</v>
      </c>
      <c r="CD7" s="25">
        <v>0</v>
      </c>
      <c r="CE7" s="25">
        <v>0</v>
      </c>
      <c r="CF7" s="25">
        <v>0</v>
      </c>
      <c r="CG7" s="25">
        <v>0</v>
      </c>
      <c r="CH7" s="25">
        <v>0</v>
      </c>
      <c r="CI7" s="25">
        <v>0</v>
      </c>
      <c r="CJ7" s="25">
        <v>0</v>
      </c>
      <c r="CK7" s="25">
        <f t="shared" si="8"/>
        <v>2004</v>
      </c>
      <c r="CL7" s="26" cm="1">
        <f t="array" ref="CL7:CW7">IFERROR(VLOOKUP(A7,'[1]Now-OB-kg-POB-25'!A:AQ,{31,32,33,34,35,36,37,38,39,40,41,42},0),0)</f>
        <v>14845</v>
      </c>
      <c r="CM7" s="26">
        <v>8298</v>
      </c>
      <c r="CN7" s="26">
        <v>6241</v>
      </c>
      <c r="CO7" s="26">
        <v>0</v>
      </c>
      <c r="CP7" s="26">
        <v>0</v>
      </c>
      <c r="CQ7" s="26">
        <v>0</v>
      </c>
      <c r="CR7" s="26">
        <v>0</v>
      </c>
      <c r="CS7" s="26">
        <v>0</v>
      </c>
      <c r="CT7" s="26">
        <v>0</v>
      </c>
      <c r="CU7" s="26">
        <v>0</v>
      </c>
      <c r="CV7" s="26">
        <v>0</v>
      </c>
      <c r="CW7" s="26">
        <v>0</v>
      </c>
      <c r="CX7" s="26">
        <f t="shared" si="9"/>
        <v>29384</v>
      </c>
      <c r="CY7" s="14" t="str">
        <f>IF(A7=0,0,IFERROR(VLOOKUP(A7,'[1]Info Donantes'!C:F,2,0),"Sin Contacto"))</f>
        <v>Sin Contacto</v>
      </c>
      <c r="CZ7" s="14" t="str">
        <f>IF(A7=0,0,IFERROR(VLOOKUP(A7,'[1]Info Donantes'!C:F,3,0),"Sin Correo"))</f>
        <v>Sin Correo</v>
      </c>
      <c r="DA7" s="14" t="str">
        <f>IF(A7=0,0,IFERROR(VLOOKUP(A7,'[1]Info Donantes'!C:F,4,0),"Sin Telefono"))</f>
        <v>Sin Telefono</v>
      </c>
      <c r="DB7" s="14" t="s">
        <v>117</v>
      </c>
    </row>
    <row r="8" spans="1:106" x14ac:dyDescent="0.55000000000000004">
      <c r="A8" s="14" t="s">
        <v>118</v>
      </c>
      <c r="B8" s="15">
        <f>INT(IFERROR(VLOOKUP(A8,'[1]Donor Summary'!C:F,3,0),0))</f>
        <v>0</v>
      </c>
      <c r="C8" s="15">
        <f>INT(ROUND(IFERROR(VLOOKUP(A8,'[1]Donor Summary'!C:F,4,0),0),1))</f>
        <v>0</v>
      </c>
      <c r="D8" s="16">
        <f t="shared" si="1"/>
        <v>0</v>
      </c>
      <c r="E8" s="17" t="str">
        <f t="shared" si="10"/>
        <v>0.00%</v>
      </c>
      <c r="F8" s="17" t="str">
        <f t="shared" si="2"/>
        <v>0.0%</v>
      </c>
      <c r="G8" s="15">
        <f t="shared" si="3"/>
        <v>0</v>
      </c>
      <c r="H8" s="18"/>
      <c r="I8" s="18">
        <f>IFERROR(VLOOKUP(A8,'[1]Lot All by Part'!T:Y,6,0),0)</f>
        <v>0</v>
      </c>
      <c r="J8" s="18"/>
      <c r="K8" s="19">
        <f>IFERROR(VLOOKUP($A8,'[1]Donor-Served OBs'!A:N,3,0),0)</f>
        <v>0</v>
      </c>
      <c r="L8" s="19">
        <f>ROUNDUP(IF(A8=0,0,IFERROR(VLOOKUP($A8,'[1]Donor''s Assigned Kilos'!A:O,3,0),0)),0)</f>
        <v>0</v>
      </c>
      <c r="M8" s="19">
        <f>IF(A8=0,0,IFERROR(SUMIFS([1]Population!M:M,[1]Population!J:J,'MASTER-2025'!A8),0))</f>
        <v>0</v>
      </c>
      <c r="N8" s="20">
        <f>IFERROR(VLOOKUP($A8,'[1]Donor-Served OBs'!A:N,4,0),0)</f>
        <v>0</v>
      </c>
      <c r="O8" s="20">
        <f>ROUNDUP(IF(A8=0,0,IFERROR(VLOOKUP($A8,'[1]Donor''s Assigned Kilos'!A:O,4,0),0)),0)</f>
        <v>0</v>
      </c>
      <c r="P8" s="20">
        <f>IF(A8=0,0,IFERROR(SUMIFS([1]Population!N:N,[1]Population!J:J,'MASTER-2025'!A8),0))</f>
        <v>0</v>
      </c>
      <c r="Q8" s="18">
        <f>IFERROR(VLOOKUP($A8,'[1]Donor-Served OBs'!A:N,2,0),0)</f>
        <v>0</v>
      </c>
      <c r="R8" s="18">
        <f>ROUNDUP(ROUND(IF(A8=0,0,IFERROR(VLOOKUP($A8,'[1]Donor''s Assigned Kilos'!A:O,9,0),0)),1),0)</f>
        <v>0</v>
      </c>
      <c r="S8" s="18">
        <f>IF(A8=0,0,IFERROR(SUMIFS([1]Population!S:S,[1]Population!J:J,'MASTER-2025'!A8),0))</f>
        <v>0</v>
      </c>
      <c r="T8" s="19">
        <f>IFERROR(VLOOKUP($A8,'[1]Donor-Served OBs'!A:N,12,0),0)</f>
        <v>0</v>
      </c>
      <c r="U8" s="19">
        <f>ROUNDUP(IF(A8=0,0,IF(A8=0,0,IFERROR(VLOOKUP($A8,'[1]Donor''s Assigned Kilos'!A:O,7,0),0))),0)</f>
        <v>0</v>
      </c>
      <c r="V8" s="19">
        <f>IF(A8=0,0,IFERROR(SUMIFS([1]Population!Q:Q,[1]Population!J:J,'MASTER-2025'!A8),0))</f>
        <v>0</v>
      </c>
      <c r="W8" s="20">
        <f>IFERROR(VLOOKUP($A8,'[1]Donor-Served OBs'!A:N,10,0),0)</f>
        <v>0</v>
      </c>
      <c r="X8" s="20">
        <f>ROUNDUP(IF(A8=0,0,IFERROR(VLOOKUP($A8,'[1]Donor''s Assigned Kilos'!A:N,5,0),0)),0)</f>
        <v>0</v>
      </c>
      <c r="Y8" s="20">
        <f>IF(A8=0,0,IFERROR(SUMIFS([1]Population!O:O,[1]Population!J:J,'MASTER-2025'!A8),0))</f>
        <v>0</v>
      </c>
      <c r="Z8" s="18">
        <f>IFERROR(VLOOKUP($A8,'[1]Donor-Served OBs'!A:N,6,0),0)</f>
        <v>0</v>
      </c>
      <c r="AA8" s="18">
        <f>ROUNDUP(IF(A8=0,0,IFERROR(VLOOKUP($A8,'[1]Donor''s Assigned Kilos'!A:N,11,0),0)),0)</f>
        <v>0</v>
      </c>
      <c r="AB8" s="18">
        <f>IF(A8=0,0,IFERROR(SUMIFS([1]Population!U:U,[1]Population!J:J,'MASTER-2025'!A8),0))</f>
        <v>0</v>
      </c>
      <c r="AC8" s="19">
        <f>IFERROR(VLOOKUP($A8,'[1]Donor-Served OBs'!A:N,7,0),0)</f>
        <v>0</v>
      </c>
      <c r="AD8" s="19">
        <f>ROUNDUP(IF(A8=0,0,IFERROR(VLOOKUP($A8,'[1]Donor''s Assigned Kilos'!A:N,8,0),0)),0)</f>
        <v>0</v>
      </c>
      <c r="AE8" s="19">
        <f>IF(A8=0,0,IFERROR(SUMIFS([1]Population!R:R,[1]Population!J:J,'MASTER-2025'!A8),0))</f>
        <v>0</v>
      </c>
      <c r="AF8" s="20">
        <f>IFERROR(VLOOKUP($A8,'[1]Donor-Served OBs'!A:N,8,0),0)</f>
        <v>0</v>
      </c>
      <c r="AG8" s="20">
        <f>ROUNDUP(IF(A8=0,0,IFERROR(VLOOKUP($A8,'[1]Donor''s Assigned Kilos'!A:N,6,0),0)),0)</f>
        <v>0</v>
      </c>
      <c r="AH8" s="20">
        <f>IF(A8=0,0,IFERROR(SUMIFS([1]Population!P:P,[1]Population!J:J,'MASTER-2025'!A8),0))</f>
        <v>0</v>
      </c>
      <c r="AI8" s="18">
        <f>IFERROR(VLOOKUP($A8,'[1]Donor-Served OBs'!A:N,9,0),0)</f>
        <v>0</v>
      </c>
      <c r="AJ8" s="18">
        <f>ROUNDUP(IF(A8=0,0,IFERROR(VLOOKUP($A8,'[1]Donor''s Assigned Kilos'!A:N,12,0),0)),0)</f>
        <v>0</v>
      </c>
      <c r="AK8" s="18">
        <f>IF(A8=0,0,IFERROR(SUMIFS([1]Population!V:V,[1]Population!J:J,'MASTER-2025'!A8),0))</f>
        <v>0</v>
      </c>
      <c r="AL8" s="19">
        <f>IFERROR(VLOOKUP($A8,'[1]Donor-Served OBs'!A:N,16,0),0)</f>
        <v>0</v>
      </c>
      <c r="AM8" s="19">
        <f>ROUNDUP(IF(A8=0,0,IFERROR(VLOOKUP($A8,'[1]Donor''s Assigned Kilos'!A:O,16,0),0)),0)</f>
        <v>0</v>
      </c>
      <c r="AN8" s="19">
        <f>IF(A8=0,0,IFERROR(SUMIFS([1]Population!Z:Z,[1]Population!J:J,'MASTER-2025'!A8),0))</f>
        <v>0</v>
      </c>
      <c r="AO8" s="20">
        <f>IFERROR(VLOOKUP($A8,'[1]Donor-Served OBs'!A:N,11,0),0)</f>
        <v>0</v>
      </c>
      <c r="AP8" s="20">
        <f>ROUNDUP(IF(A8=0,0,IFERROR(VLOOKUP($A8,'[1]Donor''s Assigned Kilos'!A:N,13,0),0)),0)</f>
        <v>0</v>
      </c>
      <c r="AQ8" s="20">
        <f>IF(A8=0,0,IFERROR(SUMIFS([1]Population!W:W,[1]Population!J:J,'MASTER-2025'!A8),0))</f>
        <v>0</v>
      </c>
      <c r="AR8" s="18">
        <f>IFERROR(VLOOKUP($A8,'[1]Donor-Served OBs'!A:N,5,0),0)</f>
        <v>0</v>
      </c>
      <c r="AS8" s="18">
        <f>ROUNDUP(IF(A8=0,0,IFERROR(VLOOKUP($A8,'[1]Donor''s Assigned Kilos'!A:N,10,0),0)),0)</f>
        <v>0</v>
      </c>
      <c r="AT8" s="18">
        <f>IF(A8=0,0,IFERROR(SUMIFS([1]Population!T:T,[1]Population!J:J,'MASTER-2025'!A8),0))</f>
        <v>0</v>
      </c>
      <c r="AU8" s="19">
        <f>IFERROR(VLOOKUP($A8,'[1]Donor-Served OBs'!A:N,13,0),0)</f>
        <v>0</v>
      </c>
      <c r="AV8" s="19">
        <f>ROUNDUP(IF(A8=0,0,IFERROR(VLOOKUP($A8,'[1]Donor''s Assigned Kilos'!A:N,14,0),0)),0)</f>
        <v>0</v>
      </c>
      <c r="AW8" s="19">
        <f>IF(A8=0,0,IFERROR(SUMIFS([1]Population!X:X,[1]Population!J:J,'MASTER-2025'!A8),0))</f>
        <v>0</v>
      </c>
      <c r="AX8" s="20">
        <f>IFERROR(VLOOKUP($A8,'[1]Donor-Served OBs'!A:N,16,0),0)</f>
        <v>0</v>
      </c>
      <c r="AY8" s="20">
        <f>ROUNDUP(IF(A8=0,0,IFERROR(VLOOKUP($A8,'[1]Donor''s Assigned Kilos'!A:O,16,0),0)),0)</f>
        <v>0</v>
      </c>
      <c r="AZ8" s="20">
        <f>IF(A8=0,0,IFERROR(SUMIFS([1]Population!Y:Y,[1]Population!J:J,'MASTER-2025'!A8),0))</f>
        <v>0</v>
      </c>
      <c r="BA8" s="21">
        <f t="shared" si="4"/>
        <v>0</v>
      </c>
      <c r="BB8" s="21">
        <f>INT(I8+L8+O8+R8+U8+X8+AA8+AD8+AG8+AJ8+AM8+AP8+AS8+AV8+AY8)</f>
        <v>0</v>
      </c>
      <c r="BC8" s="21">
        <f t="shared" si="0"/>
        <v>0</v>
      </c>
      <c r="BD8" s="21">
        <f t="shared" si="12"/>
        <v>0</v>
      </c>
      <c r="BE8" s="22" t="e">
        <f>IF(A8=0,0,SUMIFS([1]Population!C:C,[1]Population!A:A,'MASTER-2025'!A8))</f>
        <v>#VALUE!</v>
      </c>
      <c r="BF8" s="22" t="e">
        <f>IF(A8=0,0,SUMIFS([1]Population!D:D,[1]Population!A:A,'MASTER-2025'!A8))</f>
        <v>#VALUE!</v>
      </c>
      <c r="BG8" s="22" t="e">
        <f>IF(A8=0,0,SUMIFS([1]Population!E:E,[1]Population!A:A,'MASTER-2025'!A8))</f>
        <v>#VALUE!</v>
      </c>
      <c r="BH8" s="22" t="e">
        <f>IF(A8=0,0,SUMIFS([1]Population!F:F,[1]Population!A:A,'MASTER-2025'!A8))</f>
        <v>#VALUE!</v>
      </c>
      <c r="BI8" s="22" t="e">
        <f t="shared" si="13"/>
        <v>#VALUE!</v>
      </c>
      <c r="BJ8" s="23" t="e">
        <f t="shared" si="6"/>
        <v>#VALUE!</v>
      </c>
      <c r="BK8" s="22" t="e">
        <f>IF(A8=0,0,SUMIFS([1]Population!G:G,[1]Population!A:A,'MASTER-2025'!A8))</f>
        <v>#VALUE!</v>
      </c>
      <c r="BL8" s="24" cm="1">
        <f t="array" ref="BL8:BW8">IFERROR(VLOOKUP(A8,'[1]Now-OB-kg-POB-25'!A:AQ,{3,4,5,6,7,8,9,10,11,12,13,14},0),0)</f>
        <v>100</v>
      </c>
      <c r="BM8" s="24">
        <v>117</v>
      </c>
      <c r="BN8" s="24">
        <v>148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0</v>
      </c>
      <c r="BU8" s="24">
        <v>0</v>
      </c>
      <c r="BV8" s="24">
        <v>0</v>
      </c>
      <c r="BW8" s="24">
        <v>0</v>
      </c>
      <c r="BX8" s="24">
        <f t="shared" si="7"/>
        <v>365</v>
      </c>
      <c r="BY8" s="25" cm="1">
        <f t="array" ref="BY8:CJ8">IFERROR(VLOOKUP(A8,'[1]Now-OB-kg-POB-25'!A:AQ,{17,18,19,20,21,22,23,24,25,26,27,28},0),0)</f>
        <v>26159</v>
      </c>
      <c r="BZ8" s="25">
        <v>21470</v>
      </c>
      <c r="CA8" s="25">
        <v>60995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0</v>
      </c>
      <c r="CH8" s="25">
        <v>0</v>
      </c>
      <c r="CI8" s="25">
        <v>0</v>
      </c>
      <c r="CJ8" s="25">
        <v>0</v>
      </c>
      <c r="CK8" s="25">
        <f t="shared" si="8"/>
        <v>108624</v>
      </c>
      <c r="CL8" s="26" cm="1">
        <f t="array" ref="CL8:CW8">IFERROR(VLOOKUP(A8,'[1]Now-OB-kg-POB-25'!A:AQ,{31,32,33,34,35,36,37,38,39,40,41,42},0),0)</f>
        <v>33000</v>
      </c>
      <c r="CM8" s="26">
        <v>35637</v>
      </c>
      <c r="CN8" s="26">
        <v>44724</v>
      </c>
      <c r="CO8" s="26">
        <v>0</v>
      </c>
      <c r="CP8" s="26">
        <v>0</v>
      </c>
      <c r="CQ8" s="26">
        <v>0</v>
      </c>
      <c r="CR8" s="26">
        <v>0</v>
      </c>
      <c r="CS8" s="26">
        <v>0</v>
      </c>
      <c r="CT8" s="26">
        <v>0</v>
      </c>
      <c r="CU8" s="26">
        <v>0</v>
      </c>
      <c r="CV8" s="26">
        <v>0</v>
      </c>
      <c r="CW8" s="26">
        <v>0</v>
      </c>
      <c r="CX8" s="26">
        <f t="shared" si="9"/>
        <v>113361</v>
      </c>
      <c r="CY8" s="14" t="str">
        <f>IF(A8=0,0,IFERROR(VLOOKUP(A8,'[1]Info Donantes'!C:F,2,0),"Sin Contacto"))</f>
        <v>Sin Contacto</v>
      </c>
      <c r="CZ8" s="14" t="str">
        <f>IF(A8=0,0,IFERROR(VLOOKUP(A8,'[1]Info Donantes'!C:F,3,0),"Sin Correo"))</f>
        <v>Sin Correo</v>
      </c>
      <c r="DA8" s="14" t="str">
        <f>IF(A8=0,0,IFERROR(VLOOKUP(A8,'[1]Info Donantes'!C:F,4,0),"Sin Telefono"))</f>
        <v>Sin Telefono</v>
      </c>
      <c r="DB8" s="14" t="s">
        <v>119</v>
      </c>
    </row>
    <row r="9" spans="1:106" x14ac:dyDescent="0.55000000000000004">
      <c r="A9" s="14" t="s">
        <v>120</v>
      </c>
      <c r="B9" s="15">
        <f>INT(IFERROR(VLOOKUP(A9,'[1]Donor Summary'!C:F,3,0),0))</f>
        <v>0</v>
      </c>
      <c r="C9" s="15">
        <f>INT(ROUND(IFERROR(VLOOKUP(A9,'[1]Donor Summary'!C:F,4,0),0),1))</f>
        <v>0</v>
      </c>
      <c r="D9" s="16">
        <f>INT(ROUND(C9-B9,1))</f>
        <v>0</v>
      </c>
      <c r="E9" s="17" t="str">
        <f>IF(A9=0,"",TEXT((IFERROR(D9/C9,0)),"0.00%"))</f>
        <v>0.00%</v>
      </c>
      <c r="F9" s="17" t="str">
        <f>IF(A9=0,"",TEXT((IFERROR(B9/C9,0)),"0.0%"))</f>
        <v>0.0%</v>
      </c>
      <c r="G9" s="15">
        <f>INT(D9*3)</f>
        <v>0</v>
      </c>
      <c r="H9" s="18"/>
      <c r="I9" s="18">
        <f>IFERROR(VLOOKUP(A9,'[1]Lot All by Part'!T:Y,6,0),0)</f>
        <v>0</v>
      </c>
      <c r="J9" s="18"/>
      <c r="K9" s="19">
        <f>IFERROR(VLOOKUP($A9,'[1]Donor-Served OBs'!A:N,3,0),0)</f>
        <v>0</v>
      </c>
      <c r="L9" s="19">
        <f>ROUNDUP(IF(A9=0,0,IFERROR(VLOOKUP($A9,'[1]Donor''s Assigned Kilos'!A:O,3,0),0)),0)</f>
        <v>0</v>
      </c>
      <c r="M9" s="19">
        <f>IF(A9=0,0,IFERROR(SUMIFS([1]Population!M:M,[1]Population!J:J,'MASTER-2025'!A9),0))</f>
        <v>0</v>
      </c>
      <c r="N9" s="20">
        <f>IFERROR(VLOOKUP($A9,'[1]Donor-Served OBs'!A:N,4,0),0)</f>
        <v>0</v>
      </c>
      <c r="O9" s="20">
        <f>ROUNDUP(IF(A9=0,0,IFERROR(VLOOKUP($A9,'[1]Donor''s Assigned Kilos'!A:O,4,0),0)),0)</f>
        <v>0</v>
      </c>
      <c r="P9" s="20">
        <f>IF(A9=0,0,IFERROR(SUMIFS([1]Population!N:N,[1]Population!J:J,'MASTER-2025'!A9),0))</f>
        <v>0</v>
      </c>
      <c r="Q9" s="18">
        <f>IFERROR(VLOOKUP($A9,'[1]Donor-Served OBs'!A:N,2,0),0)</f>
        <v>0</v>
      </c>
      <c r="R9" s="18">
        <f>ROUNDUP(ROUND(IF(A9=0,0,IFERROR(VLOOKUP($A9,'[1]Donor''s Assigned Kilos'!A:O,9,0),0)),1),0)</f>
        <v>0</v>
      </c>
      <c r="S9" s="18">
        <f>IF(A9=0,0,IFERROR(SUMIFS([1]Population!S:S,[1]Population!J:J,'MASTER-2025'!A9),0))</f>
        <v>0</v>
      </c>
      <c r="T9" s="19">
        <f>IFERROR(VLOOKUP($A9,'[1]Donor-Served OBs'!A:N,12,0),0)</f>
        <v>0</v>
      </c>
      <c r="U9" s="19">
        <f>ROUNDUP(IF(A9=0,0,IF(A9=0,0,IFERROR(VLOOKUP($A9,'[1]Donor''s Assigned Kilos'!A:O,7,0),0))),0)</f>
        <v>0</v>
      </c>
      <c r="V9" s="19">
        <f>IF(A9=0,0,IFERROR(SUMIFS([1]Population!Q:Q,[1]Population!J:J,'MASTER-2025'!A9),0))</f>
        <v>0</v>
      </c>
      <c r="W9" s="20">
        <f>IFERROR(VLOOKUP($A9,'[1]Donor-Served OBs'!A:N,10,0),0)</f>
        <v>0</v>
      </c>
      <c r="X9" s="20">
        <f>ROUNDUP(IF(A9=0,0,IFERROR(VLOOKUP($A9,'[1]Donor''s Assigned Kilos'!A:N,5,0),0)),0)</f>
        <v>0</v>
      </c>
      <c r="Y9" s="20">
        <f>IF(A9=0,0,IFERROR(SUMIFS([1]Population!O:O,[1]Population!J:J,'MASTER-2025'!A9),0))</f>
        <v>0</v>
      </c>
      <c r="Z9" s="18">
        <f>IFERROR(VLOOKUP($A9,'[1]Donor-Served OBs'!A:N,6,0),0)</f>
        <v>0</v>
      </c>
      <c r="AA9" s="18">
        <f>ROUNDUP(IF(A9=0,0,IFERROR(VLOOKUP($A9,'[1]Donor''s Assigned Kilos'!A:N,11,0),0)),0)</f>
        <v>0</v>
      </c>
      <c r="AB9" s="18">
        <f>IF(A9=0,0,IFERROR(SUMIFS([1]Population!U:U,[1]Population!J:J,'MASTER-2025'!A9),0))</f>
        <v>0</v>
      </c>
      <c r="AC9" s="19">
        <f>IFERROR(VLOOKUP($A9,'[1]Donor-Served OBs'!A:N,7,0),0)</f>
        <v>0</v>
      </c>
      <c r="AD9" s="19">
        <f>ROUNDUP(IF(A9=0,0,IFERROR(VLOOKUP($A9,'[1]Donor''s Assigned Kilos'!A:N,8,0),0)),0)</f>
        <v>0</v>
      </c>
      <c r="AE9" s="19">
        <f>IF(A9=0,0,IFERROR(SUMIFS([1]Population!R:R,[1]Population!J:J,'MASTER-2025'!A9),0))</f>
        <v>0</v>
      </c>
      <c r="AF9" s="20">
        <f>IFERROR(VLOOKUP($A9,'[1]Donor-Served OBs'!A:N,8,0),0)</f>
        <v>0</v>
      </c>
      <c r="AG9" s="20">
        <f>ROUNDUP(IF(A9=0,0,IFERROR(VLOOKUP($A9,'[1]Donor''s Assigned Kilos'!A:N,6,0),0)),0)</f>
        <v>0</v>
      </c>
      <c r="AH9" s="20">
        <f>IF(A9=0,0,IFERROR(SUMIFS([1]Population!P:P,[1]Population!J:J,'MASTER-2025'!A9),0))</f>
        <v>0</v>
      </c>
      <c r="AI9" s="18">
        <f>IFERROR(VLOOKUP($A9,'[1]Donor-Served OBs'!A:N,9,0),0)</f>
        <v>0</v>
      </c>
      <c r="AJ9" s="18">
        <f>ROUNDUP(IF(A9=0,0,IFERROR(VLOOKUP($A9,'[1]Donor''s Assigned Kilos'!A:N,12,0),0)),0)</f>
        <v>0</v>
      </c>
      <c r="AK9" s="18">
        <f>IF(A9=0,0,IFERROR(SUMIFS([1]Population!V:V,[1]Population!J:J,'MASTER-2025'!A9),0))</f>
        <v>0</v>
      </c>
      <c r="AL9" s="19">
        <f>IFERROR(VLOOKUP($A9,'[1]Donor-Served OBs'!A:N,16,0),0)</f>
        <v>0</v>
      </c>
      <c r="AM9" s="19">
        <f>ROUNDUP(IF(A9=0,0,IFERROR(VLOOKUP($A9,'[1]Donor''s Assigned Kilos'!A:O,16,0),0)),0)</f>
        <v>0</v>
      </c>
      <c r="AN9" s="19">
        <f>IF(A9=0,0,IFERROR(SUMIFS([1]Population!Z:Z,[1]Population!J:J,'MASTER-2025'!A9),0))</f>
        <v>0</v>
      </c>
      <c r="AO9" s="20">
        <f>IFERROR(VLOOKUP($A9,'[1]Donor-Served OBs'!A:N,11,0),0)</f>
        <v>0</v>
      </c>
      <c r="AP9" s="20">
        <f>ROUNDUP(IF(A9=0,0,IFERROR(VLOOKUP($A9,'[1]Donor''s Assigned Kilos'!A:N,13,0),0)),0)</f>
        <v>0</v>
      </c>
      <c r="AQ9" s="20">
        <f>IF(A9=0,0,IFERROR(SUMIFS([1]Population!W:W,[1]Population!J:J,'MASTER-2025'!A9),0))</f>
        <v>0</v>
      </c>
      <c r="AR9" s="18">
        <f>IFERROR(VLOOKUP($A9,'[1]Donor-Served OBs'!A:N,5,0),0)</f>
        <v>0</v>
      </c>
      <c r="AS9" s="18">
        <f>ROUNDUP(IF(A9=0,0,IFERROR(VLOOKUP($A9,'[1]Donor''s Assigned Kilos'!A:N,10,0),0)),0)</f>
        <v>0</v>
      </c>
      <c r="AT9" s="18">
        <f>IF(A9=0,0,IFERROR(SUMIFS([1]Population!T:T,[1]Population!J:J,'MASTER-2025'!A9),0))</f>
        <v>0</v>
      </c>
      <c r="AU9" s="19">
        <f>IFERROR(VLOOKUP($A9,'[1]Donor-Served OBs'!A:N,13,0),0)</f>
        <v>0</v>
      </c>
      <c r="AV9" s="19">
        <f>ROUNDUP(IF(A9=0,0,IFERROR(VLOOKUP($A9,'[1]Donor''s Assigned Kilos'!A:N,14,0),0)),0)</f>
        <v>0</v>
      </c>
      <c r="AW9" s="19">
        <f>IF(A9=0,0,IFERROR(SUMIFS([1]Population!X:X,[1]Population!J:J,'MASTER-2025'!A9),0))</f>
        <v>0</v>
      </c>
      <c r="AX9" s="20">
        <f>IFERROR(VLOOKUP($A9,'[1]Donor-Served OBs'!A:N,16,0),0)</f>
        <v>0</v>
      </c>
      <c r="AY9" s="20">
        <f>ROUNDUP(IF(A9=0,0,IFERROR(VLOOKUP($A9,'[1]Donor''s Assigned Kilos'!A:O,16,0),0)),0)</f>
        <v>0</v>
      </c>
      <c r="AZ9" s="20">
        <f>IF(A9=0,0,IFERROR(SUMIFS([1]Population!Y:Y,[1]Population!J:J,'MASTER-2025'!A9),0))</f>
        <v>0</v>
      </c>
      <c r="BA9" s="21">
        <f>+H9+K9+N9+Q9+T9+W9+Z9+AC9+AF9+AI9+AL9+AO9+AR9+AU9+AX9</f>
        <v>0</v>
      </c>
      <c r="BB9" s="21">
        <f t="shared" ref="BB9" si="14">INT(I9+L9+O9+R9+U9+X9+AA9+AD9+AG9+AJ9+AM9+AP9+AS9+AV9+AY9)</f>
        <v>0</v>
      </c>
      <c r="BC9" s="21">
        <f t="shared" si="0"/>
        <v>0</v>
      </c>
      <c r="BD9" s="21">
        <f t="shared" si="12"/>
        <v>0</v>
      </c>
      <c r="BE9" s="22" t="e">
        <f>IF(A9=0,0,SUMIFS([1]Population!C:C,[1]Population!A:A,'MASTER-2025'!A9))</f>
        <v>#VALUE!</v>
      </c>
      <c r="BF9" s="22" t="e">
        <f>IF(A9=0,0,SUMIFS([1]Population!D:D,[1]Population!A:A,'MASTER-2025'!A9))</f>
        <v>#VALUE!</v>
      </c>
      <c r="BG9" s="22" t="e">
        <f>IF(A9=0,0,SUMIFS([1]Population!E:E,[1]Population!A:A,'MASTER-2025'!A9))</f>
        <v>#VALUE!</v>
      </c>
      <c r="BH9" s="22" t="e">
        <f>IF(A9=0,0,SUMIFS([1]Population!F:F,[1]Population!A:A,'MASTER-2025'!A9))</f>
        <v>#VALUE!</v>
      </c>
      <c r="BI9" s="22" t="e">
        <f t="shared" si="13"/>
        <v>#VALUE!</v>
      </c>
      <c r="BJ9" s="23" t="e">
        <f t="shared" si="6"/>
        <v>#VALUE!</v>
      </c>
      <c r="BK9" s="22" t="e">
        <f>IF(A9=0,0,SUMIFS([1]Population!G:G,[1]Population!A:A,'MASTER-2025'!A9))</f>
        <v>#VALUE!</v>
      </c>
      <c r="BL9" s="24" cm="1">
        <f t="array" ref="BL9:BW9">IFERROR(VLOOKUP(A9,'[1]Now-OB-kg-POB-25'!A:AQ,{3,4,5,6,7,8,9,10,11,12,13,14},0),0)</f>
        <v>24</v>
      </c>
      <c r="BM9" s="24">
        <v>30</v>
      </c>
      <c r="BN9" s="24">
        <v>26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24">
        <v>0</v>
      </c>
      <c r="BU9" s="24">
        <v>0</v>
      </c>
      <c r="BV9" s="24">
        <v>0</v>
      </c>
      <c r="BW9" s="24">
        <v>0</v>
      </c>
      <c r="BX9" s="24">
        <f t="shared" si="7"/>
        <v>80</v>
      </c>
      <c r="BY9" s="25" cm="1">
        <f t="array" ref="BY9:CJ9">IFERROR(VLOOKUP(A9,'[1]Now-OB-kg-POB-25'!A:AQ,{17,18,19,20,21,22,23,24,25,26,27,28},0),0)</f>
        <v>242</v>
      </c>
      <c r="BZ9" s="25">
        <v>384</v>
      </c>
      <c r="CA9" s="25">
        <v>334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f t="shared" si="8"/>
        <v>960</v>
      </c>
      <c r="CL9" s="26" cm="1">
        <f t="array" ref="CL9:CW9">IFERROR(VLOOKUP(A9,'[1]Now-OB-kg-POB-25'!A:AQ,{31,32,33,34,35,36,37,38,39,40,41,42},0),0)</f>
        <v>7458</v>
      </c>
      <c r="CM9" s="26">
        <v>7006</v>
      </c>
      <c r="CN9" s="26">
        <v>7257</v>
      </c>
      <c r="CO9" s="26">
        <v>0</v>
      </c>
      <c r="CP9" s="26">
        <v>0</v>
      </c>
      <c r="CQ9" s="26">
        <v>0</v>
      </c>
      <c r="CR9" s="26">
        <v>0</v>
      </c>
      <c r="CS9" s="26">
        <v>0</v>
      </c>
      <c r="CT9" s="26">
        <v>0</v>
      </c>
      <c r="CU9" s="26">
        <v>0</v>
      </c>
      <c r="CV9" s="26">
        <v>0</v>
      </c>
      <c r="CW9" s="26">
        <v>0</v>
      </c>
      <c r="CX9" s="26">
        <f t="shared" si="9"/>
        <v>21721</v>
      </c>
      <c r="CY9" s="27" t="str">
        <f>IF(A9=0,0,IFERROR(VLOOKUP(A9,'[1]Info Donantes'!C:F,2,0),"Sin Contacto"))</f>
        <v>Sin Contacto</v>
      </c>
      <c r="CZ9" s="27" t="str">
        <f>IF(A9=0,0,IFERROR(VLOOKUP(A9,'[1]Info Donantes'!C:F,3,0),"Sin Correo"))</f>
        <v>Sin Correo</v>
      </c>
      <c r="DA9" s="27" t="str">
        <f>IF(A9=0,0,IFERROR(VLOOKUP(A9,'[1]Info Donantes'!C:F,4,0),"Sin Telefono"))</f>
        <v>Sin Telefono</v>
      </c>
      <c r="DB9" s="27" t="s">
        <v>121</v>
      </c>
    </row>
    <row r="10" spans="1:106" x14ac:dyDescent="0.55000000000000004">
      <c r="A10" s="14" t="s">
        <v>122</v>
      </c>
      <c r="B10" s="15">
        <f>INT(IFERROR(VLOOKUP(A10,'[1]Donor Summary'!C:F,3,0),0))</f>
        <v>0</v>
      </c>
      <c r="C10" s="15">
        <f>INT(ROUND(IFERROR(VLOOKUP(A10,'[1]Donor Summary'!C:F,4,0),0),1))</f>
        <v>0</v>
      </c>
      <c r="D10" s="16">
        <f>INT(ROUND(C10-B10,1))</f>
        <v>0</v>
      </c>
      <c r="E10" s="17" t="str">
        <f>IF(A10=0,"",TEXT((IFERROR(D10/C10,0)),"0.00%"))</f>
        <v>0.00%</v>
      </c>
      <c r="F10" s="17" t="str">
        <f>IF(A10=0,"",TEXT((IFERROR(B10/C10,0)),"0.0%"))</f>
        <v>0.0%</v>
      </c>
      <c r="G10" s="15">
        <f>INT(D10*3)</f>
        <v>0</v>
      </c>
      <c r="H10" s="18"/>
      <c r="I10" s="18">
        <f>IFERROR(VLOOKUP(A10,'[1]Lot All by Part'!T:Y,6,0),0)</f>
        <v>0</v>
      </c>
      <c r="J10" s="18"/>
      <c r="K10" s="19">
        <f>IFERROR(VLOOKUP($A10,'[1]Donor-Served OBs'!A:N,3,0),0)</f>
        <v>0</v>
      </c>
      <c r="L10" s="19">
        <f>ROUNDUP(IF(A10=0,0,IFERROR(VLOOKUP($A10,'[1]Donor''s Assigned Kilos'!A:O,3,0),0)),0)</f>
        <v>0</v>
      </c>
      <c r="M10" s="19">
        <f>IF(A10=0,0,IFERROR(SUMIFS([1]Population!M:M,[1]Population!J:J,'MASTER-2025'!A10),0))</f>
        <v>0</v>
      </c>
      <c r="N10" s="20">
        <f>IFERROR(VLOOKUP($A10,'[1]Donor-Served OBs'!A:N,4,0),0)</f>
        <v>0</v>
      </c>
      <c r="O10" s="20">
        <f>ROUNDUP(IF(A10=0,0,IFERROR(VLOOKUP($A10,'[1]Donor''s Assigned Kilos'!A:O,4,0),0)),0)</f>
        <v>0</v>
      </c>
      <c r="P10" s="20">
        <f>IF(A10=0,0,IFERROR(SUMIFS([1]Population!N:N,[1]Population!J:J,'MASTER-2025'!A10),0))</f>
        <v>0</v>
      </c>
      <c r="Q10" s="18">
        <f>IFERROR(VLOOKUP($A10,'[1]Donor-Served OBs'!A:N,2,0),0)</f>
        <v>0</v>
      </c>
      <c r="R10" s="18">
        <f>ROUNDUP(ROUND(IF(A10=0,0,IFERROR(VLOOKUP($A10,'[1]Donor''s Assigned Kilos'!A:O,9,0),0)),1),0)</f>
        <v>0</v>
      </c>
      <c r="S10" s="18">
        <f>IF(A10=0,0,IFERROR(SUMIFS([1]Population!S:S,[1]Population!J:J,'MASTER-2025'!A10),0))</f>
        <v>0</v>
      </c>
      <c r="T10" s="19">
        <f>IFERROR(VLOOKUP($A10,'[1]Donor-Served OBs'!A:N,12,0),0)</f>
        <v>0</v>
      </c>
      <c r="U10" s="19">
        <f>ROUNDUP(IF(A10=0,0,IF(A10=0,0,IFERROR(VLOOKUP($A10,'[1]Donor''s Assigned Kilos'!A:O,7,0),0))),0)</f>
        <v>0</v>
      </c>
      <c r="V10" s="19">
        <f>IF(A10=0,0,IFERROR(SUMIFS([1]Population!Q:Q,[1]Population!J:J,'MASTER-2025'!A10),0))</f>
        <v>0</v>
      </c>
      <c r="W10" s="20">
        <f>IFERROR(VLOOKUP($A10,'[1]Donor-Served OBs'!A:N,10,0),0)</f>
        <v>0</v>
      </c>
      <c r="X10" s="20">
        <f>ROUNDUP(IF(A10=0,0,IFERROR(VLOOKUP($A10,'[1]Donor''s Assigned Kilos'!A:N,5,0),0)),0)</f>
        <v>0</v>
      </c>
      <c r="Y10" s="20">
        <f>IF(A10=0,0,IFERROR(SUMIFS([1]Population!O:O,[1]Population!J:J,'MASTER-2025'!A10),0))</f>
        <v>0</v>
      </c>
      <c r="Z10" s="18">
        <f>IFERROR(VLOOKUP($A10,'[1]Donor-Served OBs'!A:N,6,0),0)</f>
        <v>0</v>
      </c>
      <c r="AA10" s="18">
        <f>ROUNDUP(IF(A10=0,0,IFERROR(VLOOKUP($A10,'[1]Donor''s Assigned Kilos'!A:N,11,0),0)),0)</f>
        <v>0</v>
      </c>
      <c r="AB10" s="18">
        <f>IF(A10=0,0,IFERROR(SUMIFS([1]Population!U:U,[1]Population!J:J,'MASTER-2025'!A10),0))</f>
        <v>0</v>
      </c>
      <c r="AC10" s="19">
        <f>IFERROR(VLOOKUP($A10,'[1]Donor-Served OBs'!A:N,7,0),0)</f>
        <v>0</v>
      </c>
      <c r="AD10" s="19">
        <f>ROUNDUP(IF(A10=0,0,IFERROR(VLOOKUP($A10,'[1]Donor''s Assigned Kilos'!A:N,8,0),0)),0)</f>
        <v>0</v>
      </c>
      <c r="AE10" s="19">
        <f>IF(A10=0,0,IFERROR(SUMIFS([1]Population!R:R,[1]Population!J:J,'MASTER-2025'!A10),0))</f>
        <v>0</v>
      </c>
      <c r="AF10" s="20">
        <f>IFERROR(VLOOKUP($A10,'[1]Donor-Served OBs'!A:N,8,0),0)</f>
        <v>0</v>
      </c>
      <c r="AG10" s="20">
        <f>ROUNDUP(IF(A10=0,0,IFERROR(VLOOKUP($A10,'[1]Donor''s Assigned Kilos'!A:N,6,0),0)),0)</f>
        <v>0</v>
      </c>
      <c r="AH10" s="20">
        <f>IF(A10=0,0,IFERROR(SUMIFS([1]Population!P:P,[1]Population!J:J,'MASTER-2025'!A10),0))</f>
        <v>0</v>
      </c>
      <c r="AI10" s="18">
        <f>IFERROR(VLOOKUP($A10,'[1]Donor-Served OBs'!A:N,9,0),0)</f>
        <v>0</v>
      </c>
      <c r="AJ10" s="18">
        <f>ROUNDUP(IF(A10=0,0,IFERROR(VLOOKUP($A10,'[1]Donor''s Assigned Kilos'!A:N,12,0),0)),0)</f>
        <v>0</v>
      </c>
      <c r="AK10" s="18">
        <f>IF(A10=0,0,IFERROR(SUMIFS([1]Population!V:V,[1]Population!J:J,'MASTER-2025'!A10),0))</f>
        <v>0</v>
      </c>
      <c r="AL10" s="19">
        <f>IFERROR(VLOOKUP($A10,'[1]Donor-Served OBs'!A:N,16,0),0)</f>
        <v>0</v>
      </c>
      <c r="AM10" s="19">
        <f>ROUNDUP(IF(A10=0,0,IFERROR(VLOOKUP($A10,'[1]Donor''s Assigned Kilos'!A:O,16,0),0)),0)</f>
        <v>0</v>
      </c>
      <c r="AN10" s="19">
        <f>IF(A10=0,0,IFERROR(SUMIFS([1]Population!Z:Z,[1]Population!J:J,'MASTER-2025'!A10),0))</f>
        <v>0</v>
      </c>
      <c r="AO10" s="20">
        <f>IFERROR(VLOOKUP($A10,'[1]Donor-Served OBs'!A:N,11,0),0)</f>
        <v>0</v>
      </c>
      <c r="AP10" s="20">
        <f>ROUNDUP(IF(A10=0,0,IFERROR(VLOOKUP($A10,'[1]Donor''s Assigned Kilos'!A:N,13,0),0)),0)</f>
        <v>0</v>
      </c>
      <c r="AQ10" s="20">
        <f>IF(A10=0,0,IFERROR(SUMIFS([1]Population!W:W,[1]Population!J:J,'MASTER-2025'!A10),0))</f>
        <v>0</v>
      </c>
      <c r="AR10" s="18">
        <f>IFERROR(VLOOKUP($A10,'[1]Donor-Served OBs'!A:N,5,0),0)</f>
        <v>0</v>
      </c>
      <c r="AS10" s="18">
        <f>ROUNDUP(IF(A10=0,0,IFERROR(VLOOKUP($A10,'[1]Donor''s Assigned Kilos'!A:N,10,0),0)),0)</f>
        <v>0</v>
      </c>
      <c r="AT10" s="18">
        <f>IF(A10=0,0,IFERROR(SUMIFS([1]Population!T:T,[1]Population!J:J,'MASTER-2025'!A10),0))</f>
        <v>0</v>
      </c>
      <c r="AU10" s="19">
        <f>IFERROR(VLOOKUP($A10,'[1]Donor-Served OBs'!A:N,13,0),0)</f>
        <v>0</v>
      </c>
      <c r="AV10" s="19">
        <f>ROUNDUP(IF(A10=0,0,IFERROR(VLOOKUP($A10,'[1]Donor''s Assigned Kilos'!A:N,14,0),0)),0)</f>
        <v>0</v>
      </c>
      <c r="AW10" s="19">
        <f>IF(A10=0,0,IFERROR(SUMIFS([1]Population!X:X,[1]Population!J:J,'MASTER-2025'!A10),0))</f>
        <v>0</v>
      </c>
      <c r="AX10" s="20">
        <f>IFERROR(VLOOKUP($A10,'[1]Donor-Served OBs'!A:N,16,0),0)</f>
        <v>0</v>
      </c>
      <c r="AY10" s="20">
        <f>ROUNDUP(IF(A10=0,0,IFERROR(VLOOKUP($A10,'[1]Donor''s Assigned Kilos'!A:O,16,0),0)),0)</f>
        <v>0</v>
      </c>
      <c r="AZ10" s="20">
        <f>IF(A10=0,0,IFERROR(SUMIFS([1]Population!Y:Y,[1]Population!J:J,'MASTER-2025'!A10),0))</f>
        <v>0</v>
      </c>
      <c r="BA10" s="21">
        <f>+H10+K10+N10+Q10+T10+W10+Z10+AC10+AF10+AI10+AL10+AO10+AR10+AU10+AX10</f>
        <v>0</v>
      </c>
      <c r="BB10" s="21">
        <f>INT(I10+L10+O10+R10+U10+X10+AA10+AD10+AG10+AJ10+AM10+AP10+AS10+AV10+AY10)</f>
        <v>0</v>
      </c>
      <c r="BC10" s="21">
        <f>ROUND(I10+L10+O10+R10+U10,0)</f>
        <v>0</v>
      </c>
      <c r="BD10" s="21">
        <f>IF(A10=0,0,(+J10+M10+P10+S10+V10+Y10+AB10+AE10+AH10+AK10+AN10+AQ10+AT10+AW10+AZ10))</f>
        <v>0</v>
      </c>
      <c r="BE10" s="22" t="e">
        <f>IF(A10=0,0,SUMIFS([1]Population!C:C,[1]Population!A:A,'MASTER-2025'!A10))</f>
        <v>#VALUE!</v>
      </c>
      <c r="BF10" s="22" t="e">
        <f>IF(A10=0,0,SUMIFS([1]Population!D:D,[1]Population!A:A,'MASTER-2025'!A10))</f>
        <v>#VALUE!</v>
      </c>
      <c r="BG10" s="22" t="e">
        <f>IF(A10=0,0,SUMIFS([1]Population!E:E,[1]Population!A:A,'MASTER-2025'!A10))</f>
        <v>#VALUE!</v>
      </c>
      <c r="BH10" s="22" t="e">
        <f>IF(A10=0,0,SUMIFS([1]Population!F:F,[1]Population!A:A,'MASTER-2025'!A10))</f>
        <v>#VALUE!</v>
      </c>
      <c r="BI10" s="22" t="e">
        <f>+BF10+BG10+BH10</f>
        <v>#VALUE!</v>
      </c>
      <c r="BJ10" s="23" t="e">
        <f t="shared" si="6"/>
        <v>#VALUE!</v>
      </c>
      <c r="BK10" s="22" t="e">
        <f>IF(A10=0,0,SUMIFS([1]Population!G:G,[1]Population!A:A,'MASTER-2025'!A10))</f>
        <v>#VALUE!</v>
      </c>
      <c r="BL10" s="24" cm="1">
        <f t="array" ref="BL10:BW10">IFERROR(VLOOKUP(A10,'[1]Now-OB-kg-POB-25'!A:AQ,{3,4,5,6,7,8,9,10,11,12,13,14},0),0)</f>
        <v>42</v>
      </c>
      <c r="BM10" s="24">
        <v>87</v>
      </c>
      <c r="BN10" s="24">
        <v>111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f t="shared" si="7"/>
        <v>240</v>
      </c>
      <c r="BY10" s="25" cm="1">
        <f t="array" ref="BY10:CJ10">IFERROR(VLOOKUP(A10,'[1]Now-OB-kg-POB-25'!A:AQ,{17,18,19,20,21,22,23,24,25,26,27,28},0),0)</f>
        <v>6842</v>
      </c>
      <c r="BZ10" s="25">
        <v>5690</v>
      </c>
      <c r="CA10" s="25">
        <v>6413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f t="shared" si="8"/>
        <v>18945</v>
      </c>
      <c r="CL10" s="26" cm="1">
        <f t="array" ref="CL10:CW10">IFERROR(VLOOKUP(A10,'[1]Now-OB-kg-POB-25'!A:AQ,{31,32,33,34,35,36,37,38,39,40,41,42},0),0)</f>
        <v>14846</v>
      </c>
      <c r="CM10" s="26">
        <v>24125</v>
      </c>
      <c r="CN10" s="26">
        <v>31867</v>
      </c>
      <c r="CO10" s="26">
        <v>0</v>
      </c>
      <c r="CP10" s="26">
        <v>0</v>
      </c>
      <c r="CQ10" s="26">
        <v>0</v>
      </c>
      <c r="CR10" s="26">
        <v>0</v>
      </c>
      <c r="CS10" s="26">
        <v>0</v>
      </c>
      <c r="CT10" s="26">
        <v>0</v>
      </c>
      <c r="CU10" s="26">
        <v>0</v>
      </c>
      <c r="CV10" s="26">
        <v>0</v>
      </c>
      <c r="CW10" s="26">
        <v>0</v>
      </c>
      <c r="CX10" s="26">
        <f t="shared" si="9"/>
        <v>70838</v>
      </c>
      <c r="CY10" s="27" t="str">
        <f>IF(A10=0,0,IFERROR(VLOOKUP(A10,'[1]Info Donantes'!C:F,2,0),"Sin Contacto"))</f>
        <v>Sin Contacto</v>
      </c>
      <c r="CZ10" s="27" t="str">
        <f>IF(A10=0,0,IFERROR(VLOOKUP(A10,'[1]Info Donantes'!C:F,3,0),"Sin Correo"))</f>
        <v>Sin Correo</v>
      </c>
      <c r="DA10" s="27" t="str">
        <f>IF(A10=0,0,IFERROR(VLOOKUP(A10,'[1]Info Donantes'!C:F,4,0),"Sin Telefono"))</f>
        <v>Sin Telefono</v>
      </c>
      <c r="DB10" s="27" t="s">
        <v>123</v>
      </c>
    </row>
    <row r="11" spans="1:106" s="30" customFormat="1" x14ac:dyDescent="0.55000000000000004">
      <c r="A11" s="14" t="s">
        <v>124</v>
      </c>
      <c r="B11" s="15">
        <f>INT(IFERROR(VLOOKUP(A11,'[1]Donor Summary'!C:F,3,0),0))</f>
        <v>0</v>
      </c>
      <c r="C11" s="15">
        <f>INT(ROUND(IFERROR(VLOOKUP(A11,'[1]Donor Summary'!C:F,4,0),0),1))</f>
        <v>388</v>
      </c>
      <c r="D11" s="16">
        <f>INT(ROUND(C11-B11,1))</f>
        <v>388</v>
      </c>
      <c r="E11" s="17" t="str">
        <f>IF(A11=0,"",TEXT((IFERROR(D11/C11,0)),"0.00%"))</f>
        <v>100.00%</v>
      </c>
      <c r="F11" s="17" t="str">
        <f>IF(A11=0,"",TEXT((IFERROR(B11/C11,0)),"0.0%"))</f>
        <v>0.0%</v>
      </c>
      <c r="G11" s="15">
        <f>INT(D11*3)</f>
        <v>1164</v>
      </c>
      <c r="H11" s="18"/>
      <c r="I11" s="18">
        <f>IFERROR(VLOOKUP(A11,'[1]Lot All by Part'!T:Y,6,0),0)</f>
        <v>0</v>
      </c>
      <c r="J11" s="28"/>
      <c r="K11" s="19">
        <f>IFERROR(VLOOKUP($A11,'[1]Donor-Served OBs'!A:N,3,0),0)</f>
        <v>8</v>
      </c>
      <c r="L11" s="19">
        <f>ROUNDUP(IF(A11=0,0,IFERROR(VLOOKUP($A11,'[1]Donor''s Assigned Kilos'!A:O,3,0),0)),0)</f>
        <v>81</v>
      </c>
      <c r="M11" s="19">
        <f>IF(A11=0,0,IFERROR(SUMIFS([1]Population!M:M,[1]Population!J:J,'MASTER-2025'!A11),0))</f>
        <v>0</v>
      </c>
      <c r="N11" s="20">
        <f>IFERROR(VLOOKUP($A11,'[1]Donor-Served OBs'!A:N,4,0),0)</f>
        <v>11</v>
      </c>
      <c r="O11" s="20">
        <f>ROUNDUP(IF(A11=0,0,IFERROR(VLOOKUP($A11,'[1]Donor''s Assigned Kilos'!A:O,4,0),0)),0)</f>
        <v>113</v>
      </c>
      <c r="P11" s="20">
        <f>IF(A11=0,0,IFERROR(SUMIFS([1]Population!N:N,[1]Population!J:J,'MASTER-2025'!A11),0))</f>
        <v>0</v>
      </c>
      <c r="Q11" s="18">
        <f>IFERROR(VLOOKUP($A11,'[1]Donor-Served OBs'!A:N,2,0),0)</f>
        <v>2</v>
      </c>
      <c r="R11" s="18">
        <f>ROUNDUP(ROUND(IF(A11=0,0,IFERROR(VLOOKUP($A11,'[1]Donor''s Assigned Kilos'!A:O,9,0),0)),1),0)</f>
        <v>19</v>
      </c>
      <c r="S11" s="18">
        <f>IF(A11=0,0,IFERROR(SUMIFS([1]Population!S:S,[1]Population!J:J,'MASTER-2025'!A11),0))</f>
        <v>0</v>
      </c>
      <c r="T11" s="19">
        <f>IFERROR(VLOOKUP($A11,'[1]Donor-Served OBs'!A:N,12,0),0)</f>
        <v>2</v>
      </c>
      <c r="U11" s="19">
        <f>ROUNDUP(IF(A11=0,0,IF(A11=0,0,IFERROR(VLOOKUP($A11,'[1]Donor''s Assigned Kilos'!A:O,7,0),0))),0)</f>
        <v>16</v>
      </c>
      <c r="V11" s="19">
        <f>IF(A11=0,0,IFERROR(SUMIFS([1]Population!Q:Q,[1]Population!J:J,'MASTER-2025'!A11),0))</f>
        <v>0</v>
      </c>
      <c r="W11" s="20">
        <f>IFERROR(VLOOKUP($A11,'[1]Donor-Served OBs'!A:N,10,0),0)</f>
        <v>6</v>
      </c>
      <c r="X11" s="20">
        <f>ROUNDUP(IF(A11=0,0,IFERROR(VLOOKUP($A11,'[1]Donor''s Assigned Kilos'!A:N,5,0),0)),0)</f>
        <v>35</v>
      </c>
      <c r="Y11" s="20">
        <f>IF(A11=0,0,IFERROR(SUMIFS([1]Population!O:O,[1]Population!J:J,'MASTER-2025'!A11),0))</f>
        <v>0</v>
      </c>
      <c r="Z11" s="18">
        <f>IFERROR(VLOOKUP($A11,'[1]Donor-Served OBs'!A:N,6,0),0)</f>
        <v>0</v>
      </c>
      <c r="AA11" s="18">
        <f>ROUNDUP(IF(A11=0,0,IFERROR(VLOOKUP($A11,'[1]Donor''s Assigned Kilos'!A:N,11,0),0)),0)</f>
        <v>0</v>
      </c>
      <c r="AB11" s="18">
        <f>IF(A11=0,0,IFERROR(SUMIFS([1]Population!U:U,[1]Population!J:J,'MASTER-2025'!A11),0))</f>
        <v>0</v>
      </c>
      <c r="AC11" s="19">
        <f>IFERROR(VLOOKUP($A11,'[1]Donor-Served OBs'!A:N,7,0),0)</f>
        <v>2</v>
      </c>
      <c r="AD11" s="19">
        <f>ROUNDUP(IF(A11=0,0,IFERROR(VLOOKUP($A11,'[1]Donor''s Assigned Kilos'!A:N,8,0),0)),0)</f>
        <v>28</v>
      </c>
      <c r="AE11" s="19">
        <f>IF(A11=0,0,IFERROR(SUMIFS([1]Population!R:R,[1]Population!J:J,'MASTER-2025'!A11),0))</f>
        <v>0</v>
      </c>
      <c r="AF11" s="20">
        <f>IFERROR(VLOOKUP($A11,'[1]Donor-Served OBs'!A:N,8,0),0)</f>
        <v>1</v>
      </c>
      <c r="AG11" s="20">
        <f>ROUNDUP(IF(A11=0,0,IFERROR(VLOOKUP($A11,'[1]Donor''s Assigned Kilos'!A:N,6,0),0)),0)</f>
        <v>1</v>
      </c>
      <c r="AH11" s="20">
        <f>IF(A11=0,0,IFERROR(SUMIFS([1]Population!P:P,[1]Population!J:J,'MASTER-2025'!A11),0))</f>
        <v>0</v>
      </c>
      <c r="AI11" s="18">
        <f>IFERROR(VLOOKUP($A11,'[1]Donor-Served OBs'!A:N,9,0),0)</f>
        <v>0</v>
      </c>
      <c r="AJ11" s="18">
        <f>ROUNDUP(IF(A11=0,0,IFERROR(VLOOKUP($A11,'[1]Donor''s Assigned Kilos'!A:N,12,0),0)),0)</f>
        <v>0</v>
      </c>
      <c r="AK11" s="18">
        <f>IF(A11=0,0,IFERROR(SUMIFS([1]Population!V:V,[1]Population!J:J,'MASTER-2025'!A11),0))</f>
        <v>0</v>
      </c>
      <c r="AL11" s="19">
        <f>IFERROR(VLOOKUP($A11,'[1]Donor-Served OBs'!A:N,16,0),0)</f>
        <v>0</v>
      </c>
      <c r="AM11" s="19">
        <f>ROUNDUP(IF(A11=0,0,IFERROR(VLOOKUP($A11,'[1]Donor''s Assigned Kilos'!A:O,16,0),0)),0)</f>
        <v>0</v>
      </c>
      <c r="AN11" s="19">
        <f>IF(A11=0,0,IFERROR(SUMIFS([1]Population!Z:Z,[1]Population!J:J,'MASTER-2025'!A11),0))</f>
        <v>0</v>
      </c>
      <c r="AO11" s="20">
        <f>IFERROR(VLOOKUP($A11,'[1]Donor-Served OBs'!A:N,11,0),0)</f>
        <v>0</v>
      </c>
      <c r="AP11" s="20">
        <f>ROUNDUP(IF(A11=0,0,IFERROR(VLOOKUP($A11,'[1]Donor''s Assigned Kilos'!A:N,13,0),0)),0)</f>
        <v>0</v>
      </c>
      <c r="AQ11" s="20">
        <f>IF(A11=0,0,IFERROR(SUMIFS([1]Population!W:W,[1]Population!J:J,'MASTER-2025'!A11),0))</f>
        <v>0</v>
      </c>
      <c r="AR11" s="18">
        <f>IFERROR(VLOOKUP($A11,'[1]Donor-Served OBs'!A:N,5,0),0)</f>
        <v>1</v>
      </c>
      <c r="AS11" s="18">
        <f>ROUNDUP(IF(A11=0,0,IFERROR(VLOOKUP($A11,'[1]Donor''s Assigned Kilos'!A:N,10,0),0)),0)</f>
        <v>3</v>
      </c>
      <c r="AT11" s="18">
        <f>IF(A11=0,0,IFERROR(SUMIFS([1]Population!T:T,[1]Population!J:J,'MASTER-2025'!A11),0))</f>
        <v>0</v>
      </c>
      <c r="AU11" s="19">
        <f>IFERROR(VLOOKUP($A11,'[1]Donor-Served OBs'!A:N,13,0),0)</f>
        <v>0</v>
      </c>
      <c r="AV11" s="19">
        <f>ROUNDUP(IF(A11=0,0,IFERROR(VLOOKUP($A11,'[1]Donor''s Assigned Kilos'!A:N,14,0),0)),0)</f>
        <v>0</v>
      </c>
      <c r="AW11" s="19">
        <f>IF(A11=0,0,IFERROR(SUMIFS([1]Population!X:X,[1]Population!J:J,'MASTER-2025'!A11),0))</f>
        <v>0</v>
      </c>
      <c r="AX11" s="20">
        <f>IFERROR(VLOOKUP($A11,'[1]Donor-Served OBs'!A:N,16,0),0)</f>
        <v>0</v>
      </c>
      <c r="AY11" s="20">
        <f>ROUNDUP(IF(A11=0,0,IFERROR(VLOOKUP($A11,'[1]Donor''s Assigned Kilos'!A:O,16,0),0)),0)</f>
        <v>0</v>
      </c>
      <c r="AZ11" s="20">
        <f>IF(A11=0,0,IFERROR(SUMIFS([1]Population!Y:Y,[1]Population!J:J,'MASTER-2025'!A11),0))</f>
        <v>0</v>
      </c>
      <c r="BA11" s="21">
        <f>+H11+K11+N11+Q11+T11+W11+Z11+AC11+AF11+AI11+AL11+AO11+AR11+AU11+AX11</f>
        <v>33</v>
      </c>
      <c r="BB11" s="21">
        <f>INT(I11+L11+O11+R11+U11+X11+AA11+AD11+AG11+AJ11+AM11+AP11+AS11+AV11+AY11)</f>
        <v>296</v>
      </c>
      <c r="BC11" s="21">
        <f>ROUND(I11+L11+O11+R11+U11,0)</f>
        <v>229</v>
      </c>
      <c r="BD11" s="21">
        <f>IF(A11=0,0,(+J11+M11+P11+S11+V11+Y11+AB11+AE11+AH11+AK11+AN11+AQ11+AT11+AW11+AZ11))</f>
        <v>0</v>
      </c>
      <c r="BE11" s="22" t="e">
        <f>IF(A11=0,0,SUMIFS([1]Population!C:C,[1]Population!A:A,'MASTER-2025'!A11))</f>
        <v>#VALUE!</v>
      </c>
      <c r="BF11" s="22" t="e">
        <f>IF(A11=0,0,SUMIFS([1]Population!D:D,[1]Population!A:A,'MASTER-2025'!A11))</f>
        <v>#VALUE!</v>
      </c>
      <c r="BG11" s="22" t="e">
        <f>IF(A11=0,0,SUMIFS([1]Population!E:E,[1]Population!A:A,'MASTER-2025'!A11))</f>
        <v>#VALUE!</v>
      </c>
      <c r="BH11" s="22" t="e">
        <f>IF(A11=0,0,SUMIFS([1]Population!F:F,[1]Population!A:A,'MASTER-2025'!A11))</f>
        <v>#VALUE!</v>
      </c>
      <c r="BI11" s="22" t="e">
        <f>+BF11+BG11+BH11</f>
        <v>#VALUE!</v>
      </c>
      <c r="BJ11" s="23" t="e">
        <f t="shared" si="6"/>
        <v>#VALUE!</v>
      </c>
      <c r="BK11" s="22" t="e">
        <f>IF(A11=0,0,SUMIFS([1]Population!G:G,[1]Population!A:A,'MASTER-2025'!A11))</f>
        <v>#VALUE!</v>
      </c>
      <c r="BL11" s="24" cm="1">
        <f t="array" ref="BL11:BW11">IFERROR(VLOOKUP(A11,'[1]Now-OB-kg-POB-25'!A:AQ,{3,4,5,6,7,8,9,10,11,12,13,14},0),0)</f>
        <v>41</v>
      </c>
      <c r="BM11" s="24">
        <v>33</v>
      </c>
      <c r="BN11" s="24">
        <v>33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24">
        <v>0</v>
      </c>
      <c r="BU11" s="24">
        <v>0</v>
      </c>
      <c r="BV11" s="24">
        <v>0</v>
      </c>
      <c r="BW11" s="24">
        <v>0</v>
      </c>
      <c r="BX11" s="24">
        <f t="shared" si="7"/>
        <v>107</v>
      </c>
      <c r="BY11" s="25" cm="1">
        <f t="array" ref="BY11:CJ11">IFERROR(VLOOKUP(A11,'[1]Now-OB-kg-POB-25'!A:AQ,{17,18,19,20,21,22,23,24,25,26,27,28},0),0)</f>
        <v>650</v>
      </c>
      <c r="BZ11" s="25">
        <v>1596</v>
      </c>
      <c r="CA11" s="25">
        <v>388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0</v>
      </c>
      <c r="CH11" s="25">
        <v>0</v>
      </c>
      <c r="CI11" s="25">
        <v>0</v>
      </c>
      <c r="CJ11" s="25">
        <v>0</v>
      </c>
      <c r="CK11" s="25">
        <f t="shared" si="8"/>
        <v>2634</v>
      </c>
      <c r="CL11" s="26" cm="1">
        <f t="array" ref="CL11:CW11">IFERROR(VLOOKUP(A11,'[1]Now-OB-kg-POB-25'!A:AQ,{31,32,33,34,35,36,37,38,39,40,41,42},0),0)</f>
        <v>10195</v>
      </c>
      <c r="CM11" s="26">
        <v>11526</v>
      </c>
      <c r="CN11" s="26">
        <v>13490</v>
      </c>
      <c r="CO11" s="26">
        <v>0</v>
      </c>
      <c r="CP11" s="26">
        <v>0</v>
      </c>
      <c r="CQ11" s="26">
        <v>0</v>
      </c>
      <c r="CR11" s="26">
        <v>0</v>
      </c>
      <c r="CS11" s="26">
        <v>0</v>
      </c>
      <c r="CT11" s="26">
        <v>0</v>
      </c>
      <c r="CU11" s="26">
        <v>0</v>
      </c>
      <c r="CV11" s="26">
        <v>0</v>
      </c>
      <c r="CW11" s="26">
        <v>0</v>
      </c>
      <c r="CX11" s="26">
        <f t="shared" si="9"/>
        <v>35211</v>
      </c>
      <c r="CY11" s="29" t="str">
        <f>IF(A11=0,0,IFERROR(VLOOKUP(A11,'[1]Info Donantes'!C:F,2,0),"Sin Contacto"))</f>
        <v>Marcela Vallarino</v>
      </c>
      <c r="CZ11" s="29" t="str">
        <f>IF(A11=0,0,IFERROR(VLOOKUP(A11,'[1]Info Donantes'!C:F,3,0),"Sin Correo"))</f>
        <v>marcellavallarino@felipemotta.com</v>
      </c>
      <c r="DA11" s="29" t="str">
        <f>IF(A11=0,0,IFERROR(VLOOKUP(A11,'[1]Info Donantes'!C:F,4,0),"Sin Telefono"))</f>
        <v>302-5555</v>
      </c>
      <c r="DB11" s="29" t="s">
        <v>125</v>
      </c>
    </row>
    <row r="12" spans="1:106" x14ac:dyDescent="0.55000000000000004">
      <c r="A12" s="14" t="s">
        <v>126</v>
      </c>
      <c r="B12" s="15">
        <f>INT(IFERROR(VLOOKUP(A12,'[1]Donor Summary'!C:F,3,0),0))</f>
        <v>0</v>
      </c>
      <c r="C12" s="15">
        <f>INT(ROUND(IFERROR(VLOOKUP(A12,'[1]Donor Summary'!C:F,4,0),0),1))</f>
        <v>0</v>
      </c>
      <c r="D12" s="16">
        <f>INT(ROUND(C12-B12,1))</f>
        <v>0</v>
      </c>
      <c r="E12" s="17" t="str">
        <f>IF(A12=0,"",TEXT((IFERROR(D12/C12,0)),"0.00%"))</f>
        <v>0.00%</v>
      </c>
      <c r="F12" s="17" t="str">
        <f>IF(A12=0,"",TEXT((IFERROR(B12/C12,0)),"0.0%"))</f>
        <v>0.0%</v>
      </c>
      <c r="G12" s="15">
        <f>INT(D12*3)</f>
        <v>0</v>
      </c>
      <c r="H12" s="18"/>
      <c r="I12" s="18">
        <f>IFERROR(VLOOKUP(A12,'[1]Lot All by Part'!T:Y,6,0),0)</f>
        <v>0</v>
      </c>
      <c r="J12" s="18"/>
      <c r="K12" s="19">
        <f>IFERROR(VLOOKUP($A12,'[1]Donor-Served OBs'!A:N,3,0),0)</f>
        <v>0</v>
      </c>
      <c r="L12" s="19">
        <f>ROUNDUP(IF(A12=0,0,IFERROR(VLOOKUP($A12,'[1]Donor''s Assigned Kilos'!A:O,3,0),0)),0)</f>
        <v>0</v>
      </c>
      <c r="M12" s="19">
        <f>IF(A12=0,0,IFERROR(SUMIFS([1]Population!M:M,[1]Population!J:J,'MASTER-2025'!A12),0))</f>
        <v>0</v>
      </c>
      <c r="N12" s="20">
        <f>IFERROR(VLOOKUP($A12,'[1]Donor-Served OBs'!A:N,4,0),0)</f>
        <v>0</v>
      </c>
      <c r="O12" s="20">
        <f>ROUNDUP(IF(A12=0,0,IFERROR(VLOOKUP($A12,'[1]Donor''s Assigned Kilos'!A:O,4,0),0)),0)</f>
        <v>0</v>
      </c>
      <c r="P12" s="20">
        <f>IF(A12=0,0,IFERROR(SUMIFS([1]Population!N:N,[1]Population!J:J,'MASTER-2025'!A12),0))</f>
        <v>0</v>
      </c>
      <c r="Q12" s="18">
        <f>IFERROR(VLOOKUP($A12,'[1]Donor-Served OBs'!A:N,2,0),0)</f>
        <v>0</v>
      </c>
      <c r="R12" s="18">
        <f>ROUNDUP(ROUND(IF(A12=0,0,IFERROR(VLOOKUP($A12,'[1]Donor''s Assigned Kilos'!A:O,9,0),0)),1),0)</f>
        <v>0</v>
      </c>
      <c r="S12" s="18">
        <f>IF(A12=0,0,IFERROR(SUMIFS([1]Population!S:S,[1]Population!J:J,'MASTER-2025'!A12),0))</f>
        <v>0</v>
      </c>
      <c r="T12" s="19">
        <f>IFERROR(VLOOKUP($A12,'[1]Donor-Served OBs'!A:N,12,0),0)</f>
        <v>0</v>
      </c>
      <c r="U12" s="19">
        <f>ROUNDUP(IF(A12=0,0,IF(A12=0,0,IFERROR(VLOOKUP($A12,'[1]Donor''s Assigned Kilos'!A:O,7,0),0))),0)</f>
        <v>0</v>
      </c>
      <c r="V12" s="19">
        <f>IF(A12=0,0,IFERROR(SUMIFS([1]Population!Q:Q,[1]Population!J:J,'MASTER-2025'!A12),0))</f>
        <v>0</v>
      </c>
      <c r="W12" s="20">
        <f>IFERROR(VLOOKUP($A12,'[1]Donor-Served OBs'!A:N,10,0),0)</f>
        <v>0</v>
      </c>
      <c r="X12" s="20">
        <f>ROUNDUP(IF(A12=0,0,IFERROR(VLOOKUP($A12,'[1]Donor''s Assigned Kilos'!A:N,5,0),0)),0)</f>
        <v>0</v>
      </c>
      <c r="Y12" s="20">
        <f>IF(A12=0,0,IFERROR(SUMIFS([1]Population!O:O,[1]Population!J:J,'MASTER-2025'!A12),0))</f>
        <v>0</v>
      </c>
      <c r="Z12" s="18">
        <f>IFERROR(VLOOKUP($A12,'[1]Donor-Served OBs'!A:N,6,0),0)</f>
        <v>0</v>
      </c>
      <c r="AA12" s="18">
        <f>ROUNDUP(IF(A12=0,0,IFERROR(VLOOKUP($A12,'[1]Donor''s Assigned Kilos'!A:N,11,0),0)),0)</f>
        <v>0</v>
      </c>
      <c r="AB12" s="18">
        <f>IF(A12=0,0,IFERROR(SUMIFS([1]Population!U:U,[1]Population!J:J,'MASTER-2025'!A12),0))</f>
        <v>0</v>
      </c>
      <c r="AC12" s="19">
        <f>IFERROR(VLOOKUP($A12,'[1]Donor-Served OBs'!A:N,7,0),0)</f>
        <v>0</v>
      </c>
      <c r="AD12" s="19">
        <f>ROUNDUP(IF(A12=0,0,IFERROR(VLOOKUP($A12,'[1]Donor''s Assigned Kilos'!A:N,8,0),0)),0)</f>
        <v>0</v>
      </c>
      <c r="AE12" s="19">
        <f>IF(A12=0,0,IFERROR(SUMIFS([1]Population!R:R,[1]Population!J:J,'MASTER-2025'!A12),0))</f>
        <v>0</v>
      </c>
      <c r="AF12" s="20">
        <f>IFERROR(VLOOKUP($A12,'[1]Donor-Served OBs'!A:N,8,0),0)</f>
        <v>0</v>
      </c>
      <c r="AG12" s="20">
        <f>ROUNDUP(IF(A12=0,0,IFERROR(VLOOKUP($A12,'[1]Donor''s Assigned Kilos'!A:N,6,0),0)),0)</f>
        <v>0</v>
      </c>
      <c r="AH12" s="20">
        <f>IF(A12=0,0,IFERROR(SUMIFS([1]Population!P:P,[1]Population!J:J,'MASTER-2025'!A12),0))</f>
        <v>0</v>
      </c>
      <c r="AI12" s="18">
        <f>IFERROR(VLOOKUP($A12,'[1]Donor-Served OBs'!A:N,9,0),0)</f>
        <v>0</v>
      </c>
      <c r="AJ12" s="18">
        <f>ROUNDUP(IF(A12=0,0,IFERROR(VLOOKUP($A12,'[1]Donor''s Assigned Kilos'!A:N,12,0),0)),0)</f>
        <v>0</v>
      </c>
      <c r="AK12" s="18">
        <f>IF(A12=0,0,IFERROR(SUMIFS([1]Population!V:V,[1]Population!J:J,'MASTER-2025'!A12),0))</f>
        <v>0</v>
      </c>
      <c r="AL12" s="19">
        <f>IFERROR(VLOOKUP($A12,'[1]Donor-Served OBs'!A:N,16,0),0)</f>
        <v>0</v>
      </c>
      <c r="AM12" s="19">
        <f>ROUNDUP(IF(A12=0,0,IFERROR(VLOOKUP($A12,'[1]Donor''s Assigned Kilos'!A:O,16,0),0)),0)</f>
        <v>0</v>
      </c>
      <c r="AN12" s="19">
        <f>IF(A12=0,0,IFERROR(SUMIFS([1]Population!Z:Z,[1]Population!J:J,'MASTER-2025'!A12),0))</f>
        <v>0</v>
      </c>
      <c r="AO12" s="20">
        <f>IFERROR(VLOOKUP($A12,'[1]Donor-Served OBs'!A:N,11,0),0)</f>
        <v>0</v>
      </c>
      <c r="AP12" s="20">
        <f>ROUNDUP(IF(A12=0,0,IFERROR(VLOOKUP($A12,'[1]Donor''s Assigned Kilos'!A:N,13,0),0)),0)</f>
        <v>0</v>
      </c>
      <c r="AQ12" s="20">
        <f>IF(A12=0,0,IFERROR(SUMIFS([1]Population!W:W,[1]Population!J:J,'MASTER-2025'!A12),0))</f>
        <v>0</v>
      </c>
      <c r="AR12" s="18">
        <f>IFERROR(VLOOKUP($A12,'[1]Donor-Served OBs'!A:N,5,0),0)</f>
        <v>0</v>
      </c>
      <c r="AS12" s="18">
        <f>ROUNDUP(IF(A12=0,0,IFERROR(VLOOKUP($A12,'[1]Donor''s Assigned Kilos'!A:N,10,0),0)),0)</f>
        <v>0</v>
      </c>
      <c r="AT12" s="18">
        <f>IF(A12=0,0,IFERROR(SUMIFS([1]Population!T:T,[1]Population!J:J,'MASTER-2025'!A12),0))</f>
        <v>0</v>
      </c>
      <c r="AU12" s="19">
        <f>IFERROR(VLOOKUP($A12,'[1]Donor-Served OBs'!A:N,13,0),0)</f>
        <v>0</v>
      </c>
      <c r="AV12" s="19">
        <f>ROUNDUP(IF(A12=0,0,IFERROR(VLOOKUP($A12,'[1]Donor''s Assigned Kilos'!A:N,14,0),0)),0)</f>
        <v>0</v>
      </c>
      <c r="AW12" s="19">
        <f>IF(A12=0,0,IFERROR(SUMIFS([1]Population!X:X,[1]Population!J:J,'MASTER-2025'!A12),0))</f>
        <v>0</v>
      </c>
      <c r="AX12" s="20">
        <f>IFERROR(VLOOKUP($A12,'[1]Donor-Served OBs'!A:N,16,0),0)</f>
        <v>0</v>
      </c>
      <c r="AY12" s="20">
        <f>ROUNDUP(IF(A12=0,0,IFERROR(VLOOKUP($A12,'[1]Donor''s Assigned Kilos'!A:O,16,0),0)),0)</f>
        <v>0</v>
      </c>
      <c r="AZ12" s="20">
        <f>IF(A12=0,0,IFERROR(SUMIFS([1]Population!Y:Y,[1]Population!J:J,'MASTER-2025'!A12),0))</f>
        <v>0</v>
      </c>
      <c r="BA12" s="21">
        <f t="shared" ref="BA12:BA75" si="15">+H12+K12+N12+Q12+T12+W12+Z12+AC12+AF12+AI12+AL12+AO12+AR12+AU12+AX12</f>
        <v>0</v>
      </c>
      <c r="BB12" s="21">
        <f>INT(I12+L12+O12+R12+U12+X12+AA12+AD12+AG12+AJ12+AM12+AP12+AS12+AV12+AY12)</f>
        <v>0</v>
      </c>
      <c r="BC12" s="21">
        <f t="shared" ref="BC12:BC15" si="16">ROUND(I12+L12+O12+R12+U12,0)</f>
        <v>0</v>
      </c>
      <c r="BD12" s="21">
        <f t="shared" ref="BD12:BD24" si="17">IF(A12=0,0,(+J12+M12+P12+S12+V12+Y12+AB12+AE12+AH12+AK12+AN12+AQ12+AT12+AW12+AZ12))</f>
        <v>0</v>
      </c>
      <c r="BE12" s="22" t="e">
        <f>IF(A12=0,0,SUMIFS([1]Population!C:C,[1]Population!A:A,'MASTER-2025'!A12))</f>
        <v>#VALUE!</v>
      </c>
      <c r="BF12" s="22" t="e">
        <f>IF(A12=0,0,SUMIFS([1]Population!D:D,[1]Population!A:A,'MASTER-2025'!A12))</f>
        <v>#VALUE!</v>
      </c>
      <c r="BG12" s="22" t="e">
        <f>IF(A12=0,0,SUMIFS([1]Population!E:E,[1]Population!A:A,'MASTER-2025'!A12))</f>
        <v>#VALUE!</v>
      </c>
      <c r="BH12" s="22" t="e">
        <f>IF(A12=0,0,SUMIFS([1]Population!F:F,[1]Population!A:A,'MASTER-2025'!A12))</f>
        <v>#VALUE!</v>
      </c>
      <c r="BI12" s="22" t="e">
        <f t="shared" ref="BI12:BI75" si="18">+BF12+BG12+BH12</f>
        <v>#VALUE!</v>
      </c>
      <c r="BJ12" s="23" t="e">
        <f t="shared" si="6"/>
        <v>#VALUE!</v>
      </c>
      <c r="BK12" s="22" t="e">
        <f>IF(A12=0,0,SUMIFS([1]Population!G:G,[1]Population!A:A,'MASTER-2025'!A12))</f>
        <v>#VALUE!</v>
      </c>
      <c r="BL12" s="24" cm="1">
        <f t="array" ref="BL12:BW12">IFERROR(VLOOKUP(A12,'[1]Now-OB-kg-POB-25'!A:AQ,{3,4,5,6,7,8,9,10,11,12,13,14},0),0)</f>
        <v>77</v>
      </c>
      <c r="BM12" s="24">
        <v>62</v>
      </c>
      <c r="BN12" s="24">
        <v>64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0</v>
      </c>
      <c r="BU12" s="24">
        <v>0</v>
      </c>
      <c r="BV12" s="24">
        <v>0</v>
      </c>
      <c r="BW12" s="24">
        <v>0</v>
      </c>
      <c r="BX12" s="24">
        <f t="shared" si="7"/>
        <v>203</v>
      </c>
      <c r="BY12" s="25" cm="1">
        <f t="array" ref="BY12:CJ12">IFERROR(VLOOKUP(A12,'[1]Now-OB-kg-POB-25'!A:AQ,{17,18,19,20,21,22,23,24,25,26,27,28},0),0)</f>
        <v>492</v>
      </c>
      <c r="BZ12" s="25">
        <v>340</v>
      </c>
      <c r="CA12" s="25">
        <v>446</v>
      </c>
      <c r="CB12" s="25">
        <v>0</v>
      </c>
      <c r="CC12" s="25">
        <v>0</v>
      </c>
      <c r="CD12" s="25">
        <v>0</v>
      </c>
      <c r="CE12" s="25">
        <v>0</v>
      </c>
      <c r="CF12" s="25">
        <v>0</v>
      </c>
      <c r="CG12" s="25">
        <v>0</v>
      </c>
      <c r="CH12" s="25">
        <v>0</v>
      </c>
      <c r="CI12" s="25">
        <v>0</v>
      </c>
      <c r="CJ12" s="25">
        <v>0</v>
      </c>
      <c r="CK12" s="25">
        <f t="shared" si="8"/>
        <v>1278</v>
      </c>
      <c r="CL12" s="26" cm="1">
        <f t="array" ref="CL12:CW12">IFERROR(VLOOKUP(A12,'[1]Now-OB-kg-POB-25'!A:AQ,{31,32,33,34,35,36,37,38,39,40,41,42},0),0)</f>
        <v>22206</v>
      </c>
      <c r="CM12" s="26">
        <v>14083</v>
      </c>
      <c r="CN12" s="26">
        <v>21155</v>
      </c>
      <c r="CO12" s="26">
        <v>0</v>
      </c>
      <c r="CP12" s="26">
        <v>0</v>
      </c>
      <c r="CQ12" s="26">
        <v>0</v>
      </c>
      <c r="CR12" s="26">
        <v>0</v>
      </c>
      <c r="CS12" s="26">
        <v>0</v>
      </c>
      <c r="CT12" s="26">
        <v>0</v>
      </c>
      <c r="CU12" s="26">
        <v>0</v>
      </c>
      <c r="CV12" s="26">
        <v>0</v>
      </c>
      <c r="CW12" s="26">
        <v>0</v>
      </c>
      <c r="CX12" s="26">
        <f t="shared" si="9"/>
        <v>57444</v>
      </c>
      <c r="CY12" s="14" t="str">
        <f>IF(A12=0,0,IFERROR(VLOOKUP(A12,'[1]Info Donantes'!C:F,2,0),"Sin Contacto"))</f>
        <v>Sin Contacto</v>
      </c>
      <c r="CZ12" s="14" t="str">
        <f>IF(A12=0,0,IFERROR(VLOOKUP(A12,'[1]Info Donantes'!C:F,3,0),"Sin Correo"))</f>
        <v>Sin Correo</v>
      </c>
      <c r="DA12" s="14" t="str">
        <f>IF(A12=0,0,IFERROR(VLOOKUP(A12,'[1]Info Donantes'!C:F,4,0),"Sin Telefono"))</f>
        <v>Sin Telefono</v>
      </c>
      <c r="DB12" s="14" t="s">
        <v>127</v>
      </c>
    </row>
    <row r="13" spans="1:106" x14ac:dyDescent="0.55000000000000004">
      <c r="A13" s="14" t="s">
        <v>128</v>
      </c>
      <c r="B13" s="15">
        <f>INT(IFERROR(VLOOKUP(A13,'[1]Donor Summary'!C:F,3,0),0))</f>
        <v>0</v>
      </c>
      <c r="C13" s="15">
        <f>INT(ROUND(IFERROR(VLOOKUP(A13,'[1]Donor Summary'!C:F,4,0),0),1))</f>
        <v>15</v>
      </c>
      <c r="D13" s="16">
        <f t="shared" ref="D13:D76" si="19">INT(ROUND(C13-B13,1))</f>
        <v>15</v>
      </c>
      <c r="E13" s="17" t="str">
        <f t="shared" ref="E13:E76" si="20">IF(A13=0,"",TEXT((IFERROR(D13/C13,0)),"0.00%"))</f>
        <v>100.00%</v>
      </c>
      <c r="F13" s="17" t="str">
        <f t="shared" ref="F13:F76" si="21">IF(A13=0,"",TEXT((IFERROR(B13/C13,0)),"0.0%"))</f>
        <v>0.0%</v>
      </c>
      <c r="G13" s="15">
        <f t="shared" ref="G13:G24" si="22">INT(D13*3)</f>
        <v>45</v>
      </c>
      <c r="H13" s="18"/>
      <c r="I13" s="18">
        <f>IFERROR(VLOOKUP(A13,'[1]Lot All by Part'!T:Y,6,0),0)</f>
        <v>0</v>
      </c>
      <c r="J13" s="18"/>
      <c r="K13" s="19">
        <f>IFERROR(VLOOKUP($A13,'[1]Donor-Served OBs'!A:N,3,0),0)</f>
        <v>0</v>
      </c>
      <c r="L13" s="19">
        <f>ROUNDUP(IF(A13=0,0,IFERROR(VLOOKUP($A13,'[1]Donor''s Assigned Kilos'!A:O,3,0),0)),0)</f>
        <v>0</v>
      </c>
      <c r="M13" s="19">
        <f>IF(A13=0,0,IFERROR(SUMIFS([1]Population!M:M,[1]Population!J:J,'MASTER-2025'!A13),0))</f>
        <v>0</v>
      </c>
      <c r="N13" s="20">
        <f>IFERROR(VLOOKUP($A13,'[1]Donor-Served OBs'!A:N,4,0),0)</f>
        <v>3</v>
      </c>
      <c r="O13" s="20">
        <f>ROUNDUP(IF(A13=0,0,IFERROR(VLOOKUP($A13,'[1]Donor''s Assigned Kilos'!A:O,4,0),0)),0)</f>
        <v>15</v>
      </c>
      <c r="P13" s="20">
        <f>IF(A13=0,0,IFERROR(SUMIFS([1]Population!N:N,[1]Population!J:J,'MASTER-2025'!A13),0))</f>
        <v>0</v>
      </c>
      <c r="Q13" s="18">
        <f>IFERROR(VLOOKUP($A13,'[1]Donor-Served OBs'!A:N,2,0),0)</f>
        <v>0</v>
      </c>
      <c r="R13" s="18">
        <f>ROUNDUP(ROUND(IF(A13=0,0,IFERROR(VLOOKUP($A13,'[1]Donor''s Assigned Kilos'!A:O,9,0),0)),1),0)</f>
        <v>0</v>
      </c>
      <c r="S13" s="18">
        <f>IF(A13=0,0,IFERROR(SUMIFS([1]Population!S:S,[1]Population!J:J,'MASTER-2025'!A13),0))</f>
        <v>0</v>
      </c>
      <c r="T13" s="19">
        <f>IFERROR(VLOOKUP($A13,'[1]Donor-Served OBs'!A:N,12,0),0)</f>
        <v>0</v>
      </c>
      <c r="U13" s="19">
        <f>ROUNDUP(IF(A13=0,0,IF(A13=0,0,IFERROR(VLOOKUP($A13,'[1]Donor''s Assigned Kilos'!A:O,7,0),0))),0)</f>
        <v>0</v>
      </c>
      <c r="V13" s="19">
        <f>IF(A13=0,0,IFERROR(SUMIFS([1]Population!Q:Q,[1]Population!J:J,'MASTER-2025'!A13),0))</f>
        <v>0</v>
      </c>
      <c r="W13" s="20">
        <f>IFERROR(VLOOKUP($A13,'[1]Donor-Served OBs'!A:N,10,0),0)</f>
        <v>0</v>
      </c>
      <c r="X13" s="20">
        <f>ROUNDUP(IF(A13=0,0,IFERROR(VLOOKUP($A13,'[1]Donor''s Assigned Kilos'!A:N,5,0),0)),0)</f>
        <v>0</v>
      </c>
      <c r="Y13" s="20">
        <f>IF(A13=0,0,IFERROR(SUMIFS([1]Population!O:O,[1]Population!J:J,'MASTER-2025'!A13),0))</f>
        <v>0</v>
      </c>
      <c r="Z13" s="18">
        <f>IFERROR(VLOOKUP($A13,'[1]Donor-Served OBs'!A:N,6,0),0)</f>
        <v>0</v>
      </c>
      <c r="AA13" s="18">
        <f>ROUNDUP(IF(A13=0,0,IFERROR(VLOOKUP($A13,'[1]Donor''s Assigned Kilos'!A:N,11,0),0)),0)</f>
        <v>0</v>
      </c>
      <c r="AB13" s="18">
        <f>IF(A13=0,0,IFERROR(SUMIFS([1]Population!U:U,[1]Population!J:J,'MASTER-2025'!A13),0))</f>
        <v>0</v>
      </c>
      <c r="AC13" s="19">
        <f>IFERROR(VLOOKUP($A13,'[1]Donor-Served OBs'!A:N,7,0),0)</f>
        <v>0</v>
      </c>
      <c r="AD13" s="19">
        <f>ROUNDUP(IF(A13=0,0,IFERROR(VLOOKUP($A13,'[1]Donor''s Assigned Kilos'!A:N,8,0),0)),0)</f>
        <v>0</v>
      </c>
      <c r="AE13" s="19">
        <f>IF(A13=0,0,IFERROR(SUMIFS([1]Population!R:R,[1]Population!J:J,'MASTER-2025'!A13),0))</f>
        <v>0</v>
      </c>
      <c r="AF13" s="20">
        <f>IFERROR(VLOOKUP($A13,'[1]Donor-Served OBs'!A:N,8,0),0)</f>
        <v>0</v>
      </c>
      <c r="AG13" s="20">
        <f>ROUNDUP(IF(A13=0,0,IFERROR(VLOOKUP($A13,'[1]Donor''s Assigned Kilos'!A:N,6,0),0)),0)</f>
        <v>0</v>
      </c>
      <c r="AH13" s="20">
        <f>IF(A13=0,0,IFERROR(SUMIFS([1]Population!P:P,[1]Population!J:J,'MASTER-2025'!A13),0))</f>
        <v>0</v>
      </c>
      <c r="AI13" s="18">
        <f>IFERROR(VLOOKUP($A13,'[1]Donor-Served OBs'!A:N,9,0),0)</f>
        <v>0</v>
      </c>
      <c r="AJ13" s="18">
        <f>ROUNDUP(IF(A13=0,0,IFERROR(VLOOKUP($A13,'[1]Donor''s Assigned Kilos'!A:N,12,0),0)),0)</f>
        <v>0</v>
      </c>
      <c r="AK13" s="18">
        <f>IF(A13=0,0,IFERROR(SUMIFS([1]Population!V:V,[1]Population!J:J,'MASTER-2025'!A13),0))</f>
        <v>0</v>
      </c>
      <c r="AL13" s="19">
        <f>IFERROR(VLOOKUP($A13,'[1]Donor-Served OBs'!A:N,16,0),0)</f>
        <v>0</v>
      </c>
      <c r="AM13" s="19">
        <f>ROUNDUP(IF(A13=0,0,IFERROR(VLOOKUP($A13,'[1]Donor''s Assigned Kilos'!A:O,16,0),0)),0)</f>
        <v>0</v>
      </c>
      <c r="AN13" s="19">
        <f>IF(A13=0,0,IFERROR(SUMIFS([1]Population!Z:Z,[1]Population!J:J,'MASTER-2025'!A13),0))</f>
        <v>0</v>
      </c>
      <c r="AO13" s="20">
        <f>IFERROR(VLOOKUP($A13,'[1]Donor-Served OBs'!A:N,11,0),0)</f>
        <v>0</v>
      </c>
      <c r="AP13" s="20">
        <f>ROUNDUP(IF(A13=0,0,IFERROR(VLOOKUP($A13,'[1]Donor''s Assigned Kilos'!A:N,13,0),0)),0)</f>
        <v>0</v>
      </c>
      <c r="AQ13" s="20">
        <f>IF(A13=0,0,IFERROR(SUMIFS([1]Population!W:W,[1]Population!J:J,'MASTER-2025'!A13),0))</f>
        <v>0</v>
      </c>
      <c r="AR13" s="18">
        <f>IFERROR(VLOOKUP($A13,'[1]Donor-Served OBs'!A:N,5,0),0)</f>
        <v>0</v>
      </c>
      <c r="AS13" s="18">
        <f>ROUNDUP(IF(A13=0,0,IFERROR(VLOOKUP($A13,'[1]Donor''s Assigned Kilos'!A:N,10,0),0)),0)</f>
        <v>0</v>
      </c>
      <c r="AT13" s="18">
        <f>IF(A13=0,0,IFERROR(SUMIFS([1]Population!T:T,[1]Population!J:J,'MASTER-2025'!A13),0))</f>
        <v>0</v>
      </c>
      <c r="AU13" s="19">
        <f>IFERROR(VLOOKUP($A13,'[1]Donor-Served OBs'!A:N,13,0),0)</f>
        <v>0</v>
      </c>
      <c r="AV13" s="19">
        <f>ROUNDUP(IF(A13=0,0,IFERROR(VLOOKUP($A13,'[1]Donor''s Assigned Kilos'!A:N,14,0),0)),0)</f>
        <v>0</v>
      </c>
      <c r="AW13" s="19">
        <f>IF(A13=0,0,IFERROR(SUMIFS([1]Population!X:X,[1]Population!J:J,'MASTER-2025'!A13),0))</f>
        <v>0</v>
      </c>
      <c r="AX13" s="20">
        <f>IFERROR(VLOOKUP($A13,'[1]Donor-Served OBs'!A:N,16,0),0)</f>
        <v>0</v>
      </c>
      <c r="AY13" s="20">
        <f>ROUNDUP(IF(A13=0,0,IFERROR(VLOOKUP($A13,'[1]Donor''s Assigned Kilos'!A:O,16,0),0)),0)</f>
        <v>0</v>
      </c>
      <c r="AZ13" s="20">
        <f>IF(A13=0,0,IFERROR(SUMIFS([1]Population!Y:Y,[1]Population!J:J,'MASTER-2025'!A13),0))</f>
        <v>0</v>
      </c>
      <c r="BA13" s="21">
        <f t="shared" si="15"/>
        <v>3</v>
      </c>
      <c r="BB13" s="21">
        <f t="shared" ref="BB13:BB47" si="23">INT(I13+L13+O13+R13+U13+X13+AA13+AD13+AG13+AJ13+AM13+AP13+AS13+AV13+AY13)</f>
        <v>15</v>
      </c>
      <c r="BC13" s="21">
        <f t="shared" si="16"/>
        <v>15</v>
      </c>
      <c r="BD13" s="21">
        <f t="shared" si="17"/>
        <v>0</v>
      </c>
      <c r="BE13" s="22" t="e">
        <f>IF(A13=0,0,SUMIFS([1]Population!C:C,[1]Population!A:A,'MASTER-2025'!A13))</f>
        <v>#VALUE!</v>
      </c>
      <c r="BF13" s="22" t="e">
        <f>IF(A13=0,0,SUMIFS([1]Population!D:D,[1]Population!A:A,'MASTER-2025'!A13))</f>
        <v>#VALUE!</v>
      </c>
      <c r="BG13" s="22" t="e">
        <f>IF(A13=0,0,SUMIFS([1]Population!E:E,[1]Population!A:A,'MASTER-2025'!A13))</f>
        <v>#VALUE!</v>
      </c>
      <c r="BH13" s="22" t="e">
        <f>IF(A13=0,0,SUMIFS([1]Population!F:F,[1]Population!A:A,'MASTER-2025'!A13))</f>
        <v>#VALUE!</v>
      </c>
      <c r="BI13" s="22" t="e">
        <f t="shared" si="18"/>
        <v>#VALUE!</v>
      </c>
      <c r="BJ13" s="23" t="e">
        <f t="shared" si="6"/>
        <v>#VALUE!</v>
      </c>
      <c r="BK13" s="22" t="e">
        <f>IF(A13=0,0,SUMIFS([1]Population!G:G,[1]Population!A:A,'MASTER-2025'!A13))</f>
        <v>#VALUE!</v>
      </c>
      <c r="BL13" s="24" cm="1">
        <f t="array" ref="BL13:BW13">IFERROR(VLOOKUP(A13,'[1]Now-OB-kg-POB-25'!A:AQ,{3,4,5,6,7,8,9,10,11,12,13,14},0),0)</f>
        <v>6</v>
      </c>
      <c r="BM13" s="24">
        <v>4</v>
      </c>
      <c r="BN13" s="24">
        <v>3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  <c r="BU13" s="24">
        <v>0</v>
      </c>
      <c r="BV13" s="24">
        <v>0</v>
      </c>
      <c r="BW13" s="24">
        <v>0</v>
      </c>
      <c r="BX13" s="24">
        <f t="shared" si="7"/>
        <v>13</v>
      </c>
      <c r="BY13" s="25" cm="1">
        <f t="array" ref="BY13:CJ13">IFERROR(VLOOKUP(A13,'[1]Now-OB-kg-POB-25'!A:AQ,{17,18,19,20,21,22,23,24,25,26,27,28},0),0)</f>
        <v>11</v>
      </c>
      <c r="BZ13" s="25">
        <v>9</v>
      </c>
      <c r="CA13" s="25">
        <v>15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f t="shared" si="8"/>
        <v>35</v>
      </c>
      <c r="CL13" s="26" cm="1">
        <f t="array" ref="CL13:CW13">IFERROR(VLOOKUP(A13,'[1]Now-OB-kg-POB-25'!A:AQ,{31,32,33,34,35,36,37,38,39,40,41,42},0),0)</f>
        <v>756</v>
      </c>
      <c r="CM13" s="26">
        <v>782</v>
      </c>
      <c r="CN13" s="26">
        <v>1205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0</v>
      </c>
      <c r="CU13" s="26">
        <v>0</v>
      </c>
      <c r="CV13" s="26">
        <v>0</v>
      </c>
      <c r="CW13" s="26">
        <v>0</v>
      </c>
      <c r="CX13" s="26">
        <f t="shared" si="9"/>
        <v>2743</v>
      </c>
      <c r="CY13" s="14">
        <f>IF(A13=0,0,IFERROR(VLOOKUP(A13,'[1]Info Donantes'!C:F,2,0),"Sin Contacto"))</f>
        <v>0</v>
      </c>
      <c r="CZ13" s="14">
        <f>IF(A13=0,0,IFERROR(VLOOKUP(A13,'[1]Info Donantes'!C:F,3,0),"Sin Correo"))</f>
        <v>0</v>
      </c>
      <c r="DA13" s="14">
        <f>IF(A13=0,0,IFERROR(VLOOKUP(A13,'[1]Info Donantes'!C:F,4,0),"Sin Telefono"))</f>
        <v>0</v>
      </c>
      <c r="DB13" s="14" t="s">
        <v>129</v>
      </c>
    </row>
    <row r="14" spans="1:106" x14ac:dyDescent="0.55000000000000004">
      <c r="A14" s="14" t="s">
        <v>130</v>
      </c>
      <c r="B14" s="15">
        <f>INT(IFERROR(VLOOKUP(A14,'[1]Donor Summary'!C:F,3,0),0))</f>
        <v>4</v>
      </c>
      <c r="C14" s="15">
        <f>INT(ROUND(IFERROR(VLOOKUP(A14,'[1]Donor Summary'!C:F,4,0),0),1))</f>
        <v>1797</v>
      </c>
      <c r="D14" s="16">
        <f t="shared" si="19"/>
        <v>1793</v>
      </c>
      <c r="E14" s="17" t="str">
        <f t="shared" si="20"/>
        <v>99.78%</v>
      </c>
      <c r="F14" s="17" t="str">
        <f t="shared" si="21"/>
        <v>0.2%</v>
      </c>
      <c r="G14" s="15">
        <f t="shared" si="22"/>
        <v>5379</v>
      </c>
      <c r="H14" s="18"/>
      <c r="I14" s="18">
        <f>IFERROR(VLOOKUP(A14,'[1]Lot All by Part'!T:Y,6,0),0)</f>
        <v>0</v>
      </c>
      <c r="J14" s="18"/>
      <c r="K14" s="19">
        <f>IFERROR(VLOOKUP($A14,'[1]Donor-Served OBs'!A:N,3,0),0)</f>
        <v>13</v>
      </c>
      <c r="L14" s="19">
        <f>ROUNDUP(IF(A14=0,0,IFERROR(VLOOKUP($A14,'[1]Donor''s Assigned Kilos'!A:O,3,0),0)),0)</f>
        <v>97</v>
      </c>
      <c r="M14" s="19">
        <f>IF(A14=0,0,IFERROR(SUMIFS([1]Population!M:M,[1]Population!J:J,'MASTER-2025'!A14),0))</f>
        <v>0</v>
      </c>
      <c r="N14" s="20">
        <f>IFERROR(VLOOKUP($A14,'[1]Donor-Served OBs'!A:N,4,0),0)</f>
        <v>18</v>
      </c>
      <c r="O14" s="20">
        <f>ROUNDUP(IF(A14=0,0,IFERROR(VLOOKUP($A14,'[1]Donor''s Assigned Kilos'!A:O,4,0),0)),0)</f>
        <v>117</v>
      </c>
      <c r="P14" s="20">
        <f>IF(A14=0,0,IFERROR(SUMIFS([1]Population!N:N,[1]Population!J:J,'MASTER-2025'!A14),0))</f>
        <v>0</v>
      </c>
      <c r="Q14" s="18">
        <f>IFERROR(VLOOKUP($A14,'[1]Donor-Served OBs'!A:N,2,0),0)</f>
        <v>4</v>
      </c>
      <c r="R14" s="18">
        <f>ROUNDUP(ROUND(IF(A14=0,0,IFERROR(VLOOKUP($A14,'[1]Donor''s Assigned Kilos'!A:O,9,0),0)),1),0)</f>
        <v>13</v>
      </c>
      <c r="S14" s="18">
        <f>IF(A14=0,0,IFERROR(SUMIFS([1]Population!S:S,[1]Population!J:J,'MASTER-2025'!A14),0))</f>
        <v>0</v>
      </c>
      <c r="T14" s="19">
        <f>IFERROR(VLOOKUP($A14,'[1]Donor-Served OBs'!A:N,12,0),0)</f>
        <v>0</v>
      </c>
      <c r="U14" s="19">
        <f>ROUNDUP(IF(A14=0,0,IF(A14=0,0,IFERROR(VLOOKUP($A14,'[1]Donor''s Assigned Kilos'!A:O,7,0),0))),0)</f>
        <v>0</v>
      </c>
      <c r="V14" s="19">
        <f>IF(A14=0,0,IFERROR(SUMIFS([1]Population!Q:Q,[1]Population!J:J,'MASTER-2025'!A14),0))</f>
        <v>0</v>
      </c>
      <c r="W14" s="20">
        <f>IFERROR(VLOOKUP($A14,'[1]Donor-Served OBs'!A:N,10,0),0)</f>
        <v>10</v>
      </c>
      <c r="X14" s="20">
        <f>ROUNDUP(IF(A14=0,0,IFERROR(VLOOKUP($A14,'[1]Donor''s Assigned Kilos'!A:N,5,0),0)),0)</f>
        <v>58</v>
      </c>
      <c r="Y14" s="20">
        <f>IF(A14=0,0,IFERROR(SUMIFS([1]Population!O:O,[1]Population!J:J,'MASTER-2025'!A14),0))</f>
        <v>0</v>
      </c>
      <c r="Z14" s="18">
        <f>IFERROR(VLOOKUP($A14,'[1]Donor-Served OBs'!A:N,6,0),0)</f>
        <v>0</v>
      </c>
      <c r="AA14" s="18">
        <f>ROUNDUP(IF(A14=0,0,IFERROR(VLOOKUP($A14,'[1]Donor''s Assigned Kilos'!A:N,11,0),0)),0)</f>
        <v>0</v>
      </c>
      <c r="AB14" s="18">
        <f>IF(A14=0,0,IFERROR(SUMIFS([1]Population!U:U,[1]Population!J:J,'MASTER-2025'!A14),0))</f>
        <v>0</v>
      </c>
      <c r="AC14" s="19">
        <f>IFERROR(VLOOKUP($A14,'[1]Donor-Served OBs'!A:N,7,0),0)</f>
        <v>2</v>
      </c>
      <c r="AD14" s="19">
        <f>ROUNDUP(IF(A14=0,0,IFERROR(VLOOKUP($A14,'[1]Donor''s Assigned Kilos'!A:N,8,0),0)),0)</f>
        <v>28</v>
      </c>
      <c r="AE14" s="19">
        <f>IF(A14=0,0,IFERROR(SUMIFS([1]Population!R:R,[1]Population!J:J,'MASTER-2025'!A14),0))</f>
        <v>0</v>
      </c>
      <c r="AF14" s="20">
        <f>IFERROR(VLOOKUP($A14,'[1]Donor-Served OBs'!A:N,8,0),0)</f>
        <v>1</v>
      </c>
      <c r="AG14" s="20">
        <f>ROUNDUP(IF(A14=0,0,IFERROR(VLOOKUP($A14,'[1]Donor''s Assigned Kilos'!A:N,6,0),0)),0)</f>
        <v>4</v>
      </c>
      <c r="AH14" s="20">
        <f>IF(A14=0,0,IFERROR(SUMIFS([1]Population!P:P,[1]Population!J:J,'MASTER-2025'!A14),0))</f>
        <v>0</v>
      </c>
      <c r="AI14" s="18">
        <f>IFERROR(VLOOKUP($A14,'[1]Donor-Served OBs'!A:N,9,0),0)</f>
        <v>0</v>
      </c>
      <c r="AJ14" s="18">
        <f>ROUNDUP(IF(A14=0,0,IFERROR(VLOOKUP($A14,'[1]Donor''s Assigned Kilos'!A:N,12,0),0)),0)</f>
        <v>0</v>
      </c>
      <c r="AK14" s="18">
        <f>IF(A14=0,0,IFERROR(SUMIFS([1]Population!V:V,[1]Population!J:J,'MASTER-2025'!A14),0))</f>
        <v>0</v>
      </c>
      <c r="AL14" s="19">
        <f>IFERROR(VLOOKUP($A14,'[1]Donor-Served OBs'!A:N,16,0),0)</f>
        <v>0</v>
      </c>
      <c r="AM14" s="19">
        <f>ROUNDUP(IF(A14=0,0,IFERROR(VLOOKUP($A14,'[1]Donor''s Assigned Kilos'!A:O,16,0),0)),0)</f>
        <v>0</v>
      </c>
      <c r="AN14" s="19">
        <f>IF(A14=0,0,IFERROR(SUMIFS([1]Population!Z:Z,[1]Population!J:J,'MASTER-2025'!A14),0))</f>
        <v>0</v>
      </c>
      <c r="AO14" s="20">
        <f>IFERROR(VLOOKUP($A14,'[1]Donor-Served OBs'!A:N,11,0),0)</f>
        <v>0</v>
      </c>
      <c r="AP14" s="20">
        <f>ROUNDUP(IF(A14=0,0,IFERROR(VLOOKUP($A14,'[1]Donor''s Assigned Kilos'!A:N,13,0),0)),0)</f>
        <v>0</v>
      </c>
      <c r="AQ14" s="20">
        <f>IF(A14=0,0,IFERROR(SUMIFS([1]Population!W:W,[1]Population!J:J,'MASTER-2025'!A14),0))</f>
        <v>0</v>
      </c>
      <c r="AR14" s="18">
        <f>IFERROR(VLOOKUP($A14,'[1]Donor-Served OBs'!A:N,5,0),0)</f>
        <v>0</v>
      </c>
      <c r="AS14" s="18">
        <f>ROUNDUP(IF(A14=0,0,IFERROR(VLOOKUP($A14,'[1]Donor''s Assigned Kilos'!A:N,10,0),0)),0)</f>
        <v>0</v>
      </c>
      <c r="AT14" s="18">
        <f>IF(A14=0,0,IFERROR(SUMIFS([1]Population!T:T,[1]Population!J:J,'MASTER-2025'!A14),0))</f>
        <v>0</v>
      </c>
      <c r="AU14" s="19">
        <f>IFERROR(VLOOKUP($A14,'[1]Donor-Served OBs'!A:N,13,0),0)</f>
        <v>0</v>
      </c>
      <c r="AV14" s="19">
        <f>ROUNDUP(IF(A14=0,0,IFERROR(VLOOKUP($A14,'[1]Donor''s Assigned Kilos'!A:N,14,0),0)),0)</f>
        <v>0</v>
      </c>
      <c r="AW14" s="19">
        <f>IF(A14=0,0,IFERROR(SUMIFS([1]Population!X:X,[1]Population!J:J,'MASTER-2025'!A14),0))</f>
        <v>0</v>
      </c>
      <c r="AX14" s="20">
        <f>IFERROR(VLOOKUP($A14,'[1]Donor-Served OBs'!A:N,16,0),0)</f>
        <v>0</v>
      </c>
      <c r="AY14" s="20">
        <f>ROUNDUP(IF(A14=0,0,IFERROR(VLOOKUP($A14,'[1]Donor''s Assigned Kilos'!A:O,16,0),0)),0)</f>
        <v>0</v>
      </c>
      <c r="AZ14" s="20">
        <f>IF(A14=0,0,IFERROR(SUMIFS([1]Population!Y:Y,[1]Population!J:J,'MASTER-2025'!A14),0))</f>
        <v>0</v>
      </c>
      <c r="BA14" s="21">
        <f t="shared" si="15"/>
        <v>48</v>
      </c>
      <c r="BB14" s="21">
        <f t="shared" si="23"/>
        <v>317</v>
      </c>
      <c r="BC14" s="21">
        <f t="shared" si="16"/>
        <v>227</v>
      </c>
      <c r="BD14" s="21">
        <f t="shared" si="17"/>
        <v>0</v>
      </c>
      <c r="BE14" s="22" t="e">
        <f>IF(A14=0,0,SUMIFS([1]Population!C:C,[1]Population!A:A,'MASTER-2025'!A14))</f>
        <v>#VALUE!</v>
      </c>
      <c r="BF14" s="22" t="e">
        <f>IF(A14=0,0,SUMIFS([1]Population!D:D,[1]Population!A:A,'MASTER-2025'!A14))</f>
        <v>#VALUE!</v>
      </c>
      <c r="BG14" s="22" t="e">
        <f>IF(A14=0,0,SUMIFS([1]Population!E:E,[1]Population!A:A,'MASTER-2025'!A14))</f>
        <v>#VALUE!</v>
      </c>
      <c r="BH14" s="22" t="e">
        <f>IF(A14=0,0,SUMIFS([1]Population!F:F,[1]Population!A:A,'MASTER-2025'!A14))</f>
        <v>#VALUE!</v>
      </c>
      <c r="BI14" s="22" t="e">
        <f t="shared" si="18"/>
        <v>#VALUE!</v>
      </c>
      <c r="BJ14" s="23" t="e">
        <f t="shared" si="6"/>
        <v>#VALUE!</v>
      </c>
      <c r="BK14" s="22" t="e">
        <f>IF(A14=0,0,SUMIFS([1]Population!G:G,[1]Population!A:A,'MASTER-2025'!A14))</f>
        <v>#VALUE!</v>
      </c>
      <c r="BL14" s="24" cm="1">
        <f t="array" ref="BL14:BW14">IFERROR(VLOOKUP(A14,'[1]Now-OB-kg-POB-25'!A:AQ,{3,4,5,6,7,8,9,10,11,12,13,14},0),0)</f>
        <v>21</v>
      </c>
      <c r="BM14" s="24">
        <v>34</v>
      </c>
      <c r="BN14" s="24">
        <v>48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24">
        <v>0</v>
      </c>
      <c r="BU14" s="24">
        <v>0</v>
      </c>
      <c r="BV14" s="24">
        <v>0</v>
      </c>
      <c r="BW14" s="24">
        <v>0</v>
      </c>
      <c r="BX14" s="24">
        <f t="shared" si="7"/>
        <v>103</v>
      </c>
      <c r="BY14" s="25" cm="1">
        <f t="array" ref="BY14:CJ14">IFERROR(VLOOKUP(A14,'[1]Now-OB-kg-POB-25'!A:AQ,{17,18,19,20,21,22,23,24,25,26,27,28},0),0)</f>
        <v>376</v>
      </c>
      <c r="BZ14" s="25">
        <v>233</v>
      </c>
      <c r="CA14" s="25">
        <v>1797</v>
      </c>
      <c r="CB14" s="25">
        <v>0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0</v>
      </c>
      <c r="CI14" s="25">
        <v>0</v>
      </c>
      <c r="CJ14" s="25">
        <v>0</v>
      </c>
      <c r="CK14" s="25">
        <f t="shared" si="8"/>
        <v>2406</v>
      </c>
      <c r="CL14" s="26" cm="1">
        <f t="array" ref="CL14:CW14">IFERROR(VLOOKUP(A14,'[1]Now-OB-kg-POB-25'!A:AQ,{31,32,33,34,35,36,37,38,39,40,41,42},0),0)</f>
        <v>5593</v>
      </c>
      <c r="CM14" s="26">
        <v>7802</v>
      </c>
      <c r="CN14" s="26">
        <v>12950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0</v>
      </c>
      <c r="CU14" s="26">
        <v>0</v>
      </c>
      <c r="CV14" s="26">
        <v>0</v>
      </c>
      <c r="CW14" s="26">
        <v>0</v>
      </c>
      <c r="CX14" s="26">
        <f t="shared" si="9"/>
        <v>26345</v>
      </c>
      <c r="CY14" s="14" t="str">
        <f>IF(A14=0,0,IFERROR(VLOOKUP(A14,'[1]Info Donantes'!C:F,2,0),"Sin Contacto"))</f>
        <v>Mariana Victoria</v>
      </c>
      <c r="CZ14" s="14" t="str">
        <f>IF(A14=0,0,IFERROR(VLOOKUP(A14,'[1]Info Donantes'!C:F,3,0),"Sin Correo"))</f>
        <v>mariana.victoria@dicarina.com</v>
      </c>
      <c r="DA14" s="14" t="str">
        <f>IF(A14=0,0,IFERROR(VLOOKUP(A14,'[1]Info Donantes'!C:F,4,0),"Sin Telefono"))</f>
        <v>62 187513</v>
      </c>
      <c r="DB14" s="14" t="s">
        <v>131</v>
      </c>
    </row>
    <row r="15" spans="1:106" x14ac:dyDescent="0.55000000000000004">
      <c r="A15" s="14" t="s">
        <v>132</v>
      </c>
      <c r="B15" s="15">
        <f>INT(IFERROR(VLOOKUP(A15,'[1]Donor Summary'!C:F,3,0),0))</f>
        <v>0</v>
      </c>
      <c r="C15" s="15">
        <f>INT(ROUND(IFERROR(VLOOKUP(A15,'[1]Donor Summary'!C:F,4,0),0),1))</f>
        <v>0</v>
      </c>
      <c r="D15" s="16">
        <f t="shared" si="19"/>
        <v>0</v>
      </c>
      <c r="E15" s="17" t="str">
        <f t="shared" si="20"/>
        <v>0.00%</v>
      </c>
      <c r="F15" s="17" t="str">
        <f t="shared" si="21"/>
        <v>0.0%</v>
      </c>
      <c r="G15" s="15">
        <f t="shared" si="22"/>
        <v>0</v>
      </c>
      <c r="H15" s="18"/>
      <c r="I15" s="18">
        <f>IFERROR(VLOOKUP(A15,'[1]Lot All by Part'!T:Y,6,0),0)</f>
        <v>0</v>
      </c>
      <c r="J15" s="18"/>
      <c r="K15" s="19">
        <f>IFERROR(VLOOKUP($A15,'[1]Donor-Served OBs'!A:N,3,0),0)</f>
        <v>0</v>
      </c>
      <c r="L15" s="19">
        <f>ROUNDUP(IF(A15=0,0,IFERROR(VLOOKUP($A15,'[1]Donor''s Assigned Kilos'!A:O,3,0),0)),0)</f>
        <v>0</v>
      </c>
      <c r="M15" s="19">
        <f>IF(A15=0,0,IFERROR(SUMIFS([1]Population!M:M,[1]Population!J:J,'MASTER-2025'!A15),0))</f>
        <v>0</v>
      </c>
      <c r="N15" s="20">
        <f>IFERROR(VLOOKUP($A15,'[1]Donor-Served OBs'!A:N,4,0),0)</f>
        <v>0</v>
      </c>
      <c r="O15" s="20">
        <f>ROUNDUP(IF(A15=0,0,IFERROR(VLOOKUP($A15,'[1]Donor''s Assigned Kilos'!A:O,4,0),0)),0)</f>
        <v>0</v>
      </c>
      <c r="P15" s="20">
        <f>IF(A15=0,0,IFERROR(SUMIFS([1]Population!N:N,[1]Population!J:J,'MASTER-2025'!A15),0))</f>
        <v>0</v>
      </c>
      <c r="Q15" s="18">
        <f>IFERROR(VLOOKUP($A15,'[1]Donor-Served OBs'!A:N,2,0),0)</f>
        <v>0</v>
      </c>
      <c r="R15" s="18">
        <f>ROUNDUP(ROUND(IF(A15=0,0,IFERROR(VLOOKUP($A15,'[1]Donor''s Assigned Kilos'!A:O,9,0),0)),1),0)</f>
        <v>0</v>
      </c>
      <c r="S15" s="18">
        <f>IF(A15=0,0,IFERROR(SUMIFS([1]Population!S:S,[1]Population!J:J,'MASTER-2025'!A15),0))</f>
        <v>0</v>
      </c>
      <c r="T15" s="19">
        <f>IFERROR(VLOOKUP($A15,'[1]Donor-Served OBs'!A:N,12,0),0)</f>
        <v>0</v>
      </c>
      <c r="U15" s="19">
        <f>ROUNDUP(IF(A15=0,0,IF(A15=0,0,IFERROR(VLOOKUP($A15,'[1]Donor''s Assigned Kilos'!A:O,7,0),0))),0)</f>
        <v>0</v>
      </c>
      <c r="V15" s="19">
        <f>IF(A15=0,0,IFERROR(SUMIFS([1]Population!Q:Q,[1]Population!J:J,'MASTER-2025'!A15),0))</f>
        <v>0</v>
      </c>
      <c r="W15" s="20">
        <f>IFERROR(VLOOKUP($A15,'[1]Donor-Served OBs'!A:N,10,0),0)</f>
        <v>0</v>
      </c>
      <c r="X15" s="20">
        <f>ROUNDUP(IF(A15=0,0,IFERROR(VLOOKUP($A15,'[1]Donor''s Assigned Kilos'!A:N,5,0),0)),0)</f>
        <v>0</v>
      </c>
      <c r="Y15" s="20">
        <f>IF(A15=0,0,IFERROR(SUMIFS([1]Population!O:O,[1]Population!J:J,'MASTER-2025'!A15),0))</f>
        <v>0</v>
      </c>
      <c r="Z15" s="18">
        <f>IFERROR(VLOOKUP($A15,'[1]Donor-Served OBs'!A:N,6,0),0)</f>
        <v>0</v>
      </c>
      <c r="AA15" s="18">
        <f>ROUNDUP(IF(A15=0,0,IFERROR(VLOOKUP($A15,'[1]Donor''s Assigned Kilos'!A:N,11,0),0)),0)</f>
        <v>0</v>
      </c>
      <c r="AB15" s="18">
        <f>IF(A15=0,0,IFERROR(SUMIFS([1]Population!U:U,[1]Population!J:J,'MASTER-2025'!A15),0))</f>
        <v>0</v>
      </c>
      <c r="AC15" s="19">
        <f>IFERROR(VLOOKUP($A15,'[1]Donor-Served OBs'!A:N,7,0),0)</f>
        <v>0</v>
      </c>
      <c r="AD15" s="19">
        <f>ROUNDUP(IF(A15=0,0,IFERROR(VLOOKUP($A15,'[1]Donor''s Assigned Kilos'!A:N,8,0),0)),0)</f>
        <v>0</v>
      </c>
      <c r="AE15" s="19">
        <f>IF(A15=0,0,IFERROR(SUMIFS([1]Population!R:R,[1]Population!J:J,'MASTER-2025'!A15),0))</f>
        <v>0</v>
      </c>
      <c r="AF15" s="20">
        <f>IFERROR(VLOOKUP($A15,'[1]Donor-Served OBs'!A:N,8,0),0)</f>
        <v>0</v>
      </c>
      <c r="AG15" s="20">
        <f>ROUNDUP(IF(A15=0,0,IFERROR(VLOOKUP($A15,'[1]Donor''s Assigned Kilos'!A:N,6,0),0)),0)</f>
        <v>0</v>
      </c>
      <c r="AH15" s="20">
        <f>IF(A15=0,0,IFERROR(SUMIFS([1]Population!P:P,[1]Population!J:J,'MASTER-2025'!A15),0))</f>
        <v>0</v>
      </c>
      <c r="AI15" s="18">
        <f>IFERROR(VLOOKUP($A15,'[1]Donor-Served OBs'!A:N,9,0),0)</f>
        <v>0</v>
      </c>
      <c r="AJ15" s="18">
        <f>ROUNDUP(IF(A15=0,0,IFERROR(VLOOKUP($A15,'[1]Donor''s Assigned Kilos'!A:N,12,0),0)),0)</f>
        <v>0</v>
      </c>
      <c r="AK15" s="18">
        <f>IF(A15=0,0,IFERROR(SUMIFS([1]Population!V:V,[1]Population!J:J,'MASTER-2025'!A15),0))</f>
        <v>0</v>
      </c>
      <c r="AL15" s="19">
        <f>IFERROR(VLOOKUP($A15,'[1]Donor-Served OBs'!A:N,16,0),0)</f>
        <v>0</v>
      </c>
      <c r="AM15" s="19">
        <f>ROUNDUP(IF(A15=0,0,IFERROR(VLOOKUP($A15,'[1]Donor''s Assigned Kilos'!A:O,16,0),0)),0)</f>
        <v>0</v>
      </c>
      <c r="AN15" s="19">
        <f>IF(A15=0,0,IFERROR(SUMIFS([1]Population!Z:Z,[1]Population!J:J,'MASTER-2025'!A15),0))</f>
        <v>0</v>
      </c>
      <c r="AO15" s="20">
        <f>IFERROR(VLOOKUP($A15,'[1]Donor-Served OBs'!A:N,11,0),0)</f>
        <v>0</v>
      </c>
      <c r="AP15" s="20">
        <f>ROUNDUP(IF(A15=0,0,IFERROR(VLOOKUP($A15,'[1]Donor''s Assigned Kilos'!A:N,13,0),0)),0)</f>
        <v>0</v>
      </c>
      <c r="AQ15" s="20">
        <f>IF(A15=0,0,IFERROR(SUMIFS([1]Population!W:W,[1]Population!J:J,'MASTER-2025'!A15),0))</f>
        <v>0</v>
      </c>
      <c r="AR15" s="18">
        <f>IFERROR(VLOOKUP($A15,'[1]Donor-Served OBs'!A:N,5,0),0)</f>
        <v>0</v>
      </c>
      <c r="AS15" s="18">
        <f>ROUNDUP(IF(A15=0,0,IFERROR(VLOOKUP($A15,'[1]Donor''s Assigned Kilos'!A:N,10,0),0)),0)</f>
        <v>0</v>
      </c>
      <c r="AT15" s="18">
        <f>IF(A15=0,0,IFERROR(SUMIFS([1]Population!T:T,[1]Population!J:J,'MASTER-2025'!A15),0))</f>
        <v>0</v>
      </c>
      <c r="AU15" s="19">
        <f>IFERROR(VLOOKUP($A15,'[1]Donor-Served OBs'!A:N,13,0),0)</f>
        <v>0</v>
      </c>
      <c r="AV15" s="19">
        <f>ROUNDUP(IF(A15=0,0,IFERROR(VLOOKUP($A15,'[1]Donor''s Assigned Kilos'!A:N,14,0),0)),0)</f>
        <v>0</v>
      </c>
      <c r="AW15" s="19">
        <f>IF(A15=0,0,IFERROR(SUMIFS([1]Population!X:X,[1]Population!J:J,'MASTER-2025'!A15),0))</f>
        <v>0</v>
      </c>
      <c r="AX15" s="20">
        <f>IFERROR(VLOOKUP($A15,'[1]Donor-Served OBs'!A:N,16,0),0)</f>
        <v>0</v>
      </c>
      <c r="AY15" s="20">
        <f>ROUNDUP(IF(A15=0,0,IFERROR(VLOOKUP($A15,'[1]Donor''s Assigned Kilos'!A:O,16,0),0)),0)</f>
        <v>0</v>
      </c>
      <c r="AZ15" s="20">
        <f>IF(A15=0,0,IFERROR(SUMIFS([1]Population!Y:Y,[1]Population!J:J,'MASTER-2025'!A15),0))</f>
        <v>0</v>
      </c>
      <c r="BA15" s="21">
        <f t="shared" si="15"/>
        <v>0</v>
      </c>
      <c r="BB15" s="21">
        <f t="shared" si="23"/>
        <v>0</v>
      </c>
      <c r="BC15" s="21">
        <f t="shared" si="16"/>
        <v>0</v>
      </c>
      <c r="BD15" s="21">
        <f t="shared" si="17"/>
        <v>0</v>
      </c>
      <c r="BE15" s="22" t="e">
        <f>IF(A15=0,0,SUMIFS([1]Population!C:C,[1]Population!A:A,'MASTER-2025'!A15))</f>
        <v>#VALUE!</v>
      </c>
      <c r="BF15" s="22" t="e">
        <f>IF(A15=0,0,SUMIFS([1]Population!D:D,[1]Population!A:A,'MASTER-2025'!A15))</f>
        <v>#VALUE!</v>
      </c>
      <c r="BG15" s="22" t="e">
        <f>IF(A15=0,0,SUMIFS([1]Population!E:E,[1]Population!A:A,'MASTER-2025'!A15))</f>
        <v>#VALUE!</v>
      </c>
      <c r="BH15" s="22" t="e">
        <f>IF(A15=0,0,SUMIFS([1]Population!F:F,[1]Population!A:A,'MASTER-2025'!A15))</f>
        <v>#VALUE!</v>
      </c>
      <c r="BI15" s="22" t="e">
        <f t="shared" si="18"/>
        <v>#VALUE!</v>
      </c>
      <c r="BJ15" s="23" t="e">
        <f t="shared" si="6"/>
        <v>#VALUE!</v>
      </c>
      <c r="BK15" s="22" t="e">
        <f>IF(A15=0,0,SUMIFS([1]Population!G:G,[1]Population!A:A,'MASTER-2025'!A15))</f>
        <v>#VALUE!</v>
      </c>
      <c r="BL15" s="24" cm="1">
        <f t="array" ref="BL15:BW15">IFERROR(VLOOKUP(A15,'[1]Now-OB-kg-POB-25'!A:AQ,{3,4,5,6,7,8,9,10,11,12,13,14},0),0)</f>
        <v>2</v>
      </c>
      <c r="BM15" s="24">
        <v>20</v>
      </c>
      <c r="BN15" s="24">
        <v>28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24">
        <v>0</v>
      </c>
      <c r="BU15" s="24">
        <v>0</v>
      </c>
      <c r="BV15" s="24">
        <v>0</v>
      </c>
      <c r="BW15" s="24">
        <v>0</v>
      </c>
      <c r="BX15" s="24">
        <f t="shared" si="7"/>
        <v>50</v>
      </c>
      <c r="BY15" s="25" cm="1">
        <f t="array" ref="BY15:CJ15">IFERROR(VLOOKUP(A15,'[1]Now-OB-kg-POB-25'!A:AQ,{17,18,19,20,21,22,23,24,25,26,27,28},0),0)</f>
        <v>124</v>
      </c>
      <c r="BZ15" s="25">
        <v>0</v>
      </c>
      <c r="CA15" s="25">
        <v>125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0</v>
      </c>
      <c r="CI15" s="25">
        <v>0</v>
      </c>
      <c r="CJ15" s="25">
        <v>0</v>
      </c>
      <c r="CK15" s="25">
        <f t="shared" si="8"/>
        <v>249</v>
      </c>
      <c r="CL15" s="26" cm="1">
        <f t="array" ref="CL15:CW15">IFERROR(VLOOKUP(A15,'[1]Now-OB-kg-POB-25'!A:AQ,{31,32,33,34,35,36,37,38,39,40,41,42},0),0)</f>
        <v>1892</v>
      </c>
      <c r="CM15" s="26">
        <v>7708</v>
      </c>
      <c r="CN15" s="26">
        <v>7178</v>
      </c>
      <c r="CO15" s="26">
        <v>0</v>
      </c>
      <c r="CP15" s="26">
        <v>0</v>
      </c>
      <c r="CQ15" s="26">
        <v>0</v>
      </c>
      <c r="CR15" s="26">
        <v>0</v>
      </c>
      <c r="CS15" s="26">
        <v>0</v>
      </c>
      <c r="CT15" s="26">
        <v>0</v>
      </c>
      <c r="CU15" s="26">
        <v>0</v>
      </c>
      <c r="CV15" s="26">
        <v>0</v>
      </c>
      <c r="CW15" s="26">
        <v>0</v>
      </c>
      <c r="CX15" s="26">
        <f t="shared" si="9"/>
        <v>16778</v>
      </c>
      <c r="CY15" s="14" t="str">
        <f>IF(A15=0,0,IFERROR(VLOOKUP(A15,'[1]Info Donantes'!C:F,2,0),"Sin Contacto"))</f>
        <v>Sin Contacto</v>
      </c>
      <c r="CZ15" s="14" t="str">
        <f>IF(A15=0,0,IFERROR(VLOOKUP(A15,'[1]Info Donantes'!C:F,3,0),"Sin Correo"))</f>
        <v>Sin Correo</v>
      </c>
      <c r="DA15" s="14" t="str">
        <f>IF(A15=0,0,IFERROR(VLOOKUP(A15,'[1]Info Donantes'!C:F,4,0),"Sin Telefono"))</f>
        <v>Sin Telefono</v>
      </c>
      <c r="DB15" s="14" t="s">
        <v>133</v>
      </c>
    </row>
    <row r="16" spans="1:106" x14ac:dyDescent="0.55000000000000004">
      <c r="A16" s="14" t="s">
        <v>134</v>
      </c>
      <c r="B16" s="15">
        <f>INT(IFERROR(VLOOKUP(A16,'[1]Donor Summary'!C:F,3,0),0))</f>
        <v>227</v>
      </c>
      <c r="C16" s="15">
        <f>INT(ROUND(IFERROR(VLOOKUP(A16,'[1]Donor Summary'!C:F,4,0),0),1))</f>
        <v>6400</v>
      </c>
      <c r="D16" s="16">
        <f t="shared" si="19"/>
        <v>6173</v>
      </c>
      <c r="E16" s="17" t="str">
        <f t="shared" si="20"/>
        <v>96.45%</v>
      </c>
      <c r="F16" s="17" t="str">
        <f t="shared" si="21"/>
        <v>3.5%</v>
      </c>
      <c r="G16" s="15">
        <f t="shared" si="22"/>
        <v>18519</v>
      </c>
      <c r="H16" s="18"/>
      <c r="I16" s="18">
        <f>IFERROR(VLOOKUP(A16,'[1]Lot All by Part'!T:Y,6,0),0)</f>
        <v>8</v>
      </c>
      <c r="J16" s="18"/>
      <c r="K16" s="19">
        <f>IFERROR(VLOOKUP($A16,'[1]Donor-Served OBs'!A:N,3,0),0)</f>
        <v>26</v>
      </c>
      <c r="L16" s="19">
        <f>ROUNDUP(IF(A16=0,0,IFERROR(VLOOKUP($A16,'[1]Donor''s Assigned Kilos'!A:O,3,0),0)),0)</f>
        <v>1552</v>
      </c>
      <c r="M16" s="19">
        <f>IF(A16=0,0,IFERROR(SUMIFS([1]Population!M:M,[1]Population!J:J,'MASTER-2025'!A16),0))</f>
        <v>0</v>
      </c>
      <c r="N16" s="20">
        <f>IFERROR(VLOOKUP($A16,'[1]Donor-Served OBs'!A:N,4,0),0)</f>
        <v>40</v>
      </c>
      <c r="O16" s="20">
        <f>ROUNDUP(IF(A16=0,0,IFERROR(VLOOKUP($A16,'[1]Donor''s Assigned Kilos'!A:O,4,0),0)),0)</f>
        <v>1709</v>
      </c>
      <c r="P16" s="20">
        <f>IF(A16=0,0,IFERROR(SUMIFS([1]Population!N:N,[1]Population!J:J,'MASTER-2025'!A16),0))</f>
        <v>0</v>
      </c>
      <c r="Q16" s="18">
        <f>IFERROR(VLOOKUP($A16,'[1]Donor-Served OBs'!A:N,2,0),0)</f>
        <v>13</v>
      </c>
      <c r="R16" s="18">
        <f>ROUNDUP(ROUND(IF(A16=0,0,IFERROR(VLOOKUP($A16,'[1]Donor''s Assigned Kilos'!A:O,9,0),0)),1),0)</f>
        <v>351</v>
      </c>
      <c r="S16" s="18">
        <f>IF(A16=0,0,IFERROR(SUMIFS([1]Population!S:S,[1]Population!J:J,'MASTER-2025'!A16),0))</f>
        <v>0</v>
      </c>
      <c r="T16" s="19">
        <f>IFERROR(VLOOKUP($A16,'[1]Donor-Served OBs'!A:N,12,0),0)</f>
        <v>6</v>
      </c>
      <c r="U16" s="19">
        <f>ROUNDUP(IF(A16=0,0,IF(A16=0,0,IFERROR(VLOOKUP($A16,'[1]Donor''s Assigned Kilos'!A:O,7,0),0))),0)</f>
        <v>321</v>
      </c>
      <c r="V16" s="19">
        <f>IF(A16=0,0,IFERROR(SUMIFS([1]Population!Q:Q,[1]Population!J:J,'MASTER-2025'!A16),0))</f>
        <v>0</v>
      </c>
      <c r="W16" s="20">
        <f>IFERROR(VLOOKUP($A16,'[1]Donor-Served OBs'!A:N,10,0),0)</f>
        <v>18</v>
      </c>
      <c r="X16" s="20">
        <f>ROUNDUP(IF(A16=0,0,IFERROR(VLOOKUP($A16,'[1]Donor''s Assigned Kilos'!A:N,5,0),0)),0)</f>
        <v>920</v>
      </c>
      <c r="Y16" s="20">
        <f>IF(A16=0,0,IFERROR(SUMIFS([1]Population!O:O,[1]Population!J:J,'MASTER-2025'!A16),0))</f>
        <v>0</v>
      </c>
      <c r="Z16" s="18">
        <f>IFERROR(VLOOKUP($A16,'[1]Donor-Served OBs'!A:N,6,0),0)</f>
        <v>2</v>
      </c>
      <c r="AA16" s="18">
        <f>ROUNDUP(IF(A16=0,0,IFERROR(VLOOKUP($A16,'[1]Donor''s Assigned Kilos'!A:N,11,0),0)),0)</f>
        <v>40</v>
      </c>
      <c r="AB16" s="18">
        <f>IF(A16=0,0,IFERROR(SUMIFS([1]Population!U:U,[1]Population!J:J,'MASTER-2025'!A16),0))</f>
        <v>0</v>
      </c>
      <c r="AC16" s="19">
        <f>IFERROR(VLOOKUP($A16,'[1]Donor-Served OBs'!A:N,7,0),0)</f>
        <v>6</v>
      </c>
      <c r="AD16" s="19">
        <f>ROUNDUP(IF(A16=0,0,IFERROR(VLOOKUP($A16,'[1]Donor''s Assigned Kilos'!A:N,8,0),0)),0)</f>
        <v>595</v>
      </c>
      <c r="AE16" s="19">
        <f>IF(A16=0,0,IFERROR(SUMIFS([1]Population!R:R,[1]Population!J:J,'MASTER-2025'!A16),0))</f>
        <v>0</v>
      </c>
      <c r="AF16" s="20">
        <f>IFERROR(VLOOKUP($A16,'[1]Donor-Served OBs'!A:N,8,0),0)</f>
        <v>3</v>
      </c>
      <c r="AG16" s="20">
        <f>ROUNDUP(IF(A16=0,0,IFERROR(VLOOKUP($A16,'[1]Donor''s Assigned Kilos'!A:N,6,0),0)),0)</f>
        <v>74</v>
      </c>
      <c r="AH16" s="20">
        <f>IF(A16=0,0,IFERROR(SUMIFS([1]Population!P:P,[1]Population!J:J,'MASTER-2025'!A16),0))</f>
        <v>0</v>
      </c>
      <c r="AI16" s="18">
        <f>IFERROR(VLOOKUP($A16,'[1]Donor-Served OBs'!A:N,9,0),0)</f>
        <v>3</v>
      </c>
      <c r="AJ16" s="18">
        <f>ROUNDUP(IF(A16=0,0,IFERROR(VLOOKUP($A16,'[1]Donor''s Assigned Kilos'!A:N,12,0),0)),0)</f>
        <v>118</v>
      </c>
      <c r="AK16" s="18">
        <f>IF(A16=0,0,IFERROR(SUMIFS([1]Population!V:V,[1]Population!J:J,'MASTER-2025'!A16),0))</f>
        <v>0</v>
      </c>
      <c r="AL16" s="19">
        <f>IFERROR(VLOOKUP($A16,'[1]Donor-Served OBs'!A:N,16,0),0)</f>
        <v>0</v>
      </c>
      <c r="AM16" s="19">
        <f>ROUNDUP(IF(A16=0,0,IFERROR(VLOOKUP($A16,'[1]Donor''s Assigned Kilos'!A:O,16,0),0)),0)</f>
        <v>0</v>
      </c>
      <c r="AN16" s="19">
        <f>IF(A16=0,0,IFERROR(SUMIFS([1]Population!Z:Z,[1]Population!J:J,'MASTER-2025'!A16),0))</f>
        <v>0</v>
      </c>
      <c r="AO16" s="20">
        <f>IFERROR(VLOOKUP($A16,'[1]Donor-Served OBs'!A:N,11,0),0)</f>
        <v>2</v>
      </c>
      <c r="AP16" s="20">
        <f>ROUNDUP(IF(A16=0,0,IFERROR(VLOOKUP($A16,'[1]Donor''s Assigned Kilos'!A:N,13,0),0)),0)</f>
        <v>72</v>
      </c>
      <c r="AQ16" s="20">
        <f>IF(A16=0,0,IFERROR(SUMIFS([1]Population!W:W,[1]Population!J:J,'MASTER-2025'!A16),0))</f>
        <v>0</v>
      </c>
      <c r="AR16" s="18">
        <f>IFERROR(VLOOKUP($A16,'[1]Donor-Served OBs'!A:N,5,0),0)</f>
        <v>0</v>
      </c>
      <c r="AS16" s="18">
        <f>ROUNDUP(IF(A16=0,0,IFERROR(VLOOKUP($A16,'[1]Donor''s Assigned Kilos'!A:N,10,0),0)),0)</f>
        <v>0</v>
      </c>
      <c r="AT16" s="18">
        <f>IF(A16=0,0,IFERROR(SUMIFS([1]Population!T:T,[1]Population!J:J,'MASTER-2025'!A16),0))</f>
        <v>0</v>
      </c>
      <c r="AU16" s="19">
        <f>IFERROR(VLOOKUP($A16,'[1]Donor-Served OBs'!A:N,13,0),0)</f>
        <v>0</v>
      </c>
      <c r="AV16" s="19">
        <f>ROUNDUP(IF(A16=0,0,IFERROR(VLOOKUP($A16,'[1]Donor''s Assigned Kilos'!A:N,14,0),0)),0)</f>
        <v>0</v>
      </c>
      <c r="AW16" s="19">
        <f>IF(A16=0,0,IFERROR(SUMIFS([1]Population!X:X,[1]Population!J:J,'MASTER-2025'!A16),0))</f>
        <v>0</v>
      </c>
      <c r="AX16" s="20">
        <f>IFERROR(VLOOKUP($A16,'[1]Donor-Served OBs'!A:N,16,0),0)</f>
        <v>0</v>
      </c>
      <c r="AY16" s="20">
        <f>ROUNDUP(IF(A16=0,0,IFERROR(VLOOKUP($A16,'[1]Donor''s Assigned Kilos'!A:O,16,0),0)),0)</f>
        <v>0</v>
      </c>
      <c r="AZ16" s="20">
        <f>IF(A16=0,0,IFERROR(SUMIFS([1]Population!Y:Y,[1]Population!J:J,'MASTER-2025'!A16),0))</f>
        <v>0</v>
      </c>
      <c r="BA16" s="21">
        <f t="shared" si="15"/>
        <v>119</v>
      </c>
      <c r="BB16" s="21">
        <f t="shared" si="23"/>
        <v>5760</v>
      </c>
      <c r="BC16" s="21">
        <f>ROUND(I16+L16+O16+R16+U16,0)</f>
        <v>3941</v>
      </c>
      <c r="BD16" s="21">
        <f t="shared" si="17"/>
        <v>0</v>
      </c>
      <c r="BE16" s="22" t="e">
        <f>IF(A16=0,0,SUMIFS([1]Population!C:C,[1]Population!A:A,'MASTER-2025'!A16))</f>
        <v>#VALUE!</v>
      </c>
      <c r="BF16" s="22" t="e">
        <f>IF(A16=0,0,SUMIFS([1]Population!D:D,[1]Population!A:A,'MASTER-2025'!A16))</f>
        <v>#VALUE!</v>
      </c>
      <c r="BG16" s="22" t="e">
        <f>IF(A16=0,0,SUMIFS([1]Population!E:E,[1]Population!A:A,'MASTER-2025'!A16))</f>
        <v>#VALUE!</v>
      </c>
      <c r="BH16" s="22" t="e">
        <f>IF(A16=0,0,SUMIFS([1]Population!F:F,[1]Population!A:A,'MASTER-2025'!A16))</f>
        <v>#VALUE!</v>
      </c>
      <c r="BI16" s="22" t="e">
        <f t="shared" si="18"/>
        <v>#VALUE!</v>
      </c>
      <c r="BJ16" s="23" t="e">
        <f t="shared" si="6"/>
        <v>#VALUE!</v>
      </c>
      <c r="BK16" s="22" t="e">
        <f>IF(A16=0,0,SUMIFS([1]Population!G:G,[1]Population!A:A,'MASTER-2025'!A16))</f>
        <v>#VALUE!</v>
      </c>
      <c r="BL16" s="24" cm="1">
        <f t="array" ref="BL16:BW16">IFERROR(VLOOKUP(A16,'[1]Now-OB-kg-POB-25'!A:AQ,{3,4,5,6,7,8,9,10,11,12,13,14},0),0)</f>
        <v>110</v>
      </c>
      <c r="BM16" s="24">
        <v>102</v>
      </c>
      <c r="BN16" s="24">
        <v>119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0</v>
      </c>
      <c r="BV16" s="24">
        <v>0</v>
      </c>
      <c r="BW16" s="24">
        <v>0</v>
      </c>
      <c r="BX16" s="24">
        <f t="shared" si="7"/>
        <v>331</v>
      </c>
      <c r="BY16" s="25" cm="1">
        <f t="array" ref="BY16:CJ16">IFERROR(VLOOKUP(A16,'[1]Now-OB-kg-POB-25'!A:AQ,{17,18,19,20,21,22,23,24,25,26,27,28},0),0)</f>
        <v>8400</v>
      </c>
      <c r="BZ16" s="25">
        <v>4255</v>
      </c>
      <c r="CA16" s="25">
        <v>6400</v>
      </c>
      <c r="CB16" s="25">
        <v>0</v>
      </c>
      <c r="CC16" s="25">
        <v>0</v>
      </c>
      <c r="CD16" s="25">
        <v>0</v>
      </c>
      <c r="CE16" s="25">
        <v>0</v>
      </c>
      <c r="CF16" s="25">
        <v>0</v>
      </c>
      <c r="CG16" s="25">
        <v>0</v>
      </c>
      <c r="CH16" s="25">
        <v>0</v>
      </c>
      <c r="CI16" s="25">
        <v>0</v>
      </c>
      <c r="CJ16" s="25">
        <v>0</v>
      </c>
      <c r="CK16" s="25">
        <f t="shared" si="8"/>
        <v>19055</v>
      </c>
      <c r="CL16" s="26" cm="1">
        <f t="array" ref="CL16:CW16">IFERROR(VLOOKUP(A16,'[1]Now-OB-kg-POB-25'!A:AQ,{31,32,33,34,35,36,37,38,39,40,41,42},0),0)</f>
        <v>35737</v>
      </c>
      <c r="CM16" s="26">
        <v>30269</v>
      </c>
      <c r="CN16" s="26">
        <v>34778</v>
      </c>
      <c r="CO16" s="26">
        <v>0</v>
      </c>
      <c r="CP16" s="26">
        <v>0</v>
      </c>
      <c r="CQ16" s="26">
        <v>0</v>
      </c>
      <c r="CR16" s="26">
        <v>0</v>
      </c>
      <c r="CS16" s="26">
        <v>0</v>
      </c>
      <c r="CT16" s="26">
        <v>0</v>
      </c>
      <c r="CU16" s="26">
        <v>0</v>
      </c>
      <c r="CV16" s="26">
        <v>0</v>
      </c>
      <c r="CW16" s="26">
        <v>0</v>
      </c>
      <c r="CX16" s="26">
        <f t="shared" si="9"/>
        <v>100784</v>
      </c>
      <c r="CY16" s="14" t="str">
        <f>IF(A16=0,0,IFERROR(VLOOKUP(A16,'[1]Info Donantes'!C:F,2,0),"Sin Contacto"))</f>
        <v>Ricardo Chávez</v>
      </c>
      <c r="CZ16" s="14" t="str">
        <f>IF(A16=0,0,IFERROR(VLOOKUP(A16,'[1]Info Donantes'!C:F,3,0),"Sin Correo"))</f>
        <v>rchavez@smrey.com</v>
      </c>
      <c r="DA16" s="14" t="str">
        <f>IF(A16=0,0,IFERROR(VLOOKUP(A16,'[1]Info Donantes'!C:F,4,0),"Sin Telefono"))</f>
        <v>6868-1690</v>
      </c>
      <c r="DB16" s="14" t="s">
        <v>135</v>
      </c>
    </row>
    <row r="17" spans="1:106" x14ac:dyDescent="0.55000000000000004">
      <c r="A17" s="14" t="s">
        <v>136</v>
      </c>
      <c r="B17" s="15">
        <f>INT(IFERROR(VLOOKUP(A17,'[1]Donor Summary'!C:F,3,0),0))</f>
        <v>0</v>
      </c>
      <c r="C17" s="15">
        <f>INT(ROUND(IFERROR(VLOOKUP(A17,'[1]Donor Summary'!C:F,4,0),0),1))</f>
        <v>0</v>
      </c>
      <c r="D17" s="16">
        <f t="shared" si="19"/>
        <v>0</v>
      </c>
      <c r="E17" s="17" t="str">
        <f t="shared" si="20"/>
        <v>0.00%</v>
      </c>
      <c r="F17" s="17" t="str">
        <f t="shared" si="21"/>
        <v>0.0%</v>
      </c>
      <c r="G17" s="15">
        <f t="shared" si="22"/>
        <v>0</v>
      </c>
      <c r="H17" s="18"/>
      <c r="I17" s="18">
        <f>IFERROR(VLOOKUP(A17,'[1]Lot All by Part'!T:Y,6,0),0)</f>
        <v>0</v>
      </c>
      <c r="J17" s="18"/>
      <c r="K17" s="19">
        <f>IFERROR(VLOOKUP($A17,'[1]Donor-Served OBs'!A:N,3,0),0)</f>
        <v>0</v>
      </c>
      <c r="L17" s="19">
        <f>ROUNDUP(IF(A17=0,0,IFERROR(VLOOKUP($A17,'[1]Donor''s Assigned Kilos'!A:O,3,0),0)),0)</f>
        <v>0</v>
      </c>
      <c r="M17" s="19">
        <f>IF(A17=0,0,IFERROR(SUMIFS([1]Population!M:M,[1]Population!J:J,'MASTER-2025'!A17),0))</f>
        <v>0</v>
      </c>
      <c r="N17" s="20">
        <f>IFERROR(VLOOKUP($A17,'[1]Donor-Served OBs'!A:N,4,0),0)</f>
        <v>0</v>
      </c>
      <c r="O17" s="20">
        <f>ROUNDUP(IF(A17=0,0,IFERROR(VLOOKUP($A17,'[1]Donor''s Assigned Kilos'!A:O,4,0),0)),0)</f>
        <v>0</v>
      </c>
      <c r="P17" s="20">
        <f>IF(A17=0,0,IFERROR(SUMIFS([1]Population!N:N,[1]Population!J:J,'MASTER-2025'!A17),0))</f>
        <v>0</v>
      </c>
      <c r="Q17" s="18">
        <f>IFERROR(VLOOKUP($A17,'[1]Donor-Served OBs'!A:N,2,0),0)</f>
        <v>0</v>
      </c>
      <c r="R17" s="18">
        <f>ROUNDUP(ROUND(IF(A17=0,0,IFERROR(VLOOKUP($A17,'[1]Donor''s Assigned Kilos'!A:O,9,0),0)),1),0)</f>
        <v>0</v>
      </c>
      <c r="S17" s="18">
        <f>IF(A17=0,0,IFERROR(SUMIFS([1]Population!S:S,[1]Population!J:J,'MASTER-2025'!A17),0))</f>
        <v>0</v>
      </c>
      <c r="T17" s="19">
        <f>IFERROR(VLOOKUP($A17,'[1]Donor-Served OBs'!A:N,12,0),0)</f>
        <v>0</v>
      </c>
      <c r="U17" s="19">
        <f>ROUNDUP(IF(A17=0,0,IF(A17=0,0,IFERROR(VLOOKUP($A17,'[1]Donor''s Assigned Kilos'!A:O,7,0),0))),0)</f>
        <v>0</v>
      </c>
      <c r="V17" s="19">
        <f>IF(A17=0,0,IFERROR(SUMIFS([1]Population!Q:Q,[1]Population!J:J,'MASTER-2025'!A17),0))</f>
        <v>0</v>
      </c>
      <c r="W17" s="20">
        <f>IFERROR(VLOOKUP($A17,'[1]Donor-Served OBs'!A:N,10,0),0)</f>
        <v>0</v>
      </c>
      <c r="X17" s="20">
        <f>ROUNDUP(IF(A17=0,0,IFERROR(VLOOKUP($A17,'[1]Donor''s Assigned Kilos'!A:N,5,0),0)),0)</f>
        <v>0</v>
      </c>
      <c r="Y17" s="20">
        <f>IF(A17=0,0,IFERROR(SUMIFS([1]Population!O:O,[1]Population!J:J,'MASTER-2025'!A17),0))</f>
        <v>0</v>
      </c>
      <c r="Z17" s="18">
        <f>IFERROR(VLOOKUP($A17,'[1]Donor-Served OBs'!A:N,6,0),0)</f>
        <v>0</v>
      </c>
      <c r="AA17" s="18">
        <f>ROUNDUP(IF(A17=0,0,IFERROR(VLOOKUP($A17,'[1]Donor''s Assigned Kilos'!A:N,11,0),0)),0)</f>
        <v>0</v>
      </c>
      <c r="AB17" s="18">
        <f>IF(A17=0,0,IFERROR(SUMIFS([1]Population!U:U,[1]Population!J:J,'MASTER-2025'!A17),0))</f>
        <v>0</v>
      </c>
      <c r="AC17" s="19">
        <f>IFERROR(VLOOKUP($A17,'[1]Donor-Served OBs'!A:N,7,0),0)</f>
        <v>0</v>
      </c>
      <c r="AD17" s="19">
        <f>ROUNDUP(IF(A17=0,0,IFERROR(VLOOKUP($A17,'[1]Donor''s Assigned Kilos'!A:N,8,0),0)),0)</f>
        <v>0</v>
      </c>
      <c r="AE17" s="19">
        <f>IF(A17=0,0,IFERROR(SUMIFS([1]Population!R:R,[1]Population!J:J,'MASTER-2025'!A17),0))</f>
        <v>0</v>
      </c>
      <c r="AF17" s="20">
        <f>IFERROR(VLOOKUP($A17,'[1]Donor-Served OBs'!A:N,8,0),0)</f>
        <v>0</v>
      </c>
      <c r="AG17" s="20">
        <f>ROUNDUP(IF(A17=0,0,IFERROR(VLOOKUP($A17,'[1]Donor''s Assigned Kilos'!A:N,6,0),0)),0)</f>
        <v>0</v>
      </c>
      <c r="AH17" s="20">
        <f>IF(A17=0,0,IFERROR(SUMIFS([1]Population!P:P,[1]Population!J:J,'MASTER-2025'!A17),0))</f>
        <v>0</v>
      </c>
      <c r="AI17" s="18">
        <f>IFERROR(VLOOKUP($A17,'[1]Donor-Served OBs'!A:N,9,0),0)</f>
        <v>0</v>
      </c>
      <c r="AJ17" s="18">
        <f>ROUNDUP(IF(A17=0,0,IFERROR(VLOOKUP($A17,'[1]Donor''s Assigned Kilos'!A:N,12,0),0)),0)</f>
        <v>0</v>
      </c>
      <c r="AK17" s="18">
        <f>IF(A17=0,0,IFERROR(SUMIFS([1]Population!V:V,[1]Population!J:J,'MASTER-2025'!A17),0))</f>
        <v>0</v>
      </c>
      <c r="AL17" s="19">
        <f>IFERROR(VLOOKUP($A17,'[1]Donor-Served OBs'!A:N,16,0),0)</f>
        <v>0</v>
      </c>
      <c r="AM17" s="19">
        <f>ROUNDUP(IF(A17=0,0,IFERROR(VLOOKUP($A17,'[1]Donor''s Assigned Kilos'!A:O,16,0),0)),0)</f>
        <v>0</v>
      </c>
      <c r="AN17" s="19">
        <f>IF(A17=0,0,IFERROR(SUMIFS([1]Population!Z:Z,[1]Population!J:J,'MASTER-2025'!A17),0))</f>
        <v>0</v>
      </c>
      <c r="AO17" s="20">
        <f>IFERROR(VLOOKUP($A17,'[1]Donor-Served OBs'!A:N,11,0),0)</f>
        <v>0</v>
      </c>
      <c r="AP17" s="20">
        <f>ROUNDUP(IF(A17=0,0,IFERROR(VLOOKUP($A17,'[1]Donor''s Assigned Kilos'!A:N,13,0),0)),0)</f>
        <v>0</v>
      </c>
      <c r="AQ17" s="20">
        <f>IF(A17=0,0,IFERROR(SUMIFS([1]Population!W:W,[1]Population!J:J,'MASTER-2025'!A17),0))</f>
        <v>0</v>
      </c>
      <c r="AR17" s="18">
        <f>IFERROR(VLOOKUP($A17,'[1]Donor-Served OBs'!A:N,5,0),0)</f>
        <v>0</v>
      </c>
      <c r="AS17" s="18">
        <f>ROUNDUP(IF(A17=0,0,IFERROR(VLOOKUP($A17,'[1]Donor''s Assigned Kilos'!A:N,10,0),0)),0)</f>
        <v>0</v>
      </c>
      <c r="AT17" s="18">
        <f>IF(A17=0,0,IFERROR(SUMIFS([1]Population!T:T,[1]Population!J:J,'MASTER-2025'!A17),0))</f>
        <v>0</v>
      </c>
      <c r="AU17" s="19">
        <f>IFERROR(VLOOKUP($A17,'[1]Donor-Served OBs'!A:N,13,0),0)</f>
        <v>0</v>
      </c>
      <c r="AV17" s="19">
        <f>ROUNDUP(IF(A17=0,0,IFERROR(VLOOKUP($A17,'[1]Donor''s Assigned Kilos'!A:N,14,0),0)),0)</f>
        <v>0</v>
      </c>
      <c r="AW17" s="19">
        <f>IF(A17=0,0,IFERROR(SUMIFS([1]Population!X:X,[1]Population!J:J,'MASTER-2025'!A17),0))</f>
        <v>0</v>
      </c>
      <c r="AX17" s="20">
        <f>IFERROR(VLOOKUP($A17,'[1]Donor-Served OBs'!A:N,16,0),0)</f>
        <v>0</v>
      </c>
      <c r="AY17" s="20">
        <f>ROUNDUP(IF(A17=0,0,IFERROR(VLOOKUP($A17,'[1]Donor''s Assigned Kilos'!A:O,16,0),0)),0)</f>
        <v>0</v>
      </c>
      <c r="AZ17" s="20">
        <f>IF(A17=0,0,IFERROR(SUMIFS([1]Population!Y:Y,[1]Population!J:J,'MASTER-2025'!A17),0))</f>
        <v>0</v>
      </c>
      <c r="BA17" s="21">
        <f t="shared" si="15"/>
        <v>0</v>
      </c>
      <c r="BB17" s="21">
        <f t="shared" si="23"/>
        <v>0</v>
      </c>
      <c r="BC17" s="21">
        <f t="shared" ref="BC17:BC80" si="24">ROUND(I17+L17+O17+R17+U17,0)</f>
        <v>0</v>
      </c>
      <c r="BD17" s="21">
        <f t="shared" si="17"/>
        <v>0</v>
      </c>
      <c r="BE17" s="22" t="e">
        <f>IF(A17=0,0,SUMIFS([1]Population!C:C,[1]Population!A:A,'MASTER-2025'!A17))</f>
        <v>#VALUE!</v>
      </c>
      <c r="BF17" s="22" t="e">
        <f>IF(A17=0,0,SUMIFS([1]Population!D:D,[1]Population!A:A,'MASTER-2025'!A17))</f>
        <v>#VALUE!</v>
      </c>
      <c r="BG17" s="22" t="e">
        <f>IF(A17=0,0,SUMIFS([1]Population!E:E,[1]Population!A:A,'MASTER-2025'!A17))</f>
        <v>#VALUE!</v>
      </c>
      <c r="BH17" s="22" t="e">
        <f>IF(A17=0,0,SUMIFS([1]Population!F:F,[1]Population!A:A,'MASTER-2025'!A17))</f>
        <v>#VALUE!</v>
      </c>
      <c r="BI17" s="22" t="e">
        <f t="shared" si="18"/>
        <v>#VALUE!</v>
      </c>
      <c r="BJ17" s="23" t="e">
        <f t="shared" si="6"/>
        <v>#VALUE!</v>
      </c>
      <c r="BK17" s="22" t="e">
        <f>IF(A17=0,0,SUMIFS([1]Population!G:G,[1]Population!A:A,'MASTER-2025'!A17))</f>
        <v>#VALUE!</v>
      </c>
      <c r="BL17" s="24" cm="1">
        <f t="array" ref="BL17:BW17">IFERROR(VLOOKUP(A17,'[1]Now-OB-kg-POB-25'!A:AQ,{3,4,5,6,7,8,9,10,11,12,13,14},0),0)</f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BX17" s="24">
        <f t="shared" si="7"/>
        <v>0</v>
      </c>
      <c r="BY17" s="25" cm="1">
        <f t="array" ref="BY17:CJ17">IFERROR(VLOOKUP(A17,'[1]Now-OB-kg-POB-25'!A:AQ,{17,18,19,20,21,22,23,24,25,26,27,28},0),0)</f>
        <v>0</v>
      </c>
      <c r="BZ17" s="25">
        <v>0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f t="shared" si="8"/>
        <v>0</v>
      </c>
      <c r="CL17" s="26" cm="1">
        <f t="array" ref="CL17:CW17">IFERROR(VLOOKUP(A17,'[1]Now-OB-kg-POB-25'!A:AQ,{31,32,33,34,35,36,37,38,39,40,41,42},0),0)</f>
        <v>0</v>
      </c>
      <c r="CM17" s="26">
        <v>0</v>
      </c>
      <c r="CN17" s="26">
        <v>0</v>
      </c>
      <c r="CO17" s="26">
        <v>0</v>
      </c>
      <c r="CP17" s="26">
        <v>0</v>
      </c>
      <c r="CQ17" s="26">
        <v>0</v>
      </c>
      <c r="CR17" s="26">
        <v>0</v>
      </c>
      <c r="CS17" s="26">
        <v>0</v>
      </c>
      <c r="CT17" s="26">
        <v>0</v>
      </c>
      <c r="CU17" s="26">
        <v>0</v>
      </c>
      <c r="CV17" s="26">
        <v>0</v>
      </c>
      <c r="CW17" s="26">
        <v>0</v>
      </c>
      <c r="CX17" s="26">
        <f t="shared" si="9"/>
        <v>0</v>
      </c>
      <c r="CY17" s="14" t="str">
        <f>IF(A17=0,0,IFERROR(VLOOKUP(A17,'[1]Info Donantes'!C:F,2,0),"Sin Contacto"))</f>
        <v>Milagros Rodriguez</v>
      </c>
      <c r="CZ17" s="14" t="str">
        <f>IF(A17=0,0,IFERROR(VLOOKUP(A17,'[1]Info Donantes'!C:F,3,0),"Sin Correo"))</f>
        <v>mrodriguez@htzanetatos.com</v>
      </c>
      <c r="DA17" s="14" t="str">
        <f>IF(A17=0,0,IFERROR(VLOOKUP(A17,'[1]Info Donantes'!C:F,4,0),"Sin Telefono"))</f>
        <v>305-8231</v>
      </c>
      <c r="DB17" s="14" t="s">
        <v>137</v>
      </c>
    </row>
    <row r="18" spans="1:106" x14ac:dyDescent="0.55000000000000004">
      <c r="A18" s="14" t="s">
        <v>138</v>
      </c>
      <c r="B18" s="15">
        <f>INT(IFERROR(VLOOKUP(A18,'[1]Donor Summary'!C:F,3,0),0))</f>
        <v>1419</v>
      </c>
      <c r="C18" s="15">
        <f>INT(ROUND(IFERROR(VLOOKUP(A18,'[1]Donor Summary'!C:F,4,0),0),1))</f>
        <v>13264</v>
      </c>
      <c r="D18" s="16">
        <f t="shared" si="19"/>
        <v>11845</v>
      </c>
      <c r="E18" s="17" t="str">
        <f t="shared" si="20"/>
        <v>89.30%</v>
      </c>
      <c r="F18" s="17" t="str">
        <f t="shared" si="21"/>
        <v>10.7%</v>
      </c>
      <c r="G18" s="15">
        <f t="shared" si="22"/>
        <v>35535</v>
      </c>
      <c r="H18" s="18"/>
      <c r="I18" s="18">
        <f>IFERROR(VLOOKUP(A18,'[1]Lot All by Part'!T:Y,6,0),0)</f>
        <v>0</v>
      </c>
      <c r="J18" s="18"/>
      <c r="K18" s="19">
        <f>IFERROR(VLOOKUP($A18,'[1]Donor-Served OBs'!A:N,3,0),0)</f>
        <v>13</v>
      </c>
      <c r="L18" s="19">
        <f>ROUNDUP(IF(A18=0,0,IFERROR(VLOOKUP($A18,'[1]Donor''s Assigned Kilos'!A:O,3,0),0)),0)</f>
        <v>3341</v>
      </c>
      <c r="M18" s="19">
        <f>IF(A18=0,0,IFERROR(SUMIFS([1]Population!M:M,[1]Population!J:J,'MASTER-2025'!A18),0))</f>
        <v>0</v>
      </c>
      <c r="N18" s="20">
        <f>IFERROR(VLOOKUP($A18,'[1]Donor-Served OBs'!A:N,4,0),0)</f>
        <v>25</v>
      </c>
      <c r="O18" s="20">
        <f>ROUNDUP(IF(A18=0,0,IFERROR(VLOOKUP($A18,'[1]Donor''s Assigned Kilos'!A:O,4,0),0)),0)</f>
        <v>4440</v>
      </c>
      <c r="P18" s="20">
        <f>IF(A18=0,0,IFERROR(SUMIFS([1]Population!N:N,[1]Population!J:J,'MASTER-2025'!A18),0))</f>
        <v>0</v>
      </c>
      <c r="Q18" s="18">
        <f>IFERROR(VLOOKUP($A18,'[1]Donor-Served OBs'!A:N,2,0),0)</f>
        <v>2</v>
      </c>
      <c r="R18" s="18">
        <f>ROUNDUP(ROUND(IF(A18=0,0,IFERROR(VLOOKUP($A18,'[1]Donor''s Assigned Kilos'!A:O,9,0),0)),1),0)</f>
        <v>350</v>
      </c>
      <c r="S18" s="18">
        <f>IF(A18=0,0,IFERROR(SUMIFS([1]Population!S:S,[1]Population!J:J,'MASTER-2025'!A18),0))</f>
        <v>0</v>
      </c>
      <c r="T18" s="19">
        <f>IFERROR(VLOOKUP($A18,'[1]Donor-Served OBs'!A:N,12,0),0)</f>
        <v>1</v>
      </c>
      <c r="U18" s="19">
        <f>ROUNDUP(IF(A18=0,0,IF(A18=0,0,IFERROR(VLOOKUP($A18,'[1]Donor''s Assigned Kilos'!A:O,7,0),0))),0)</f>
        <v>150</v>
      </c>
      <c r="V18" s="19">
        <f>IF(A18=0,0,IFERROR(SUMIFS([1]Population!Q:Q,[1]Population!J:J,'MASTER-2025'!A18),0))</f>
        <v>0</v>
      </c>
      <c r="W18" s="20">
        <f>IFERROR(VLOOKUP($A18,'[1]Donor-Served OBs'!A:N,10,0),0)</f>
        <v>11</v>
      </c>
      <c r="X18" s="20">
        <f>ROUNDUP(IF(A18=0,0,IFERROR(VLOOKUP($A18,'[1]Donor''s Assigned Kilos'!A:N,5,0),0)),0)</f>
        <v>1290</v>
      </c>
      <c r="Y18" s="20">
        <f>IF(A18=0,0,IFERROR(SUMIFS([1]Population!O:O,[1]Population!J:J,'MASTER-2025'!A18),0))</f>
        <v>0</v>
      </c>
      <c r="Z18" s="18">
        <f>IFERROR(VLOOKUP($A18,'[1]Donor-Served OBs'!A:N,6,0),0)</f>
        <v>1</v>
      </c>
      <c r="AA18" s="18">
        <f>ROUNDUP(IF(A18=0,0,IFERROR(VLOOKUP($A18,'[1]Donor''s Assigned Kilos'!A:N,11,0),0)),0)</f>
        <v>20</v>
      </c>
      <c r="AB18" s="18">
        <f>IF(A18=0,0,IFERROR(SUMIFS([1]Population!U:U,[1]Population!J:J,'MASTER-2025'!A18),0))</f>
        <v>0</v>
      </c>
      <c r="AC18" s="19">
        <f>IFERROR(VLOOKUP($A18,'[1]Donor-Served OBs'!A:N,7,0),0)</f>
        <v>2</v>
      </c>
      <c r="AD18" s="19">
        <f>ROUNDUP(IF(A18=0,0,IFERROR(VLOOKUP($A18,'[1]Donor''s Assigned Kilos'!A:N,8,0),0)),0)</f>
        <v>800</v>
      </c>
      <c r="AE18" s="19">
        <f>IF(A18=0,0,IFERROR(SUMIFS([1]Population!R:R,[1]Population!J:J,'MASTER-2025'!A18),0))</f>
        <v>0</v>
      </c>
      <c r="AF18" s="20">
        <f>IFERROR(VLOOKUP($A18,'[1]Donor-Served OBs'!A:N,8,0),0)</f>
        <v>1</v>
      </c>
      <c r="AG18" s="20">
        <f>ROUNDUP(IF(A18=0,0,IFERROR(VLOOKUP($A18,'[1]Donor''s Assigned Kilos'!A:N,6,0),0)),0)</f>
        <v>20</v>
      </c>
      <c r="AH18" s="20">
        <f>IF(A18=0,0,IFERROR(SUMIFS([1]Population!P:P,[1]Population!J:J,'MASTER-2025'!A18),0))</f>
        <v>0</v>
      </c>
      <c r="AI18" s="18">
        <f>IFERROR(VLOOKUP($A18,'[1]Donor-Served OBs'!A:N,9,0),0)</f>
        <v>0</v>
      </c>
      <c r="AJ18" s="18">
        <f>ROUNDUP(IF(A18=0,0,IFERROR(VLOOKUP($A18,'[1]Donor''s Assigned Kilos'!A:N,12,0),0)),0)</f>
        <v>0</v>
      </c>
      <c r="AK18" s="18">
        <f>IF(A18=0,0,IFERROR(SUMIFS([1]Population!V:V,[1]Population!J:J,'MASTER-2025'!A18),0))</f>
        <v>0</v>
      </c>
      <c r="AL18" s="19">
        <f>IFERROR(VLOOKUP($A18,'[1]Donor-Served OBs'!A:N,16,0),0)</f>
        <v>0</v>
      </c>
      <c r="AM18" s="19">
        <f>ROUNDUP(IF(A18=0,0,IFERROR(VLOOKUP($A18,'[1]Donor''s Assigned Kilos'!A:O,16,0),0)),0)</f>
        <v>0</v>
      </c>
      <c r="AN18" s="19">
        <f>IF(A18=0,0,IFERROR(SUMIFS([1]Population!Z:Z,[1]Population!J:J,'MASTER-2025'!A18),0))</f>
        <v>0</v>
      </c>
      <c r="AO18" s="20">
        <f>IFERROR(VLOOKUP($A18,'[1]Donor-Served OBs'!A:N,11,0),0)</f>
        <v>0</v>
      </c>
      <c r="AP18" s="20">
        <f>ROUNDUP(IF(A18=0,0,IFERROR(VLOOKUP($A18,'[1]Donor''s Assigned Kilos'!A:N,13,0),0)),0)</f>
        <v>0</v>
      </c>
      <c r="AQ18" s="20">
        <f>IF(A18=0,0,IFERROR(SUMIFS([1]Population!W:W,[1]Population!J:J,'MASTER-2025'!A18),0))</f>
        <v>0</v>
      </c>
      <c r="AR18" s="18">
        <f>IFERROR(VLOOKUP($A18,'[1]Donor-Served OBs'!A:N,5,0),0)</f>
        <v>2</v>
      </c>
      <c r="AS18" s="18">
        <f>ROUNDUP(IF(A18=0,0,IFERROR(VLOOKUP($A18,'[1]Donor''s Assigned Kilos'!A:N,10,0),0)),0)</f>
        <v>70</v>
      </c>
      <c r="AT18" s="18">
        <f>IF(A18=0,0,IFERROR(SUMIFS([1]Population!T:T,[1]Population!J:J,'MASTER-2025'!A18),0))</f>
        <v>0</v>
      </c>
      <c r="AU18" s="19">
        <f>IFERROR(VLOOKUP($A18,'[1]Donor-Served OBs'!A:N,13,0),0)</f>
        <v>0</v>
      </c>
      <c r="AV18" s="19">
        <f>ROUNDUP(IF(A18=0,0,IFERROR(VLOOKUP($A18,'[1]Donor''s Assigned Kilos'!A:N,14,0),0)),0)</f>
        <v>0</v>
      </c>
      <c r="AW18" s="19">
        <f>IF(A18=0,0,IFERROR(SUMIFS([1]Population!X:X,[1]Population!J:J,'MASTER-2025'!A18),0))</f>
        <v>0</v>
      </c>
      <c r="AX18" s="20">
        <f>IFERROR(VLOOKUP($A18,'[1]Donor-Served OBs'!A:N,16,0),0)</f>
        <v>0</v>
      </c>
      <c r="AY18" s="20">
        <f>ROUNDUP(IF(A18=0,0,IFERROR(VLOOKUP($A18,'[1]Donor''s Assigned Kilos'!A:O,16,0),0)),0)</f>
        <v>0</v>
      </c>
      <c r="AZ18" s="20">
        <f>IF(A18=0,0,IFERROR(SUMIFS([1]Population!Y:Y,[1]Population!J:J,'MASTER-2025'!A18),0))</f>
        <v>0</v>
      </c>
      <c r="BA18" s="21">
        <f t="shared" si="15"/>
        <v>58</v>
      </c>
      <c r="BB18" s="21">
        <f t="shared" si="23"/>
        <v>10481</v>
      </c>
      <c r="BC18" s="21">
        <f t="shared" si="24"/>
        <v>8281</v>
      </c>
      <c r="BD18" s="21">
        <f t="shared" si="17"/>
        <v>0</v>
      </c>
      <c r="BE18" s="22" t="e">
        <f>IF(A18=0,0,SUMIFS([1]Population!C:C,[1]Population!A:A,'MASTER-2025'!A18))</f>
        <v>#VALUE!</v>
      </c>
      <c r="BF18" s="22" t="e">
        <f>IF(A18=0,0,SUMIFS([1]Population!D:D,[1]Population!A:A,'MASTER-2025'!A18))</f>
        <v>#VALUE!</v>
      </c>
      <c r="BG18" s="22" t="e">
        <f>IF(A18=0,0,SUMIFS([1]Population!E:E,[1]Population!A:A,'MASTER-2025'!A18))</f>
        <v>#VALUE!</v>
      </c>
      <c r="BH18" s="22" t="e">
        <f>IF(A18=0,0,SUMIFS([1]Population!F:F,[1]Population!A:A,'MASTER-2025'!A18))</f>
        <v>#VALUE!</v>
      </c>
      <c r="BI18" s="22" t="e">
        <f t="shared" si="18"/>
        <v>#VALUE!</v>
      </c>
      <c r="BJ18" s="23" t="e">
        <f t="shared" si="6"/>
        <v>#VALUE!</v>
      </c>
      <c r="BK18" s="22" t="e">
        <f>IF(A18=0,0,SUMIFS([1]Population!G:G,[1]Population!A:A,'MASTER-2025'!A18))</f>
        <v>#VALUE!</v>
      </c>
      <c r="BL18" s="24" cm="1">
        <f t="array" ref="BL18:BW18">IFERROR(VLOOKUP(A18,'[1]Now-OB-kg-POB-25'!A:AQ,{3,4,5,6,7,8,9,10,11,12,13,14},0),0)</f>
        <v>57</v>
      </c>
      <c r="BM18" s="24">
        <v>63</v>
      </c>
      <c r="BN18" s="24">
        <v>58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BX18" s="24">
        <f t="shared" si="7"/>
        <v>178</v>
      </c>
      <c r="BY18" s="25" cm="1">
        <f t="array" ref="BY18:CJ18">IFERROR(VLOOKUP(A18,'[1]Now-OB-kg-POB-25'!A:AQ,{17,18,19,20,21,22,23,24,25,26,27,28},0),0)</f>
        <v>6710</v>
      </c>
      <c r="BZ18" s="25">
        <v>7498</v>
      </c>
      <c r="CA18" s="25">
        <v>13264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f t="shared" si="8"/>
        <v>27472</v>
      </c>
      <c r="CL18" s="26" cm="1">
        <f t="array" ref="CL18:CW18">IFERROR(VLOOKUP(A18,'[1]Now-OB-kg-POB-25'!A:AQ,{31,32,33,34,35,36,37,38,39,40,41,42},0),0)</f>
        <v>18178</v>
      </c>
      <c r="CM18" s="26">
        <v>23417</v>
      </c>
      <c r="CN18" s="26">
        <v>14825</v>
      </c>
      <c r="CO18" s="26">
        <v>0</v>
      </c>
      <c r="CP18" s="26">
        <v>0</v>
      </c>
      <c r="CQ18" s="26">
        <v>0</v>
      </c>
      <c r="CR18" s="26">
        <v>0</v>
      </c>
      <c r="CS18" s="26">
        <v>0</v>
      </c>
      <c r="CT18" s="26">
        <v>0</v>
      </c>
      <c r="CU18" s="26">
        <v>0</v>
      </c>
      <c r="CV18" s="26">
        <v>0</v>
      </c>
      <c r="CW18" s="26">
        <v>0</v>
      </c>
      <c r="CX18" s="26">
        <f t="shared" si="9"/>
        <v>56420</v>
      </c>
      <c r="CY18" s="14">
        <f>IF(A18=0,0,IFERROR(VLOOKUP(A18,'[1]Info Donantes'!C:F,2,0),"Sin Contacto"))</f>
        <v>0</v>
      </c>
      <c r="CZ18" s="14">
        <f>IF(A18=0,0,IFERROR(VLOOKUP(A18,'[1]Info Donantes'!C:F,3,0),"Sin Correo"))</f>
        <v>0</v>
      </c>
      <c r="DA18" s="14" t="str">
        <f>IF(A18=0,0,IFERROR(VLOOKUP(A18,'[1]Info Donantes'!C:F,4,0),"Sin Telefono"))</f>
        <v>524 1939</v>
      </c>
      <c r="DB18" s="14" t="s">
        <v>139</v>
      </c>
    </row>
    <row r="19" spans="1:106" x14ac:dyDescent="0.55000000000000004">
      <c r="A19" s="14" t="s">
        <v>140</v>
      </c>
      <c r="B19" s="15">
        <f>INT(IFERROR(VLOOKUP(A19,'[1]Donor Summary'!C:F,3,0),0))</f>
        <v>0</v>
      </c>
      <c r="C19" s="15">
        <f>INT(ROUND(IFERROR(VLOOKUP(A19,'[1]Donor Summary'!C:F,4,0),0),1))</f>
        <v>195</v>
      </c>
      <c r="D19" s="16">
        <f t="shared" si="19"/>
        <v>195</v>
      </c>
      <c r="E19" s="17" t="str">
        <f t="shared" si="20"/>
        <v>100.00%</v>
      </c>
      <c r="F19" s="17" t="str">
        <f t="shared" si="21"/>
        <v>0.0%</v>
      </c>
      <c r="G19" s="15">
        <f t="shared" si="22"/>
        <v>585</v>
      </c>
      <c r="H19" s="18"/>
      <c r="I19" s="18">
        <f>IFERROR(VLOOKUP(A19,'[1]Lot All by Part'!T:Y,6,0),0)</f>
        <v>0</v>
      </c>
      <c r="J19" s="18"/>
      <c r="K19" s="19">
        <f>IFERROR(VLOOKUP($A19,'[1]Donor-Served OBs'!A:N,3,0),0)</f>
        <v>6</v>
      </c>
      <c r="L19" s="19">
        <f>ROUNDUP(IF(A19=0,0,IFERROR(VLOOKUP($A19,'[1]Donor''s Assigned Kilos'!A:O,3,0),0)),0)</f>
        <v>43</v>
      </c>
      <c r="M19" s="19">
        <f>IF(A19=0,0,IFERROR(SUMIFS([1]Population!M:M,[1]Population!J:J,'MASTER-2025'!A19),0))</f>
        <v>0</v>
      </c>
      <c r="N19" s="20">
        <f>IFERROR(VLOOKUP($A19,'[1]Donor-Served OBs'!A:N,4,0),0)</f>
        <v>14</v>
      </c>
      <c r="O19" s="20">
        <f>ROUNDUP(IF(A19=0,0,IFERROR(VLOOKUP($A19,'[1]Donor''s Assigned Kilos'!A:O,4,0),0)),0)</f>
        <v>126</v>
      </c>
      <c r="P19" s="20">
        <f>IF(A19=0,0,IFERROR(SUMIFS([1]Population!N:N,[1]Population!J:J,'MASTER-2025'!A19),0))</f>
        <v>0</v>
      </c>
      <c r="Q19" s="18">
        <f>IFERROR(VLOOKUP($A19,'[1]Donor-Served OBs'!A:N,2,0),0)</f>
        <v>3</v>
      </c>
      <c r="R19" s="18">
        <f>ROUNDUP(ROUND(IF(A19=0,0,IFERROR(VLOOKUP($A19,'[1]Donor''s Assigned Kilos'!A:O,9,0),0)),1),0)</f>
        <v>16</v>
      </c>
      <c r="S19" s="18">
        <f>IF(A19=0,0,IFERROR(SUMIFS([1]Population!S:S,[1]Population!J:J,'MASTER-2025'!A19),0))</f>
        <v>0</v>
      </c>
      <c r="T19" s="19">
        <f>IFERROR(VLOOKUP($A19,'[1]Donor-Served OBs'!A:N,12,0),0)</f>
        <v>3</v>
      </c>
      <c r="U19" s="19">
        <f>ROUNDUP(IF(A19=0,0,IF(A19=0,0,IFERROR(VLOOKUP($A19,'[1]Donor''s Assigned Kilos'!A:O,7,0),0))),0)</f>
        <v>8</v>
      </c>
      <c r="V19" s="19">
        <f>IF(A19=0,0,IFERROR(SUMIFS([1]Population!Q:Q,[1]Population!J:J,'MASTER-2025'!A19),0))</f>
        <v>0</v>
      </c>
      <c r="W19" s="20">
        <f>IFERROR(VLOOKUP($A19,'[1]Donor-Served OBs'!A:N,10,0),0)</f>
        <v>4</v>
      </c>
      <c r="X19" s="20">
        <f>ROUNDUP(IF(A19=0,0,IFERROR(VLOOKUP($A19,'[1]Donor''s Assigned Kilos'!A:N,5,0),0)),0)</f>
        <v>22</v>
      </c>
      <c r="Y19" s="20">
        <f>IF(A19=0,0,IFERROR(SUMIFS([1]Population!O:O,[1]Population!J:J,'MASTER-2025'!A19),0))</f>
        <v>0</v>
      </c>
      <c r="Z19" s="18">
        <f>IFERROR(VLOOKUP($A19,'[1]Donor-Served OBs'!A:N,6,0),0)</f>
        <v>0</v>
      </c>
      <c r="AA19" s="18">
        <f>ROUNDUP(IF(A19=0,0,IFERROR(VLOOKUP($A19,'[1]Donor''s Assigned Kilos'!A:N,11,0),0)),0)</f>
        <v>0</v>
      </c>
      <c r="AB19" s="18">
        <f>IF(A19=0,0,IFERROR(SUMIFS([1]Population!U:U,[1]Population!J:J,'MASTER-2025'!A19),0))</f>
        <v>0</v>
      </c>
      <c r="AC19" s="19">
        <f>IFERROR(VLOOKUP($A19,'[1]Donor-Served OBs'!A:N,7,0),0)</f>
        <v>2</v>
      </c>
      <c r="AD19" s="19">
        <f>ROUNDUP(IF(A19=0,0,IFERROR(VLOOKUP($A19,'[1]Donor''s Assigned Kilos'!A:N,8,0),0)),0)</f>
        <v>42</v>
      </c>
      <c r="AE19" s="19">
        <f>IF(A19=0,0,IFERROR(SUMIFS([1]Population!R:R,[1]Population!J:J,'MASTER-2025'!A19),0))</f>
        <v>0</v>
      </c>
      <c r="AF19" s="20">
        <f>IFERROR(VLOOKUP($A19,'[1]Donor-Served OBs'!A:N,8,0),0)</f>
        <v>0</v>
      </c>
      <c r="AG19" s="20">
        <f>ROUNDUP(IF(A19=0,0,IFERROR(VLOOKUP($A19,'[1]Donor''s Assigned Kilos'!A:N,6,0),0)),0)</f>
        <v>0</v>
      </c>
      <c r="AH19" s="20">
        <f>IF(A19=0,0,IFERROR(SUMIFS([1]Population!P:P,[1]Population!J:J,'MASTER-2025'!A19),0))</f>
        <v>0</v>
      </c>
      <c r="AI19" s="18">
        <f>IFERROR(VLOOKUP($A19,'[1]Donor-Served OBs'!A:N,9,0),0)</f>
        <v>0</v>
      </c>
      <c r="AJ19" s="18">
        <f>ROUNDUP(IF(A19=0,0,IFERROR(VLOOKUP($A19,'[1]Donor''s Assigned Kilos'!A:N,12,0),0)),0)</f>
        <v>0</v>
      </c>
      <c r="AK19" s="18">
        <f>IF(A19=0,0,IFERROR(SUMIFS([1]Population!V:V,[1]Population!J:J,'MASTER-2025'!A19),0))</f>
        <v>0</v>
      </c>
      <c r="AL19" s="19">
        <f>IFERROR(VLOOKUP($A19,'[1]Donor-Served OBs'!A:N,16,0),0)</f>
        <v>0</v>
      </c>
      <c r="AM19" s="19">
        <f>ROUNDUP(IF(A19=0,0,IFERROR(VLOOKUP($A19,'[1]Donor''s Assigned Kilos'!A:O,16,0),0)),0)</f>
        <v>0</v>
      </c>
      <c r="AN19" s="19">
        <f>IF(A19=0,0,IFERROR(SUMIFS([1]Population!Z:Z,[1]Population!J:J,'MASTER-2025'!A19),0))</f>
        <v>0</v>
      </c>
      <c r="AO19" s="20">
        <f>IFERROR(VLOOKUP($A19,'[1]Donor-Served OBs'!A:N,11,0),0)</f>
        <v>0</v>
      </c>
      <c r="AP19" s="20">
        <f>ROUNDUP(IF(A19=0,0,IFERROR(VLOOKUP($A19,'[1]Donor''s Assigned Kilos'!A:N,13,0),0)),0)</f>
        <v>0</v>
      </c>
      <c r="AQ19" s="20">
        <f>IF(A19=0,0,IFERROR(SUMIFS([1]Population!W:W,[1]Population!J:J,'MASTER-2025'!A19),0))</f>
        <v>0</v>
      </c>
      <c r="AR19" s="18">
        <f>IFERROR(VLOOKUP($A19,'[1]Donor-Served OBs'!A:N,5,0),0)</f>
        <v>0</v>
      </c>
      <c r="AS19" s="18">
        <f>ROUNDUP(IF(A19=0,0,IFERROR(VLOOKUP($A19,'[1]Donor''s Assigned Kilos'!A:N,10,0),0)),0)</f>
        <v>0</v>
      </c>
      <c r="AT19" s="18">
        <f>IF(A19=0,0,IFERROR(SUMIFS([1]Population!T:T,[1]Population!J:J,'MASTER-2025'!A19),0))</f>
        <v>0</v>
      </c>
      <c r="AU19" s="19">
        <f>IFERROR(VLOOKUP($A19,'[1]Donor-Served OBs'!A:N,13,0),0)</f>
        <v>0</v>
      </c>
      <c r="AV19" s="19">
        <f>ROUNDUP(IF(A19=0,0,IFERROR(VLOOKUP($A19,'[1]Donor''s Assigned Kilos'!A:N,14,0),0)),0)</f>
        <v>0</v>
      </c>
      <c r="AW19" s="19">
        <f>IF(A19=0,0,IFERROR(SUMIFS([1]Population!X:X,[1]Population!J:J,'MASTER-2025'!A19),0))</f>
        <v>0</v>
      </c>
      <c r="AX19" s="20">
        <f>IFERROR(VLOOKUP($A19,'[1]Donor-Served OBs'!A:N,16,0),0)</f>
        <v>0</v>
      </c>
      <c r="AY19" s="20">
        <f>ROUNDUP(IF(A19=0,0,IFERROR(VLOOKUP($A19,'[1]Donor''s Assigned Kilos'!A:O,16,0),0)),0)</f>
        <v>0</v>
      </c>
      <c r="AZ19" s="20">
        <f>IF(A19=0,0,IFERROR(SUMIFS([1]Population!Y:Y,[1]Population!J:J,'MASTER-2025'!A19),0))</f>
        <v>0</v>
      </c>
      <c r="BA19" s="21">
        <f t="shared" si="15"/>
        <v>32</v>
      </c>
      <c r="BB19" s="21">
        <f t="shared" si="23"/>
        <v>257</v>
      </c>
      <c r="BC19" s="21">
        <f t="shared" si="24"/>
        <v>193</v>
      </c>
      <c r="BD19" s="21">
        <f t="shared" si="17"/>
        <v>0</v>
      </c>
      <c r="BE19" s="22" t="e">
        <f>IF(A19=0,0,SUMIFS([1]Population!C:C,[1]Population!A:A,'MASTER-2025'!A19))</f>
        <v>#VALUE!</v>
      </c>
      <c r="BF19" s="22" t="e">
        <f>IF(A19=0,0,SUMIFS([1]Population!D:D,[1]Population!A:A,'MASTER-2025'!A19))</f>
        <v>#VALUE!</v>
      </c>
      <c r="BG19" s="22" t="e">
        <f>IF(A19=0,0,SUMIFS([1]Population!E:E,[1]Population!A:A,'MASTER-2025'!A19))</f>
        <v>#VALUE!</v>
      </c>
      <c r="BH19" s="22" t="e">
        <f>IF(A19=0,0,SUMIFS([1]Population!F:F,[1]Population!A:A,'MASTER-2025'!A19))</f>
        <v>#VALUE!</v>
      </c>
      <c r="BI19" s="22" t="e">
        <f t="shared" si="18"/>
        <v>#VALUE!</v>
      </c>
      <c r="BJ19" s="23" t="e">
        <f t="shared" si="6"/>
        <v>#VALUE!</v>
      </c>
      <c r="BK19" s="22" t="e">
        <f>IF(A19=0,0,SUMIFS([1]Population!G:G,[1]Population!A:A,'MASTER-2025'!A19))</f>
        <v>#VALUE!</v>
      </c>
      <c r="BL19" s="24" cm="1">
        <f t="array" ref="BL19:BW19">IFERROR(VLOOKUP(A19,'[1]Now-OB-kg-POB-25'!A:AQ,{3,4,5,6,7,8,9,10,11,12,13,14},0),0)</f>
        <v>0</v>
      </c>
      <c r="BM19" s="24">
        <v>15</v>
      </c>
      <c r="BN19" s="24">
        <v>32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f t="shared" si="7"/>
        <v>47</v>
      </c>
      <c r="BY19" s="25" cm="1">
        <f t="array" ref="BY19:CJ19">IFERROR(VLOOKUP(A19,'[1]Now-OB-kg-POB-25'!A:AQ,{17,18,19,20,21,22,23,24,25,26,27,28},0),0)</f>
        <v>0</v>
      </c>
      <c r="BZ19" s="25">
        <v>163</v>
      </c>
      <c r="CA19" s="25">
        <v>195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f t="shared" si="8"/>
        <v>358</v>
      </c>
      <c r="CL19" s="26" cm="1">
        <f t="array" ref="CL19:CW19">IFERROR(VLOOKUP(A19,'[1]Now-OB-kg-POB-25'!A:AQ,{31,32,33,34,35,36,37,38,39,40,41,42},0),0)</f>
        <v>0</v>
      </c>
      <c r="CM19" s="26">
        <v>3339</v>
      </c>
      <c r="CN19" s="26">
        <v>8260</v>
      </c>
      <c r="CO19" s="26">
        <v>0</v>
      </c>
      <c r="CP19" s="26">
        <v>0</v>
      </c>
      <c r="CQ19" s="26">
        <v>0</v>
      </c>
      <c r="CR19" s="26">
        <v>0</v>
      </c>
      <c r="CS19" s="26">
        <v>0</v>
      </c>
      <c r="CT19" s="26">
        <v>0</v>
      </c>
      <c r="CU19" s="26">
        <v>0</v>
      </c>
      <c r="CV19" s="26">
        <v>0</v>
      </c>
      <c r="CW19" s="26">
        <v>0</v>
      </c>
      <c r="CX19" s="26">
        <f t="shared" si="9"/>
        <v>11599</v>
      </c>
      <c r="CY19" s="14" t="str">
        <f>IF(A19=0,0,IFERROR(VLOOKUP(A19,'[1]Info Donantes'!C:F,2,0),"Sin Contacto"))</f>
        <v>Viksi Hartmann</v>
      </c>
      <c r="CZ19" s="14" t="str">
        <f>IF(A19=0,0,IFERROR(VLOOKUP(A19,'[1]Info Donantes'!C:F,3,0),"Sin Correo"))</f>
        <v>vhartmann@colombina.com</v>
      </c>
      <c r="DA19" s="14" t="str">
        <f>IF(A19=0,0,IFERROR(VLOOKUP(A19,'[1]Info Donantes'!C:F,4,0),"Sin Telefono"))</f>
        <v>378-0900</v>
      </c>
      <c r="DB19" s="14" t="s">
        <v>141</v>
      </c>
    </row>
    <row r="20" spans="1:106" x14ac:dyDescent="0.55000000000000004">
      <c r="A20" s="14" t="s">
        <v>142</v>
      </c>
      <c r="B20" s="15">
        <f>INT(IFERROR(VLOOKUP(A20,'[1]Donor Summary'!C:F,3,0),0))</f>
        <v>0</v>
      </c>
      <c r="C20" s="15">
        <f>INT(ROUND(IFERROR(VLOOKUP(A20,'[1]Donor Summary'!C:F,4,0),0),1))</f>
        <v>12986</v>
      </c>
      <c r="D20" s="16">
        <f t="shared" si="19"/>
        <v>12986</v>
      </c>
      <c r="E20" s="17" t="str">
        <f t="shared" si="20"/>
        <v>100.00%</v>
      </c>
      <c r="F20" s="17" t="str">
        <f t="shared" si="21"/>
        <v>0.0%</v>
      </c>
      <c r="G20" s="15">
        <f t="shared" si="22"/>
        <v>38958</v>
      </c>
      <c r="H20" s="18"/>
      <c r="I20" s="18">
        <f>IFERROR(VLOOKUP(A20,'[1]Lot All by Part'!T:Y,6,0),0)</f>
        <v>0</v>
      </c>
      <c r="J20" s="18"/>
      <c r="K20" s="19">
        <f>IFERROR(VLOOKUP($A20,'[1]Donor-Served OBs'!A:N,3,0),0)</f>
        <v>25</v>
      </c>
      <c r="L20" s="19">
        <f>ROUNDUP(IF(A20=0,0,IFERROR(VLOOKUP($A20,'[1]Donor''s Assigned Kilos'!A:O,3,0),0)),0)</f>
        <v>3790</v>
      </c>
      <c r="M20" s="19">
        <f>IF(A20=0,0,IFERROR(SUMIFS([1]Population!M:M,[1]Population!J:J,'MASTER-2025'!A20),0))</f>
        <v>0</v>
      </c>
      <c r="N20" s="20">
        <f>IFERROR(VLOOKUP($A20,'[1]Donor-Served OBs'!A:N,4,0),0)</f>
        <v>34</v>
      </c>
      <c r="O20" s="20">
        <f>ROUNDUP(IF(A20=0,0,IFERROR(VLOOKUP($A20,'[1]Donor''s Assigned Kilos'!A:O,4,0),0)),0)</f>
        <v>5244</v>
      </c>
      <c r="P20" s="20">
        <f>IF(A20=0,0,IFERROR(SUMIFS([1]Population!N:N,[1]Population!J:J,'MASTER-2025'!A20),0))</f>
        <v>0</v>
      </c>
      <c r="Q20" s="18">
        <f>IFERROR(VLOOKUP($A20,'[1]Donor-Served OBs'!A:N,2,0),0)</f>
        <v>9</v>
      </c>
      <c r="R20" s="18">
        <f>ROUNDUP(ROUND(IF(A20=0,0,IFERROR(VLOOKUP($A20,'[1]Donor''s Assigned Kilos'!A:O,9,0),0)),1),0)</f>
        <v>526</v>
      </c>
      <c r="S20" s="18">
        <f>IF(A20=0,0,IFERROR(SUMIFS([1]Population!S:S,[1]Population!J:J,'MASTER-2025'!A20),0))</f>
        <v>0</v>
      </c>
      <c r="T20" s="19">
        <f>IFERROR(VLOOKUP($A20,'[1]Donor-Served OBs'!A:N,12,0),0)</f>
        <v>5</v>
      </c>
      <c r="U20" s="19">
        <f>ROUNDUP(IF(A20=0,0,IF(A20=0,0,IFERROR(VLOOKUP($A20,'[1]Donor''s Assigned Kilos'!A:O,7,0),0))),0)</f>
        <v>514</v>
      </c>
      <c r="V20" s="19">
        <f>IF(A20=0,0,IFERROR(SUMIFS([1]Population!Q:Q,[1]Population!J:J,'MASTER-2025'!A20),0))</f>
        <v>0</v>
      </c>
      <c r="W20" s="20">
        <f>IFERROR(VLOOKUP($A20,'[1]Donor-Served OBs'!A:N,10,0),0)</f>
        <v>18</v>
      </c>
      <c r="X20" s="20">
        <f>ROUNDUP(IF(A20=0,0,IFERROR(VLOOKUP($A20,'[1]Donor''s Assigned Kilos'!A:N,5,0),0)),0)</f>
        <v>1839</v>
      </c>
      <c r="Y20" s="20">
        <f>IF(A20=0,0,IFERROR(SUMIFS([1]Population!O:O,[1]Population!J:J,'MASTER-2025'!A20),0))</f>
        <v>0</v>
      </c>
      <c r="Z20" s="18">
        <f>IFERROR(VLOOKUP($A20,'[1]Donor-Served OBs'!A:N,6,0),0)</f>
        <v>5</v>
      </c>
      <c r="AA20" s="18">
        <f>ROUNDUP(IF(A20=0,0,IFERROR(VLOOKUP($A20,'[1]Donor''s Assigned Kilos'!A:N,11,0),0)),0)</f>
        <v>5338</v>
      </c>
      <c r="AB20" s="18">
        <f>IF(A20=0,0,IFERROR(SUMIFS([1]Population!U:U,[1]Population!J:J,'MASTER-2025'!A20),0))</f>
        <v>0</v>
      </c>
      <c r="AC20" s="19">
        <f>IFERROR(VLOOKUP($A20,'[1]Donor-Served OBs'!A:N,7,0),0)</f>
        <v>6</v>
      </c>
      <c r="AD20" s="19">
        <f>ROUNDUP(IF(A20=0,0,IFERROR(VLOOKUP($A20,'[1]Donor''s Assigned Kilos'!A:N,8,0),0)),0)</f>
        <v>1723</v>
      </c>
      <c r="AE20" s="19">
        <f>IF(A20=0,0,IFERROR(SUMIFS([1]Population!R:R,[1]Population!J:J,'MASTER-2025'!A20),0))</f>
        <v>0</v>
      </c>
      <c r="AF20" s="20">
        <f>IFERROR(VLOOKUP($A20,'[1]Donor-Served OBs'!A:N,8,0),0)</f>
        <v>3</v>
      </c>
      <c r="AG20" s="20">
        <f>ROUNDUP(IF(A20=0,0,IFERROR(VLOOKUP($A20,'[1]Donor''s Assigned Kilos'!A:N,6,0),0)),0)</f>
        <v>100</v>
      </c>
      <c r="AH20" s="20">
        <f>IF(A20=0,0,IFERROR(SUMIFS([1]Population!P:P,[1]Population!J:J,'MASTER-2025'!A20),0))</f>
        <v>0</v>
      </c>
      <c r="AI20" s="18">
        <f>IFERROR(VLOOKUP($A20,'[1]Donor-Served OBs'!A:N,9,0),0)</f>
        <v>2</v>
      </c>
      <c r="AJ20" s="18">
        <f>ROUNDUP(IF(A20=0,0,IFERROR(VLOOKUP($A20,'[1]Donor''s Assigned Kilos'!A:N,12,0),0)),0)</f>
        <v>190</v>
      </c>
      <c r="AK20" s="18">
        <f>IF(A20=0,0,IFERROR(SUMIFS([1]Population!V:V,[1]Population!J:J,'MASTER-2025'!A20),0))</f>
        <v>0</v>
      </c>
      <c r="AL20" s="19">
        <f>IFERROR(VLOOKUP($A20,'[1]Donor-Served OBs'!A:N,16,0),0)</f>
        <v>0</v>
      </c>
      <c r="AM20" s="19">
        <f>ROUNDUP(IF(A20=0,0,IFERROR(VLOOKUP($A20,'[1]Donor''s Assigned Kilos'!A:O,16,0),0)),0)</f>
        <v>0</v>
      </c>
      <c r="AN20" s="19">
        <f>IF(A20=0,0,IFERROR(SUMIFS([1]Population!Z:Z,[1]Population!J:J,'MASTER-2025'!A20),0))</f>
        <v>0</v>
      </c>
      <c r="AO20" s="20">
        <f>IFERROR(VLOOKUP($A20,'[1]Donor-Served OBs'!A:N,11,0),0)</f>
        <v>3</v>
      </c>
      <c r="AP20" s="20">
        <f>ROUNDUP(IF(A20=0,0,IFERROR(VLOOKUP($A20,'[1]Donor''s Assigned Kilos'!A:N,13,0),0)),0)</f>
        <v>190</v>
      </c>
      <c r="AQ20" s="20">
        <f>IF(A20=0,0,IFERROR(SUMIFS([1]Population!W:W,[1]Population!J:J,'MASTER-2025'!A20),0))</f>
        <v>0</v>
      </c>
      <c r="AR20" s="18">
        <f>IFERROR(VLOOKUP($A20,'[1]Donor-Served OBs'!A:N,5,0),0)</f>
        <v>8</v>
      </c>
      <c r="AS20" s="18">
        <f>ROUNDUP(IF(A20=0,0,IFERROR(VLOOKUP($A20,'[1]Donor''s Assigned Kilos'!A:N,10,0),0)),0)</f>
        <v>4735</v>
      </c>
      <c r="AT20" s="18">
        <f>IF(A20=0,0,IFERROR(SUMIFS([1]Population!T:T,[1]Population!J:J,'MASTER-2025'!A20),0))</f>
        <v>0</v>
      </c>
      <c r="AU20" s="19">
        <f>IFERROR(VLOOKUP($A20,'[1]Donor-Served OBs'!A:N,13,0),0)</f>
        <v>0</v>
      </c>
      <c r="AV20" s="19">
        <f>ROUNDUP(IF(A20=0,0,IFERROR(VLOOKUP($A20,'[1]Donor''s Assigned Kilos'!A:N,14,0),0)),0)</f>
        <v>0</v>
      </c>
      <c r="AW20" s="19">
        <f>IF(A20=0,0,IFERROR(SUMIFS([1]Population!X:X,[1]Population!J:J,'MASTER-2025'!A20),0))</f>
        <v>0</v>
      </c>
      <c r="AX20" s="20">
        <f>IFERROR(VLOOKUP($A20,'[1]Donor-Served OBs'!A:N,16,0),0)</f>
        <v>0</v>
      </c>
      <c r="AY20" s="20">
        <f>ROUNDUP(IF(A20=0,0,IFERROR(VLOOKUP($A20,'[1]Donor''s Assigned Kilos'!A:O,16,0),0)),0)</f>
        <v>0</v>
      </c>
      <c r="AZ20" s="20">
        <f>IF(A20=0,0,IFERROR(SUMIFS([1]Population!Y:Y,[1]Population!J:J,'MASTER-2025'!A20),0))</f>
        <v>0</v>
      </c>
      <c r="BA20" s="21">
        <f t="shared" si="15"/>
        <v>118</v>
      </c>
      <c r="BB20" s="21">
        <f t="shared" si="23"/>
        <v>24189</v>
      </c>
      <c r="BC20" s="21">
        <f t="shared" si="24"/>
        <v>10074</v>
      </c>
      <c r="BD20" s="21">
        <f t="shared" si="17"/>
        <v>0</v>
      </c>
      <c r="BE20" s="22" t="e">
        <f>IF(A20=0,0,SUMIFS([1]Population!C:C,[1]Population!A:A,'MASTER-2025'!A20))</f>
        <v>#VALUE!</v>
      </c>
      <c r="BF20" s="22" t="e">
        <f>IF(A20=0,0,SUMIFS([1]Population!D:D,[1]Population!A:A,'MASTER-2025'!A20))</f>
        <v>#VALUE!</v>
      </c>
      <c r="BG20" s="22" t="e">
        <f>IF(A20=0,0,SUMIFS([1]Population!E:E,[1]Population!A:A,'MASTER-2025'!A20))</f>
        <v>#VALUE!</v>
      </c>
      <c r="BH20" s="22" t="e">
        <f>IF(A20=0,0,SUMIFS([1]Population!F:F,[1]Population!A:A,'MASTER-2025'!A20))</f>
        <v>#VALUE!</v>
      </c>
      <c r="BI20" s="22" t="e">
        <f t="shared" si="18"/>
        <v>#VALUE!</v>
      </c>
      <c r="BJ20" s="23" t="e">
        <f t="shared" si="6"/>
        <v>#VALUE!</v>
      </c>
      <c r="BK20" s="22" t="e">
        <f>IF(A20=0,0,SUMIFS([1]Population!G:G,[1]Population!A:A,'MASTER-2025'!A20))</f>
        <v>#VALUE!</v>
      </c>
      <c r="BL20" s="24" cm="1">
        <f t="array" ref="BL20:BW20">IFERROR(VLOOKUP(A20,'[1]Now-OB-kg-POB-25'!A:AQ,{3,4,5,6,7,8,9,10,11,12,13,14},0),0)</f>
        <v>119</v>
      </c>
      <c r="BM20" s="24">
        <v>116</v>
      </c>
      <c r="BN20" s="24">
        <v>118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f t="shared" si="7"/>
        <v>353</v>
      </c>
      <c r="BY20" s="25" cm="1">
        <f t="array" ref="BY20:CJ20">IFERROR(VLOOKUP(A20,'[1]Now-OB-kg-POB-25'!A:AQ,{17,18,19,20,21,22,23,24,25,26,27,28},0),0)</f>
        <v>64580</v>
      </c>
      <c r="BZ20" s="25">
        <v>27360</v>
      </c>
      <c r="CA20" s="25">
        <v>12986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f t="shared" si="8"/>
        <v>104926</v>
      </c>
      <c r="CL20" s="26" cm="1">
        <f t="array" ref="CL20:CW20">IFERROR(VLOOKUP(A20,'[1]Now-OB-kg-POB-25'!A:AQ,{31,32,33,34,35,36,37,38,39,40,41,42},0),0)</f>
        <v>35910</v>
      </c>
      <c r="CM20" s="26">
        <v>33480</v>
      </c>
      <c r="CN20" s="26">
        <v>34296</v>
      </c>
      <c r="CO20" s="26">
        <v>0</v>
      </c>
      <c r="CP20" s="26">
        <v>0</v>
      </c>
      <c r="CQ20" s="26">
        <v>0</v>
      </c>
      <c r="CR20" s="26">
        <v>0</v>
      </c>
      <c r="CS20" s="26">
        <v>0</v>
      </c>
      <c r="CT20" s="26">
        <v>0</v>
      </c>
      <c r="CU20" s="26">
        <v>0</v>
      </c>
      <c r="CV20" s="26">
        <v>0</v>
      </c>
      <c r="CW20" s="26">
        <v>0</v>
      </c>
      <c r="CX20" s="26">
        <f t="shared" si="9"/>
        <v>103686</v>
      </c>
      <c r="CY20" s="14" t="str">
        <f>IF(A20=0,0,IFERROR(VLOOKUP(A20,'[1]Info Donantes'!C:F,2,0),"Sin Contacto"))</f>
        <v>Yira Matute</v>
      </c>
      <c r="CZ20" s="14" t="str">
        <f>IF(A20=0,0,IFERROR(VLOOKUP(A20,'[1]Info Donantes'!C:F,3,0),"Sin Correo"))</f>
        <v>yira.matute1@pa.nestle.com</v>
      </c>
      <c r="DA20" s="14" t="str">
        <f>IF(A20=0,0,IFERROR(VLOOKUP(A20,'[1]Info Donantes'!C:F,4,0),"Sin Telefono"))</f>
        <v>229-1333</v>
      </c>
      <c r="DB20" s="14" t="s">
        <v>143</v>
      </c>
    </row>
    <row r="21" spans="1:106" x14ac:dyDescent="0.55000000000000004">
      <c r="A21" s="14" t="s">
        <v>144</v>
      </c>
      <c r="B21" s="15">
        <f>INT(IFERROR(VLOOKUP(A21,'[1]Donor Summary'!C:F,3,0),0))</f>
        <v>0</v>
      </c>
      <c r="C21" s="15">
        <f>INT(ROUND(IFERROR(VLOOKUP(A21,'[1]Donor Summary'!C:F,4,0),0),1))</f>
        <v>0</v>
      </c>
      <c r="D21" s="16">
        <f t="shared" si="19"/>
        <v>0</v>
      </c>
      <c r="E21" s="17" t="str">
        <f t="shared" si="20"/>
        <v>0.00%</v>
      </c>
      <c r="F21" s="17" t="str">
        <f t="shared" si="21"/>
        <v>0.0%</v>
      </c>
      <c r="G21" s="15">
        <f t="shared" si="22"/>
        <v>0</v>
      </c>
      <c r="H21" s="18"/>
      <c r="I21" s="18">
        <f>IFERROR(VLOOKUP(A21,'[1]Lot All by Part'!T:Y,6,0),0)</f>
        <v>0</v>
      </c>
      <c r="J21" s="18"/>
      <c r="K21" s="19">
        <f>IFERROR(VLOOKUP($A21,'[1]Donor-Served OBs'!A:N,3,0),0)</f>
        <v>0</v>
      </c>
      <c r="L21" s="19">
        <f>ROUNDUP(IF(A21=0,0,IFERROR(VLOOKUP($A21,'[1]Donor''s Assigned Kilos'!A:O,3,0),0)),0)</f>
        <v>0</v>
      </c>
      <c r="M21" s="19">
        <f>IF(A21=0,0,IFERROR(SUMIFS([1]Population!M:M,[1]Population!J:J,'MASTER-2025'!A21),0))</f>
        <v>0</v>
      </c>
      <c r="N21" s="20">
        <f>IFERROR(VLOOKUP($A21,'[1]Donor-Served OBs'!A:N,4,0),0)</f>
        <v>0</v>
      </c>
      <c r="O21" s="20">
        <f>ROUNDUP(IF(A21=0,0,IFERROR(VLOOKUP($A21,'[1]Donor''s Assigned Kilos'!A:O,4,0),0)),0)</f>
        <v>0</v>
      </c>
      <c r="P21" s="20">
        <f>IF(A21=0,0,IFERROR(SUMIFS([1]Population!N:N,[1]Population!J:J,'MASTER-2025'!A21),0))</f>
        <v>0</v>
      </c>
      <c r="Q21" s="18">
        <f>IFERROR(VLOOKUP($A21,'[1]Donor-Served OBs'!A:N,2,0),0)</f>
        <v>0</v>
      </c>
      <c r="R21" s="18">
        <f>ROUNDUP(ROUND(IF(A21=0,0,IFERROR(VLOOKUP($A21,'[1]Donor''s Assigned Kilos'!A:O,9,0),0)),1),0)</f>
        <v>0</v>
      </c>
      <c r="S21" s="18">
        <f>IF(A21=0,0,IFERROR(SUMIFS([1]Population!S:S,[1]Population!J:J,'MASTER-2025'!A21),0))</f>
        <v>0</v>
      </c>
      <c r="T21" s="19">
        <f>IFERROR(VLOOKUP($A21,'[1]Donor-Served OBs'!A:N,12,0),0)</f>
        <v>0</v>
      </c>
      <c r="U21" s="19">
        <f>ROUNDUP(IF(A21=0,0,IF(A21=0,0,IFERROR(VLOOKUP($A21,'[1]Donor''s Assigned Kilos'!A:O,7,0),0))),0)</f>
        <v>0</v>
      </c>
      <c r="V21" s="19">
        <f>IF(A21=0,0,IFERROR(SUMIFS([1]Population!Q:Q,[1]Population!J:J,'MASTER-2025'!A21),0))</f>
        <v>0</v>
      </c>
      <c r="W21" s="20">
        <f>IFERROR(VLOOKUP($A21,'[1]Donor-Served OBs'!A:N,10,0),0)</f>
        <v>0</v>
      </c>
      <c r="X21" s="20">
        <f>ROUNDUP(IF(A21=0,0,IFERROR(VLOOKUP($A21,'[1]Donor''s Assigned Kilos'!A:N,5,0),0)),0)</f>
        <v>0</v>
      </c>
      <c r="Y21" s="20">
        <f>IF(A21=0,0,IFERROR(SUMIFS([1]Population!O:O,[1]Population!J:J,'MASTER-2025'!A21),0))</f>
        <v>0</v>
      </c>
      <c r="Z21" s="18">
        <f>IFERROR(VLOOKUP($A21,'[1]Donor-Served OBs'!A:N,6,0),0)</f>
        <v>0</v>
      </c>
      <c r="AA21" s="18">
        <f>ROUNDUP(IF(A21=0,0,IFERROR(VLOOKUP($A21,'[1]Donor''s Assigned Kilos'!A:N,11,0),0)),0)</f>
        <v>0</v>
      </c>
      <c r="AB21" s="18">
        <f>IF(A21=0,0,IFERROR(SUMIFS([1]Population!U:U,[1]Population!J:J,'MASTER-2025'!A21),0))</f>
        <v>0</v>
      </c>
      <c r="AC21" s="19">
        <f>IFERROR(VLOOKUP($A21,'[1]Donor-Served OBs'!A:N,7,0),0)</f>
        <v>0</v>
      </c>
      <c r="AD21" s="19">
        <f>ROUNDUP(IF(A21=0,0,IFERROR(VLOOKUP($A21,'[1]Donor''s Assigned Kilos'!A:N,8,0),0)),0)</f>
        <v>0</v>
      </c>
      <c r="AE21" s="19">
        <f>IF(A21=0,0,IFERROR(SUMIFS([1]Population!R:R,[1]Population!J:J,'MASTER-2025'!A21),0))</f>
        <v>0</v>
      </c>
      <c r="AF21" s="20">
        <f>IFERROR(VLOOKUP($A21,'[1]Donor-Served OBs'!A:N,8,0),0)</f>
        <v>0</v>
      </c>
      <c r="AG21" s="20">
        <f>ROUNDUP(IF(A21=0,0,IFERROR(VLOOKUP($A21,'[1]Donor''s Assigned Kilos'!A:N,6,0),0)),0)</f>
        <v>0</v>
      </c>
      <c r="AH21" s="20">
        <f>IF(A21=0,0,IFERROR(SUMIFS([1]Population!P:P,[1]Population!J:J,'MASTER-2025'!A21),0))</f>
        <v>0</v>
      </c>
      <c r="AI21" s="18">
        <f>IFERROR(VLOOKUP($A21,'[1]Donor-Served OBs'!A:N,9,0),0)</f>
        <v>0</v>
      </c>
      <c r="AJ21" s="18">
        <f>ROUNDUP(IF(A21=0,0,IFERROR(VLOOKUP($A21,'[1]Donor''s Assigned Kilos'!A:N,12,0),0)),0)</f>
        <v>0</v>
      </c>
      <c r="AK21" s="18">
        <f>IF(A21=0,0,IFERROR(SUMIFS([1]Population!V:V,[1]Population!J:J,'MASTER-2025'!A21),0))</f>
        <v>0</v>
      </c>
      <c r="AL21" s="19">
        <f>IFERROR(VLOOKUP($A21,'[1]Donor-Served OBs'!A:N,16,0),0)</f>
        <v>0</v>
      </c>
      <c r="AM21" s="19">
        <f>ROUNDUP(IF(A21=0,0,IFERROR(VLOOKUP($A21,'[1]Donor''s Assigned Kilos'!A:O,16,0),0)),0)</f>
        <v>0</v>
      </c>
      <c r="AN21" s="19">
        <f>IF(A21=0,0,IFERROR(SUMIFS([1]Population!Z:Z,[1]Population!J:J,'MASTER-2025'!A21),0))</f>
        <v>0</v>
      </c>
      <c r="AO21" s="20">
        <f>IFERROR(VLOOKUP($A21,'[1]Donor-Served OBs'!A:N,11,0),0)</f>
        <v>0</v>
      </c>
      <c r="AP21" s="20">
        <f>ROUNDUP(IF(A21=0,0,IFERROR(VLOOKUP($A21,'[1]Donor''s Assigned Kilos'!A:N,13,0),0)),0)</f>
        <v>0</v>
      </c>
      <c r="AQ21" s="20">
        <f>IF(A21=0,0,IFERROR(SUMIFS([1]Population!W:W,[1]Population!J:J,'MASTER-2025'!A21),0))</f>
        <v>0</v>
      </c>
      <c r="AR21" s="18">
        <f>IFERROR(VLOOKUP($A21,'[1]Donor-Served OBs'!A:N,5,0),0)</f>
        <v>0</v>
      </c>
      <c r="AS21" s="18">
        <f>ROUNDUP(IF(A21=0,0,IFERROR(VLOOKUP($A21,'[1]Donor''s Assigned Kilos'!A:N,10,0),0)),0)</f>
        <v>0</v>
      </c>
      <c r="AT21" s="18">
        <f>IF(A21=0,0,IFERROR(SUMIFS([1]Population!T:T,[1]Population!J:J,'MASTER-2025'!A21),0))</f>
        <v>0</v>
      </c>
      <c r="AU21" s="19">
        <f>IFERROR(VLOOKUP($A21,'[1]Donor-Served OBs'!A:N,13,0),0)</f>
        <v>0</v>
      </c>
      <c r="AV21" s="19">
        <f>ROUNDUP(IF(A21=0,0,IFERROR(VLOOKUP($A21,'[1]Donor''s Assigned Kilos'!A:N,14,0),0)),0)</f>
        <v>0</v>
      </c>
      <c r="AW21" s="19">
        <f>IF(A21=0,0,IFERROR(SUMIFS([1]Population!X:X,[1]Population!J:J,'MASTER-2025'!A21),0))</f>
        <v>0</v>
      </c>
      <c r="AX21" s="20">
        <f>IFERROR(VLOOKUP($A21,'[1]Donor-Served OBs'!A:N,16,0),0)</f>
        <v>0</v>
      </c>
      <c r="AY21" s="20">
        <f>ROUNDUP(IF(A21=0,0,IFERROR(VLOOKUP($A21,'[1]Donor''s Assigned Kilos'!A:O,16,0),0)),0)</f>
        <v>0</v>
      </c>
      <c r="AZ21" s="20">
        <f>IF(A21=0,0,IFERROR(SUMIFS([1]Population!Y:Y,[1]Population!J:J,'MASTER-2025'!A21),0))</f>
        <v>0</v>
      </c>
      <c r="BA21" s="21">
        <f t="shared" si="15"/>
        <v>0</v>
      </c>
      <c r="BB21" s="21">
        <f t="shared" si="23"/>
        <v>0</v>
      </c>
      <c r="BC21" s="21">
        <f t="shared" si="24"/>
        <v>0</v>
      </c>
      <c r="BD21" s="21">
        <f t="shared" si="17"/>
        <v>0</v>
      </c>
      <c r="BE21" s="22" t="e">
        <f>IF(A21=0,0,SUMIFS([1]Population!C:C,[1]Population!A:A,'MASTER-2025'!A21))</f>
        <v>#VALUE!</v>
      </c>
      <c r="BF21" s="22" t="e">
        <f>IF(A21=0,0,SUMIFS([1]Population!D:D,[1]Population!A:A,'MASTER-2025'!A21))</f>
        <v>#VALUE!</v>
      </c>
      <c r="BG21" s="22" t="e">
        <f>IF(A21=0,0,SUMIFS([1]Population!E:E,[1]Population!A:A,'MASTER-2025'!A21))</f>
        <v>#VALUE!</v>
      </c>
      <c r="BH21" s="22" t="e">
        <f>IF(A21=0,0,SUMIFS([1]Population!F:F,[1]Population!A:A,'MASTER-2025'!A21))</f>
        <v>#VALUE!</v>
      </c>
      <c r="BI21" s="22" t="e">
        <f t="shared" si="18"/>
        <v>#VALUE!</v>
      </c>
      <c r="BJ21" s="23" t="e">
        <f t="shared" si="6"/>
        <v>#VALUE!</v>
      </c>
      <c r="BK21" s="22" t="e">
        <f>IF(A21=0,0,SUMIFS([1]Population!G:G,[1]Population!A:A,'MASTER-2025'!A21))</f>
        <v>#VALUE!</v>
      </c>
      <c r="BL21" s="24" cm="1">
        <f t="array" ref="BL21:BW21">IFERROR(VLOOKUP(A21,'[1]Now-OB-kg-POB-25'!A:AQ,{3,4,5,6,7,8,9,10,11,12,13,14},0),0)</f>
        <v>34</v>
      </c>
      <c r="BM21" s="24">
        <v>49</v>
      </c>
      <c r="BN21" s="24">
        <v>32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f t="shared" si="7"/>
        <v>115</v>
      </c>
      <c r="BY21" s="25" cm="1">
        <f t="array" ref="BY21:CJ21">IFERROR(VLOOKUP(A21,'[1]Now-OB-kg-POB-25'!A:AQ,{17,18,19,20,21,22,23,24,25,26,27,28},0),0)</f>
        <v>4842</v>
      </c>
      <c r="BZ21" s="25">
        <v>4059</v>
      </c>
      <c r="CA21" s="25">
        <v>8126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f t="shared" si="8"/>
        <v>17027</v>
      </c>
      <c r="CL21" s="26" cm="1">
        <f t="array" ref="CL21:CW21">IFERROR(VLOOKUP(A21,'[1]Now-OB-kg-POB-25'!A:AQ,{31,32,33,34,35,36,37,38,39,40,41,42},0),0)</f>
        <v>9935</v>
      </c>
      <c r="CM21" s="26">
        <v>18038</v>
      </c>
      <c r="CN21" s="26">
        <v>13644</v>
      </c>
      <c r="CO21" s="26">
        <v>0</v>
      </c>
      <c r="CP21" s="26">
        <v>0</v>
      </c>
      <c r="CQ21" s="26">
        <v>0</v>
      </c>
      <c r="CR21" s="26">
        <v>0</v>
      </c>
      <c r="CS21" s="26">
        <v>0</v>
      </c>
      <c r="CT21" s="26">
        <v>0</v>
      </c>
      <c r="CU21" s="26">
        <v>0</v>
      </c>
      <c r="CV21" s="26">
        <v>0</v>
      </c>
      <c r="CW21" s="26">
        <v>0</v>
      </c>
      <c r="CX21" s="26">
        <f t="shared" si="9"/>
        <v>41617</v>
      </c>
      <c r="CY21" s="14" t="str">
        <f>IF(A21=0,0,IFERROR(VLOOKUP(A21,'[1]Info Donantes'!C:F,2,0),"Sin Contacto"))</f>
        <v>Sin Contacto</v>
      </c>
      <c r="CZ21" s="14" t="str">
        <f>IF(A21=0,0,IFERROR(VLOOKUP(A21,'[1]Info Donantes'!C:F,3,0),"Sin Correo"))</f>
        <v>Sin Correo</v>
      </c>
      <c r="DA21" s="14" t="str">
        <f>IF(A21=0,0,IFERROR(VLOOKUP(A21,'[1]Info Donantes'!C:F,4,0),"Sin Telefono"))</f>
        <v>Sin Telefono</v>
      </c>
      <c r="DB21" s="14" t="s">
        <v>145</v>
      </c>
    </row>
    <row r="22" spans="1:106" x14ac:dyDescent="0.55000000000000004">
      <c r="A22" s="14" t="s">
        <v>146</v>
      </c>
      <c r="B22" s="15">
        <f>INT(IFERROR(VLOOKUP(A22,'[1]Donor Summary'!C:F,3,0),0))</f>
        <v>0</v>
      </c>
      <c r="C22" s="15">
        <f>INT(ROUND(IFERROR(VLOOKUP(A22,'[1]Donor Summary'!C:F,4,0),0),1))</f>
        <v>60</v>
      </c>
      <c r="D22" s="16">
        <f t="shared" si="19"/>
        <v>60</v>
      </c>
      <c r="E22" s="17" t="str">
        <f t="shared" si="20"/>
        <v>100.00%</v>
      </c>
      <c r="F22" s="17" t="str">
        <f t="shared" si="21"/>
        <v>0.0%</v>
      </c>
      <c r="G22" s="15">
        <f t="shared" si="22"/>
        <v>180</v>
      </c>
      <c r="H22" s="18"/>
      <c r="I22" s="18">
        <f>IFERROR(VLOOKUP(A22,'[1]Lot All by Part'!T:Y,6,0),0)</f>
        <v>0</v>
      </c>
      <c r="J22" s="18"/>
      <c r="K22" s="19">
        <f>IFERROR(VLOOKUP($A22,'[1]Donor-Served OBs'!A:N,3,0),0)</f>
        <v>6</v>
      </c>
      <c r="L22" s="19">
        <f>ROUNDUP(IF(A22=0,0,IFERROR(VLOOKUP($A22,'[1]Donor''s Assigned Kilos'!A:O,3,0),0)),0)</f>
        <v>19</v>
      </c>
      <c r="M22" s="19">
        <f>IF(A22=0,0,IFERROR(SUMIFS([1]Population!M:M,[1]Population!J:J,'MASTER-2025'!A22),0))</f>
        <v>0</v>
      </c>
      <c r="N22" s="20">
        <f>IFERROR(VLOOKUP($A22,'[1]Donor-Served OBs'!A:N,4,0),0)</f>
        <v>8</v>
      </c>
      <c r="O22" s="20">
        <f>ROUNDUP(IF(A22=0,0,IFERROR(VLOOKUP($A22,'[1]Donor''s Assigned Kilos'!A:O,4,0),0)),0)</f>
        <v>18</v>
      </c>
      <c r="P22" s="20">
        <f>IF(A22=0,0,IFERROR(SUMIFS([1]Population!N:N,[1]Population!J:J,'MASTER-2025'!A22),0))</f>
        <v>0</v>
      </c>
      <c r="Q22" s="18">
        <f>IFERROR(VLOOKUP($A22,'[1]Donor-Served OBs'!A:N,2,0),0)</f>
        <v>4</v>
      </c>
      <c r="R22" s="18">
        <f>ROUNDUP(ROUND(IF(A22=0,0,IFERROR(VLOOKUP($A22,'[1]Donor''s Assigned Kilos'!A:O,9,0),0)),1),0)</f>
        <v>6</v>
      </c>
      <c r="S22" s="18">
        <f>IF(A22=0,0,IFERROR(SUMIFS([1]Population!S:S,[1]Population!J:J,'MASTER-2025'!A22),0))</f>
        <v>0</v>
      </c>
      <c r="T22" s="19">
        <f>IFERROR(VLOOKUP($A22,'[1]Donor-Served OBs'!A:N,12,0),0)</f>
        <v>1</v>
      </c>
      <c r="U22" s="19">
        <f>ROUNDUP(IF(A22=0,0,IF(A22=0,0,IFERROR(VLOOKUP($A22,'[1]Donor''s Assigned Kilos'!A:O,7,0),0))),0)</f>
        <v>1</v>
      </c>
      <c r="V22" s="19">
        <f>IF(A22=0,0,IFERROR(SUMIFS([1]Population!Q:Q,[1]Population!J:J,'MASTER-2025'!A22),0))</f>
        <v>0</v>
      </c>
      <c r="W22" s="20">
        <f>IFERROR(VLOOKUP($A22,'[1]Donor-Served OBs'!A:N,10,0),0)</f>
        <v>2</v>
      </c>
      <c r="X22" s="20">
        <f>ROUNDUP(IF(A22=0,0,IFERROR(VLOOKUP($A22,'[1]Donor''s Assigned Kilos'!A:N,5,0),0)),0)</f>
        <v>2</v>
      </c>
      <c r="Y22" s="20">
        <f>IF(A22=0,0,IFERROR(SUMIFS([1]Population!O:O,[1]Population!J:J,'MASTER-2025'!A22),0))</f>
        <v>0</v>
      </c>
      <c r="Z22" s="18">
        <f>IFERROR(VLOOKUP($A22,'[1]Donor-Served OBs'!A:N,6,0),0)</f>
        <v>0</v>
      </c>
      <c r="AA22" s="18">
        <f>ROUNDUP(IF(A22=0,0,IFERROR(VLOOKUP($A22,'[1]Donor''s Assigned Kilos'!A:N,11,0),0)),0)</f>
        <v>0</v>
      </c>
      <c r="AB22" s="18">
        <f>IF(A22=0,0,IFERROR(SUMIFS([1]Population!U:U,[1]Population!J:J,'MASTER-2025'!A22),0))</f>
        <v>0</v>
      </c>
      <c r="AC22" s="19">
        <f>IFERROR(VLOOKUP($A22,'[1]Donor-Served OBs'!A:N,7,0),0)</f>
        <v>2</v>
      </c>
      <c r="AD22" s="19">
        <f>ROUNDUP(IF(A22=0,0,IFERROR(VLOOKUP($A22,'[1]Donor''s Assigned Kilos'!A:N,8,0),0)),0)</f>
        <v>10</v>
      </c>
      <c r="AE22" s="19">
        <f>IF(A22=0,0,IFERROR(SUMIFS([1]Population!R:R,[1]Population!J:J,'MASTER-2025'!A22),0))</f>
        <v>0</v>
      </c>
      <c r="AF22" s="20">
        <f>IFERROR(VLOOKUP($A22,'[1]Donor-Served OBs'!A:N,8,0),0)</f>
        <v>0</v>
      </c>
      <c r="AG22" s="20">
        <f>ROUNDUP(IF(A22=0,0,IFERROR(VLOOKUP($A22,'[1]Donor''s Assigned Kilos'!A:N,6,0),0)),0)</f>
        <v>0</v>
      </c>
      <c r="AH22" s="20">
        <f>IF(A22=0,0,IFERROR(SUMIFS([1]Population!P:P,[1]Population!J:J,'MASTER-2025'!A22),0))</f>
        <v>0</v>
      </c>
      <c r="AI22" s="18">
        <f>IFERROR(VLOOKUP($A22,'[1]Donor-Served OBs'!A:N,9,0),0)</f>
        <v>0</v>
      </c>
      <c r="AJ22" s="18">
        <f>ROUNDUP(IF(A22=0,0,IFERROR(VLOOKUP($A22,'[1]Donor''s Assigned Kilos'!A:N,12,0),0)),0)</f>
        <v>0</v>
      </c>
      <c r="AK22" s="18">
        <f>IF(A22=0,0,IFERROR(SUMIFS([1]Population!V:V,[1]Population!J:J,'MASTER-2025'!A22),0))</f>
        <v>0</v>
      </c>
      <c r="AL22" s="19">
        <f>IFERROR(VLOOKUP($A22,'[1]Donor-Served OBs'!A:N,16,0),0)</f>
        <v>0</v>
      </c>
      <c r="AM22" s="19">
        <f>ROUNDUP(IF(A22=0,0,IFERROR(VLOOKUP($A22,'[1]Donor''s Assigned Kilos'!A:O,16,0),0)),0)</f>
        <v>0</v>
      </c>
      <c r="AN22" s="19">
        <f>IF(A22=0,0,IFERROR(SUMIFS([1]Population!Z:Z,[1]Population!J:J,'MASTER-2025'!A22),0))</f>
        <v>0</v>
      </c>
      <c r="AO22" s="20">
        <f>IFERROR(VLOOKUP($A22,'[1]Donor-Served OBs'!A:N,11,0),0)</f>
        <v>0</v>
      </c>
      <c r="AP22" s="20">
        <f>ROUNDUP(IF(A22=0,0,IFERROR(VLOOKUP($A22,'[1]Donor''s Assigned Kilos'!A:N,13,0),0)),0)</f>
        <v>0</v>
      </c>
      <c r="AQ22" s="20">
        <f>IF(A22=0,0,IFERROR(SUMIFS([1]Population!W:W,[1]Population!J:J,'MASTER-2025'!A22),0))</f>
        <v>0</v>
      </c>
      <c r="AR22" s="18">
        <f>IFERROR(VLOOKUP($A22,'[1]Donor-Served OBs'!A:N,5,0),0)</f>
        <v>0</v>
      </c>
      <c r="AS22" s="18">
        <f>ROUNDUP(IF(A22=0,0,IFERROR(VLOOKUP($A22,'[1]Donor''s Assigned Kilos'!A:N,10,0),0)),0)</f>
        <v>0</v>
      </c>
      <c r="AT22" s="18">
        <f>IF(A22=0,0,IFERROR(SUMIFS([1]Population!T:T,[1]Population!J:J,'MASTER-2025'!A22),0))</f>
        <v>0</v>
      </c>
      <c r="AU22" s="19">
        <f>IFERROR(VLOOKUP($A22,'[1]Donor-Served OBs'!A:N,13,0),0)</f>
        <v>0</v>
      </c>
      <c r="AV22" s="19">
        <f>ROUNDUP(IF(A22=0,0,IFERROR(VLOOKUP($A22,'[1]Donor''s Assigned Kilos'!A:N,14,0),0)),0)</f>
        <v>0</v>
      </c>
      <c r="AW22" s="19">
        <f>IF(A22=0,0,IFERROR(SUMIFS([1]Population!X:X,[1]Population!J:J,'MASTER-2025'!A22),0))</f>
        <v>0</v>
      </c>
      <c r="AX22" s="20">
        <f>IFERROR(VLOOKUP($A22,'[1]Donor-Served OBs'!A:N,16,0),0)</f>
        <v>0</v>
      </c>
      <c r="AY22" s="20">
        <f>ROUNDUP(IF(A22=0,0,IFERROR(VLOOKUP($A22,'[1]Donor''s Assigned Kilos'!A:O,16,0),0)),0)</f>
        <v>0</v>
      </c>
      <c r="AZ22" s="20">
        <f>IF(A22=0,0,IFERROR(SUMIFS([1]Population!Y:Y,[1]Population!J:J,'MASTER-2025'!A22),0))</f>
        <v>0</v>
      </c>
      <c r="BA22" s="21">
        <f t="shared" si="15"/>
        <v>23</v>
      </c>
      <c r="BB22" s="21">
        <f t="shared" si="23"/>
        <v>56</v>
      </c>
      <c r="BC22" s="21">
        <f t="shared" si="24"/>
        <v>44</v>
      </c>
      <c r="BD22" s="21">
        <f t="shared" si="17"/>
        <v>0</v>
      </c>
      <c r="BE22" s="22" t="e">
        <f>IF(A22=0,0,SUMIFS([1]Population!C:C,[1]Population!A:A,'MASTER-2025'!A22))</f>
        <v>#VALUE!</v>
      </c>
      <c r="BF22" s="22" t="e">
        <f>IF(A22=0,0,SUMIFS([1]Population!D:D,[1]Population!A:A,'MASTER-2025'!A22))</f>
        <v>#VALUE!</v>
      </c>
      <c r="BG22" s="22" t="e">
        <f>IF(A22=0,0,SUMIFS([1]Population!E:E,[1]Population!A:A,'MASTER-2025'!A22))</f>
        <v>#VALUE!</v>
      </c>
      <c r="BH22" s="22" t="e">
        <f>IF(A22=0,0,SUMIFS([1]Population!F:F,[1]Population!A:A,'MASTER-2025'!A22))</f>
        <v>#VALUE!</v>
      </c>
      <c r="BI22" s="22" t="e">
        <f t="shared" si="18"/>
        <v>#VALUE!</v>
      </c>
      <c r="BJ22" s="23" t="e">
        <f t="shared" si="6"/>
        <v>#VALUE!</v>
      </c>
      <c r="BK22" s="22" t="e">
        <f>IF(A22=0,0,SUMIFS([1]Population!G:G,[1]Population!A:A,'MASTER-2025'!A22))</f>
        <v>#VALUE!</v>
      </c>
      <c r="BL22" s="24" cm="1">
        <f t="array" ref="BL22:BW22">IFERROR(VLOOKUP(A22,'[1]Now-OB-kg-POB-25'!A:AQ,{3,4,5,6,7,8,9,10,11,12,13,14},0),0)</f>
        <v>11</v>
      </c>
      <c r="BM22" s="24">
        <v>17</v>
      </c>
      <c r="BN22" s="24">
        <v>23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4">
        <v>0</v>
      </c>
      <c r="BX22" s="24">
        <f t="shared" si="7"/>
        <v>51</v>
      </c>
      <c r="BY22" s="25" cm="1">
        <f t="array" ref="BY22:CJ22">IFERROR(VLOOKUP(A22,'[1]Now-OB-kg-POB-25'!A:AQ,{17,18,19,20,21,22,23,24,25,26,27,28},0),0)</f>
        <v>60</v>
      </c>
      <c r="BZ22" s="25">
        <v>60</v>
      </c>
      <c r="CA22" s="25">
        <v>60</v>
      </c>
      <c r="CB22" s="25">
        <v>0</v>
      </c>
      <c r="CC22" s="25">
        <v>0</v>
      </c>
      <c r="CD22" s="25">
        <v>0</v>
      </c>
      <c r="CE22" s="25">
        <v>0</v>
      </c>
      <c r="CF22" s="25">
        <v>0</v>
      </c>
      <c r="CG22" s="25">
        <v>0</v>
      </c>
      <c r="CH22" s="25">
        <v>0</v>
      </c>
      <c r="CI22" s="25">
        <v>0</v>
      </c>
      <c r="CJ22" s="25">
        <v>0</v>
      </c>
      <c r="CK22" s="25">
        <f t="shared" si="8"/>
        <v>180</v>
      </c>
      <c r="CL22" s="26" cm="1">
        <f t="array" ref="CL22:CW22">IFERROR(VLOOKUP(A22,'[1]Now-OB-kg-POB-25'!A:AQ,{31,32,33,34,35,36,37,38,39,40,41,42},0),0)</f>
        <v>6410</v>
      </c>
      <c r="CM22" s="26">
        <v>6617</v>
      </c>
      <c r="CN22" s="26">
        <v>8108</v>
      </c>
      <c r="CO22" s="26">
        <v>0</v>
      </c>
      <c r="CP22" s="26">
        <v>0</v>
      </c>
      <c r="CQ22" s="26">
        <v>0</v>
      </c>
      <c r="CR22" s="26">
        <v>0</v>
      </c>
      <c r="CS22" s="26">
        <v>0</v>
      </c>
      <c r="CT22" s="26">
        <v>0</v>
      </c>
      <c r="CU22" s="26">
        <v>0</v>
      </c>
      <c r="CV22" s="26">
        <v>0</v>
      </c>
      <c r="CW22" s="26">
        <v>0</v>
      </c>
      <c r="CX22" s="26">
        <f t="shared" si="9"/>
        <v>21135</v>
      </c>
      <c r="CY22" s="14" t="str">
        <f>IF(A22=0,0,IFERROR(VLOOKUP(A22,'[1]Info Donantes'!C:F,2,0),"Sin Contacto"))</f>
        <v>Irma Ramos de Lopez</v>
      </c>
      <c r="CZ22" s="14" t="str">
        <f>IF(A22=0,0,IFERROR(VLOOKUP(A22,'[1]Info Donantes'!C:F,3,0),"Sin Correo"))</f>
        <v>panasal@cwpanama.net</v>
      </c>
      <c r="DA22" s="14" t="str">
        <f>IF(A22=0,0,IFERROR(VLOOKUP(A22,'[1]Info Donantes'!C:F,4,0),"Sin Telefono"))</f>
        <v>2208588</v>
      </c>
      <c r="DB22" s="14" t="s">
        <v>147</v>
      </c>
    </row>
    <row r="23" spans="1:106" x14ac:dyDescent="0.55000000000000004">
      <c r="A23" s="14" t="s">
        <v>148</v>
      </c>
      <c r="B23" s="15">
        <f>INT(IFERROR(VLOOKUP(A23,'[1]Donor Summary'!C:F,3,0),0))</f>
        <v>0</v>
      </c>
      <c r="C23" s="15">
        <f>INT(ROUND(IFERROR(VLOOKUP(A23,'[1]Donor Summary'!C:F,4,0),0),1))</f>
        <v>0</v>
      </c>
      <c r="D23" s="16">
        <f t="shared" si="19"/>
        <v>0</v>
      </c>
      <c r="E23" s="17" t="str">
        <f t="shared" si="20"/>
        <v>0.00%</v>
      </c>
      <c r="F23" s="17" t="str">
        <f t="shared" si="21"/>
        <v>0.0%</v>
      </c>
      <c r="G23" s="15">
        <f t="shared" si="22"/>
        <v>0</v>
      </c>
      <c r="H23" s="18"/>
      <c r="I23" s="18">
        <f>IFERROR(VLOOKUP(A23,'[1]Lot All by Part'!T:Y,6,0),0)</f>
        <v>0</v>
      </c>
      <c r="J23" s="18"/>
      <c r="K23" s="19">
        <f>IFERROR(VLOOKUP($A23,'[1]Donor-Served OBs'!A:N,3,0),0)</f>
        <v>4</v>
      </c>
      <c r="L23" s="19">
        <f>ROUNDUP(IF(A23=0,0,IFERROR(VLOOKUP($A23,'[1]Donor''s Assigned Kilos'!A:O,3,0),0)),0)</f>
        <v>35</v>
      </c>
      <c r="M23" s="19">
        <f>IF(A23=0,0,IFERROR(SUMIFS([1]Population!M:M,[1]Population!J:J,'MASTER-2025'!A23),0))</f>
        <v>0</v>
      </c>
      <c r="N23" s="20">
        <f>IFERROR(VLOOKUP($A23,'[1]Donor-Served OBs'!A:N,4,0),0)</f>
        <v>4</v>
      </c>
      <c r="O23" s="20">
        <f>ROUNDUP(IF(A23=0,0,IFERROR(VLOOKUP($A23,'[1]Donor''s Assigned Kilos'!A:O,4,0),0)),0)</f>
        <v>20</v>
      </c>
      <c r="P23" s="20">
        <f>IF(A23=0,0,IFERROR(SUMIFS([1]Population!N:N,[1]Population!J:J,'MASTER-2025'!A23),0))</f>
        <v>0</v>
      </c>
      <c r="Q23" s="18">
        <f>IFERROR(VLOOKUP($A23,'[1]Donor-Served OBs'!A:N,2,0),0)</f>
        <v>5</v>
      </c>
      <c r="R23" s="18">
        <f>ROUNDUP(ROUND(IF(A23=0,0,IFERROR(VLOOKUP($A23,'[1]Donor''s Assigned Kilos'!A:O,9,0),0)),1),0)</f>
        <v>45</v>
      </c>
      <c r="S23" s="18">
        <f>IF(A23=0,0,IFERROR(SUMIFS([1]Population!S:S,[1]Population!J:J,'MASTER-2025'!A23),0))</f>
        <v>0</v>
      </c>
      <c r="T23" s="19">
        <f>IFERROR(VLOOKUP($A23,'[1]Donor-Served OBs'!A:N,12,0),0)</f>
        <v>2</v>
      </c>
      <c r="U23" s="19">
        <f>ROUNDUP(IF(A23=0,0,IF(A23=0,0,IFERROR(VLOOKUP($A23,'[1]Donor''s Assigned Kilos'!A:O,7,0),0))),0)</f>
        <v>10</v>
      </c>
      <c r="V23" s="19">
        <f>IF(A23=0,0,IFERROR(SUMIFS([1]Population!Q:Q,[1]Population!J:J,'MASTER-2025'!A23),0))</f>
        <v>0</v>
      </c>
      <c r="W23" s="20">
        <f>IFERROR(VLOOKUP($A23,'[1]Donor-Served OBs'!A:N,10,0),0)</f>
        <v>4</v>
      </c>
      <c r="X23" s="20">
        <f>ROUNDUP(IF(A23=0,0,IFERROR(VLOOKUP($A23,'[1]Donor''s Assigned Kilos'!A:N,5,0),0)),0)</f>
        <v>20</v>
      </c>
      <c r="Y23" s="20">
        <f>IF(A23=0,0,IFERROR(SUMIFS([1]Population!O:O,[1]Population!J:J,'MASTER-2025'!A23),0))</f>
        <v>0</v>
      </c>
      <c r="Z23" s="18">
        <f>IFERROR(VLOOKUP($A23,'[1]Donor-Served OBs'!A:N,6,0),0)</f>
        <v>0</v>
      </c>
      <c r="AA23" s="18">
        <f>ROUNDUP(IF(A23=0,0,IFERROR(VLOOKUP($A23,'[1]Donor''s Assigned Kilos'!A:N,11,0),0)),0)</f>
        <v>0</v>
      </c>
      <c r="AB23" s="18">
        <f>IF(A23=0,0,IFERROR(SUMIFS([1]Population!U:U,[1]Population!J:J,'MASTER-2025'!A23),0))</f>
        <v>0</v>
      </c>
      <c r="AC23" s="19">
        <f>IFERROR(VLOOKUP($A23,'[1]Donor-Served OBs'!A:N,7,0),0)</f>
        <v>0</v>
      </c>
      <c r="AD23" s="19">
        <f>ROUNDUP(IF(A23=0,0,IFERROR(VLOOKUP($A23,'[1]Donor''s Assigned Kilos'!A:N,8,0),0)),0)</f>
        <v>0</v>
      </c>
      <c r="AE23" s="19">
        <f>IF(A23=0,0,IFERROR(SUMIFS([1]Population!R:R,[1]Population!J:J,'MASTER-2025'!A23),0))</f>
        <v>0</v>
      </c>
      <c r="AF23" s="20">
        <f>IFERROR(VLOOKUP($A23,'[1]Donor-Served OBs'!A:N,8,0),0)</f>
        <v>0</v>
      </c>
      <c r="AG23" s="20">
        <f>ROUNDUP(IF(A23=0,0,IFERROR(VLOOKUP($A23,'[1]Donor''s Assigned Kilos'!A:N,6,0),0)),0)</f>
        <v>0</v>
      </c>
      <c r="AH23" s="20">
        <f>IF(A23=0,0,IFERROR(SUMIFS([1]Population!P:P,[1]Population!J:J,'MASTER-2025'!A23),0))</f>
        <v>0</v>
      </c>
      <c r="AI23" s="18">
        <f>IFERROR(VLOOKUP($A23,'[1]Donor-Served OBs'!A:N,9,0),0)</f>
        <v>0</v>
      </c>
      <c r="AJ23" s="18">
        <f>ROUNDUP(IF(A23=0,0,IFERROR(VLOOKUP($A23,'[1]Donor''s Assigned Kilos'!A:N,12,0),0)),0)</f>
        <v>0</v>
      </c>
      <c r="AK23" s="18">
        <f>IF(A23=0,0,IFERROR(SUMIFS([1]Population!V:V,[1]Population!J:J,'MASTER-2025'!A23),0))</f>
        <v>0</v>
      </c>
      <c r="AL23" s="19">
        <f>IFERROR(VLOOKUP($A23,'[1]Donor-Served OBs'!A:N,16,0),0)</f>
        <v>0</v>
      </c>
      <c r="AM23" s="19">
        <f>ROUNDUP(IF(A23=0,0,IFERROR(VLOOKUP($A23,'[1]Donor''s Assigned Kilos'!A:O,16,0),0)),0)</f>
        <v>0</v>
      </c>
      <c r="AN23" s="19">
        <f>IF(A23=0,0,IFERROR(SUMIFS([1]Population!Z:Z,[1]Population!J:J,'MASTER-2025'!A23),0))</f>
        <v>0</v>
      </c>
      <c r="AO23" s="20">
        <f>IFERROR(VLOOKUP($A23,'[1]Donor-Served OBs'!A:N,11,0),0)</f>
        <v>0</v>
      </c>
      <c r="AP23" s="20">
        <f>ROUNDUP(IF(A23=0,0,IFERROR(VLOOKUP($A23,'[1]Donor''s Assigned Kilos'!A:N,13,0),0)),0)</f>
        <v>0</v>
      </c>
      <c r="AQ23" s="20">
        <f>IF(A23=0,0,IFERROR(SUMIFS([1]Population!W:W,[1]Population!J:J,'MASTER-2025'!A23),0))</f>
        <v>0</v>
      </c>
      <c r="AR23" s="18">
        <f>IFERROR(VLOOKUP($A23,'[1]Donor-Served OBs'!A:N,5,0),0)</f>
        <v>0</v>
      </c>
      <c r="AS23" s="18">
        <f>ROUNDUP(IF(A23=0,0,IFERROR(VLOOKUP($A23,'[1]Donor''s Assigned Kilos'!A:N,10,0),0)),0)</f>
        <v>0</v>
      </c>
      <c r="AT23" s="18">
        <f>IF(A23=0,0,IFERROR(SUMIFS([1]Population!T:T,[1]Population!J:J,'MASTER-2025'!A23),0))</f>
        <v>0</v>
      </c>
      <c r="AU23" s="19">
        <f>IFERROR(VLOOKUP($A23,'[1]Donor-Served OBs'!A:N,13,0),0)</f>
        <v>0</v>
      </c>
      <c r="AV23" s="19">
        <f>ROUNDUP(IF(A23=0,0,IFERROR(VLOOKUP($A23,'[1]Donor''s Assigned Kilos'!A:N,14,0),0)),0)</f>
        <v>0</v>
      </c>
      <c r="AW23" s="19">
        <f>IF(A23=0,0,IFERROR(SUMIFS([1]Population!X:X,[1]Population!J:J,'MASTER-2025'!A23),0))</f>
        <v>0</v>
      </c>
      <c r="AX23" s="20">
        <f>IFERROR(VLOOKUP($A23,'[1]Donor-Served OBs'!A:N,16,0),0)</f>
        <v>0</v>
      </c>
      <c r="AY23" s="20">
        <f>ROUNDUP(IF(A23=0,0,IFERROR(VLOOKUP($A23,'[1]Donor''s Assigned Kilos'!A:O,16,0),0)),0)</f>
        <v>0</v>
      </c>
      <c r="AZ23" s="20">
        <f>IF(A23=0,0,IFERROR(SUMIFS([1]Population!Y:Y,[1]Population!J:J,'MASTER-2025'!A23),0))</f>
        <v>0</v>
      </c>
      <c r="BA23" s="21">
        <f t="shared" si="15"/>
        <v>19</v>
      </c>
      <c r="BB23" s="21">
        <f t="shared" si="23"/>
        <v>130</v>
      </c>
      <c r="BC23" s="21">
        <f t="shared" si="24"/>
        <v>110</v>
      </c>
      <c r="BD23" s="21">
        <f t="shared" si="17"/>
        <v>0</v>
      </c>
      <c r="BE23" s="22" t="e">
        <f>IF(A23=0,0,SUMIFS([1]Population!C:C,[1]Population!A:A,'MASTER-2025'!A23))</f>
        <v>#VALUE!</v>
      </c>
      <c r="BF23" s="22" t="e">
        <f>IF(A23=0,0,SUMIFS([1]Population!D:D,[1]Population!A:A,'MASTER-2025'!A23))</f>
        <v>#VALUE!</v>
      </c>
      <c r="BG23" s="22" t="e">
        <f>IF(A23=0,0,SUMIFS([1]Population!E:E,[1]Population!A:A,'MASTER-2025'!A23))</f>
        <v>#VALUE!</v>
      </c>
      <c r="BH23" s="22" t="e">
        <f>IF(A23=0,0,SUMIFS([1]Population!F:F,[1]Population!A:A,'MASTER-2025'!A23))</f>
        <v>#VALUE!</v>
      </c>
      <c r="BI23" s="22" t="e">
        <f t="shared" si="18"/>
        <v>#VALUE!</v>
      </c>
      <c r="BJ23" s="23" t="e">
        <f t="shared" si="6"/>
        <v>#VALUE!</v>
      </c>
      <c r="BK23" s="22" t="e">
        <f>IF(A23=0,0,SUMIFS([1]Population!G:G,[1]Population!A:A,'MASTER-2025'!A23))</f>
        <v>#VALUE!</v>
      </c>
      <c r="BL23" s="24" cm="1">
        <f t="array" ref="BL23:BW23">IFERROR(VLOOKUP(A23,'[1]Now-OB-kg-POB-25'!A:AQ,{3,4,5,6,7,8,9,10,11,12,13,14},0),0)</f>
        <v>17</v>
      </c>
      <c r="BM23" s="24">
        <v>36</v>
      </c>
      <c r="BN23" s="24">
        <v>19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4">
        <v>0</v>
      </c>
      <c r="BV23" s="24">
        <v>0</v>
      </c>
      <c r="BW23" s="24">
        <v>0</v>
      </c>
      <c r="BX23" s="24">
        <f t="shared" si="7"/>
        <v>72</v>
      </c>
      <c r="BY23" s="25" cm="1">
        <f t="array" ref="BY23:CJ23">IFERROR(VLOOKUP(A23,'[1]Now-OB-kg-POB-25'!A:AQ,{17,18,19,20,21,22,23,24,25,26,27,28},0),0)</f>
        <v>141</v>
      </c>
      <c r="BZ23" s="25">
        <v>500</v>
      </c>
      <c r="CA23" s="25">
        <v>0</v>
      </c>
      <c r="CB23" s="25">
        <v>0</v>
      </c>
      <c r="CC23" s="25">
        <v>0</v>
      </c>
      <c r="CD23" s="25">
        <v>0</v>
      </c>
      <c r="CE23" s="25">
        <v>0</v>
      </c>
      <c r="CF23" s="25">
        <v>0</v>
      </c>
      <c r="CG23" s="25">
        <v>0</v>
      </c>
      <c r="CH23" s="25">
        <v>0</v>
      </c>
      <c r="CI23" s="25">
        <v>0</v>
      </c>
      <c r="CJ23" s="25">
        <v>0</v>
      </c>
      <c r="CK23" s="25">
        <f t="shared" si="8"/>
        <v>641</v>
      </c>
      <c r="CL23" s="26" cm="1">
        <f t="array" ref="CL23:CW23">IFERROR(VLOOKUP(A23,'[1]Now-OB-kg-POB-25'!A:AQ,{31,32,33,34,35,36,37,38,39,40,41,42},0),0)</f>
        <v>5006</v>
      </c>
      <c r="CM23" s="26">
        <v>13004</v>
      </c>
      <c r="CN23" s="26">
        <v>2793</v>
      </c>
      <c r="CO23" s="26">
        <v>0</v>
      </c>
      <c r="CP23" s="26">
        <v>0</v>
      </c>
      <c r="CQ23" s="26">
        <v>0</v>
      </c>
      <c r="CR23" s="26">
        <v>0</v>
      </c>
      <c r="CS23" s="26">
        <v>0</v>
      </c>
      <c r="CT23" s="26">
        <v>0</v>
      </c>
      <c r="CU23" s="26">
        <v>0</v>
      </c>
      <c r="CV23" s="26">
        <v>0</v>
      </c>
      <c r="CW23" s="26">
        <v>0</v>
      </c>
      <c r="CX23" s="26">
        <f t="shared" si="9"/>
        <v>20803</v>
      </c>
      <c r="CY23" s="14" t="str">
        <f>IF(A23=0,0,IFERROR(VLOOKUP(A23,'[1]Info Donantes'!C:F,2,0),"Sin Contacto"))</f>
        <v>Sheila Samaniego</v>
      </c>
      <c r="CZ23" s="14" t="str">
        <f>IF(A23=0,0,IFERROR(VLOOKUP(A23,'[1]Info Donantes'!C:F,3,0),"Sin Correo"))</f>
        <v>sheila.samaniego@pffsa.com</v>
      </c>
      <c r="DA23" s="14" t="str">
        <f>IF(A23=0,0,IFERROR(VLOOKUP(A23,'[1]Info Donantes'!C:F,4,0),"Sin Telefono"))</f>
        <v>222-2555</v>
      </c>
      <c r="DB23" s="14" t="s">
        <v>149</v>
      </c>
    </row>
    <row r="24" spans="1:106" x14ac:dyDescent="0.55000000000000004">
      <c r="A24" s="14" t="s">
        <v>150</v>
      </c>
      <c r="B24" s="15">
        <f>INT(IFERROR(VLOOKUP(A24,'[1]Donor Summary'!C:F,3,0),0))</f>
        <v>597</v>
      </c>
      <c r="C24" s="15">
        <f>INT(ROUND(IFERROR(VLOOKUP(A24,'[1]Donor Summary'!C:F,4,0),0),1))</f>
        <v>6631</v>
      </c>
      <c r="D24" s="16">
        <f t="shared" si="19"/>
        <v>6034</v>
      </c>
      <c r="E24" s="17" t="str">
        <f t="shared" si="20"/>
        <v>91.00%</v>
      </c>
      <c r="F24" s="17" t="str">
        <f t="shared" si="21"/>
        <v>9.0%</v>
      </c>
      <c r="G24" s="15">
        <f t="shared" si="22"/>
        <v>18102</v>
      </c>
      <c r="H24" s="18"/>
      <c r="I24" s="18">
        <f>IFERROR(VLOOKUP(A24,'[1]Lot All by Part'!T:Y,6,0),0)</f>
        <v>0</v>
      </c>
      <c r="J24" s="18"/>
      <c r="K24" s="19">
        <f>IFERROR(VLOOKUP($A24,'[1]Donor-Served OBs'!A:N,3,0),0)</f>
        <v>18</v>
      </c>
      <c r="L24" s="19">
        <f>ROUNDUP(IF(A24=0,0,IFERROR(VLOOKUP($A24,'[1]Donor''s Assigned Kilos'!A:O,3,0),0)),0)</f>
        <v>1044</v>
      </c>
      <c r="M24" s="19">
        <f>IF(A24=0,0,IFERROR(SUMIFS([1]Population!M:M,[1]Population!J:J,'MASTER-2025'!A24),0))</f>
        <v>0</v>
      </c>
      <c r="N24" s="20">
        <f>IFERROR(VLOOKUP($A24,'[1]Donor-Served OBs'!A:N,4,0),0)</f>
        <v>35</v>
      </c>
      <c r="O24" s="20">
        <f>ROUNDUP(IF(A24=0,0,IFERROR(VLOOKUP($A24,'[1]Donor''s Assigned Kilos'!A:O,4,0),0)),0)</f>
        <v>2150</v>
      </c>
      <c r="P24" s="20">
        <f>IF(A24=0,0,IFERROR(SUMIFS([1]Population!N:N,[1]Population!J:J,'MASTER-2025'!A24),0))</f>
        <v>0</v>
      </c>
      <c r="Q24" s="18">
        <f>IFERROR(VLOOKUP($A24,'[1]Donor-Served OBs'!A:N,2,0),0)</f>
        <v>8</v>
      </c>
      <c r="R24" s="18">
        <f>ROUNDUP(ROUND(IF(A24=0,0,IFERROR(VLOOKUP($A24,'[1]Donor''s Assigned Kilos'!A:O,9,0),0)),1),0)</f>
        <v>150</v>
      </c>
      <c r="S24" s="18">
        <f>IF(A24=0,0,IFERROR(SUMIFS([1]Population!S:S,[1]Population!J:J,'MASTER-2025'!A24),0))</f>
        <v>0</v>
      </c>
      <c r="T24" s="19">
        <f>IFERROR(VLOOKUP($A24,'[1]Donor-Served OBs'!A:N,12,0),0)</f>
        <v>4</v>
      </c>
      <c r="U24" s="19">
        <f>ROUNDUP(IF(A24=0,0,IF(A24=0,0,IFERROR(VLOOKUP($A24,'[1]Donor''s Assigned Kilos'!A:O,7,0),0))),0)</f>
        <v>79</v>
      </c>
      <c r="V24" s="19">
        <f>IF(A24=0,0,IFERROR(SUMIFS([1]Population!Q:Q,[1]Population!J:J,'MASTER-2025'!A24),0))</f>
        <v>0</v>
      </c>
      <c r="W24" s="20">
        <f>IFERROR(VLOOKUP($A24,'[1]Donor-Served OBs'!A:N,10,0),0)</f>
        <v>16</v>
      </c>
      <c r="X24" s="20">
        <f>ROUNDUP(IF(A24=0,0,IFERROR(VLOOKUP($A24,'[1]Donor''s Assigned Kilos'!A:N,5,0),0)),0)</f>
        <v>731</v>
      </c>
      <c r="Y24" s="20">
        <f>IF(A24=0,0,IFERROR(SUMIFS([1]Population!O:O,[1]Population!J:J,'MASTER-2025'!A24),0))</f>
        <v>0</v>
      </c>
      <c r="Z24" s="18">
        <f>IFERROR(VLOOKUP($A24,'[1]Donor-Served OBs'!A:N,6,0),0)</f>
        <v>3</v>
      </c>
      <c r="AA24" s="18">
        <f>ROUNDUP(IF(A24=0,0,IFERROR(VLOOKUP($A24,'[1]Donor''s Assigned Kilos'!A:N,11,0),0)),0)</f>
        <v>163</v>
      </c>
      <c r="AB24" s="18">
        <f>IF(A24=0,0,IFERROR(SUMIFS([1]Population!U:U,[1]Population!J:J,'MASTER-2025'!A24),0))</f>
        <v>0</v>
      </c>
      <c r="AC24" s="19">
        <f>IFERROR(VLOOKUP($A24,'[1]Donor-Served OBs'!A:N,7,0),0)</f>
        <v>4</v>
      </c>
      <c r="AD24" s="19">
        <f>ROUNDUP(IF(A24=0,0,IFERROR(VLOOKUP($A24,'[1]Donor''s Assigned Kilos'!A:N,8,0),0)),0)</f>
        <v>492</v>
      </c>
      <c r="AE24" s="19">
        <f>IF(A24=0,0,IFERROR(SUMIFS([1]Population!R:R,[1]Population!J:J,'MASTER-2025'!A24),0))</f>
        <v>0</v>
      </c>
      <c r="AF24" s="20">
        <f>IFERROR(VLOOKUP($A24,'[1]Donor-Served OBs'!A:N,8,0),0)</f>
        <v>2</v>
      </c>
      <c r="AG24" s="20">
        <f>ROUNDUP(IF(A24=0,0,IFERROR(VLOOKUP($A24,'[1]Donor''s Assigned Kilos'!A:N,6,0),0)),0)</f>
        <v>16</v>
      </c>
      <c r="AH24" s="20">
        <f>IF(A24=0,0,IFERROR(SUMIFS([1]Population!P:P,[1]Population!J:J,'MASTER-2025'!A24),0))</f>
        <v>0</v>
      </c>
      <c r="AI24" s="18">
        <f>IFERROR(VLOOKUP($A24,'[1]Donor-Served OBs'!A:N,9,0),0)</f>
        <v>3</v>
      </c>
      <c r="AJ24" s="18">
        <f>ROUNDUP(IF(A24=0,0,IFERROR(VLOOKUP($A24,'[1]Donor''s Assigned Kilos'!A:N,12,0),0)),0)</f>
        <v>192</v>
      </c>
      <c r="AK24" s="18">
        <f>IF(A24=0,0,IFERROR(SUMIFS([1]Population!V:V,[1]Population!J:J,'MASTER-2025'!A24),0))</f>
        <v>0</v>
      </c>
      <c r="AL24" s="19">
        <f>IFERROR(VLOOKUP($A24,'[1]Donor-Served OBs'!A:N,16,0),0)</f>
        <v>0</v>
      </c>
      <c r="AM24" s="19">
        <f>ROUNDUP(IF(A24=0,0,IFERROR(VLOOKUP($A24,'[1]Donor''s Assigned Kilos'!A:O,16,0),0)),0)</f>
        <v>0</v>
      </c>
      <c r="AN24" s="19">
        <f>IF(A24=0,0,IFERROR(SUMIFS([1]Population!Z:Z,[1]Population!J:J,'MASTER-2025'!A24),0))</f>
        <v>0</v>
      </c>
      <c r="AO24" s="20">
        <f>IFERROR(VLOOKUP($A24,'[1]Donor-Served OBs'!A:N,11,0),0)</f>
        <v>3</v>
      </c>
      <c r="AP24" s="20">
        <f>ROUNDUP(IF(A24=0,0,IFERROR(VLOOKUP($A24,'[1]Donor''s Assigned Kilos'!A:N,13,0),0)),0)</f>
        <v>135</v>
      </c>
      <c r="AQ24" s="20">
        <f>IF(A24=0,0,IFERROR(SUMIFS([1]Population!W:W,[1]Population!J:J,'MASTER-2025'!A24),0))</f>
        <v>0</v>
      </c>
      <c r="AR24" s="18">
        <f>IFERROR(VLOOKUP($A24,'[1]Donor-Served OBs'!A:N,5,0),0)</f>
        <v>9</v>
      </c>
      <c r="AS24" s="18">
        <f>ROUNDUP(IF(A24=0,0,IFERROR(VLOOKUP($A24,'[1]Donor''s Assigned Kilos'!A:N,10,0),0)),0)</f>
        <v>265</v>
      </c>
      <c r="AT24" s="18">
        <f>IF(A24=0,0,IFERROR(SUMIFS([1]Population!T:T,[1]Population!J:J,'MASTER-2025'!A24),0))</f>
        <v>0</v>
      </c>
      <c r="AU24" s="19">
        <f>IFERROR(VLOOKUP($A24,'[1]Donor-Served OBs'!A:N,13,0),0)</f>
        <v>0</v>
      </c>
      <c r="AV24" s="19">
        <f>ROUNDUP(IF(A24=0,0,IFERROR(VLOOKUP($A24,'[1]Donor''s Assigned Kilos'!A:N,14,0),0)),0)</f>
        <v>0</v>
      </c>
      <c r="AW24" s="19">
        <f>IF(A24=0,0,IFERROR(SUMIFS([1]Population!X:X,[1]Population!J:J,'MASTER-2025'!A24),0))</f>
        <v>0</v>
      </c>
      <c r="AX24" s="20">
        <f>IFERROR(VLOOKUP($A24,'[1]Donor-Served OBs'!A:N,16,0),0)</f>
        <v>0</v>
      </c>
      <c r="AY24" s="20">
        <f>ROUNDUP(IF(A24=0,0,IFERROR(VLOOKUP($A24,'[1]Donor''s Assigned Kilos'!A:O,16,0),0)),0)</f>
        <v>0</v>
      </c>
      <c r="AZ24" s="20">
        <f>IF(A24=0,0,IFERROR(SUMIFS([1]Population!Y:Y,[1]Population!J:J,'MASTER-2025'!A24),0))</f>
        <v>0</v>
      </c>
      <c r="BA24" s="21">
        <f t="shared" si="15"/>
        <v>105</v>
      </c>
      <c r="BB24" s="21">
        <f t="shared" si="23"/>
        <v>5417</v>
      </c>
      <c r="BC24" s="21">
        <f t="shared" si="24"/>
        <v>3423</v>
      </c>
      <c r="BD24" s="21">
        <f t="shared" si="17"/>
        <v>0</v>
      </c>
      <c r="BE24" s="22" t="e">
        <f>IF(A24=0,0,SUMIFS([1]Population!C:C,[1]Population!A:A,'MASTER-2025'!A24))</f>
        <v>#VALUE!</v>
      </c>
      <c r="BF24" s="22" t="e">
        <f>IF(A24=0,0,SUMIFS([1]Population!D:D,[1]Population!A:A,'MASTER-2025'!A24))</f>
        <v>#VALUE!</v>
      </c>
      <c r="BG24" s="22" t="e">
        <f>IF(A24=0,0,SUMIFS([1]Population!E:E,[1]Population!A:A,'MASTER-2025'!A24))</f>
        <v>#VALUE!</v>
      </c>
      <c r="BH24" s="22" t="e">
        <f>IF(A24=0,0,SUMIFS([1]Population!F:F,[1]Population!A:A,'MASTER-2025'!A24))</f>
        <v>#VALUE!</v>
      </c>
      <c r="BI24" s="22" t="e">
        <f t="shared" si="18"/>
        <v>#VALUE!</v>
      </c>
      <c r="BJ24" s="23" t="e">
        <f t="shared" si="6"/>
        <v>#VALUE!</v>
      </c>
      <c r="BK24" s="22" t="e">
        <f>IF(A24=0,0,SUMIFS([1]Population!G:G,[1]Population!A:A,'MASTER-2025'!A24))</f>
        <v>#VALUE!</v>
      </c>
      <c r="BL24" s="24" cm="1">
        <f t="array" ref="BL24:BW24">IFERROR(VLOOKUP(A24,'[1]Now-OB-kg-POB-25'!A:AQ,{3,4,5,6,7,8,9,10,11,12,13,14},0),0)</f>
        <v>83</v>
      </c>
      <c r="BM24" s="24">
        <v>96</v>
      </c>
      <c r="BN24" s="24">
        <v>105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>
        <v>0</v>
      </c>
      <c r="BV24" s="24">
        <v>0</v>
      </c>
      <c r="BW24" s="24">
        <v>0</v>
      </c>
      <c r="BX24" s="24">
        <f t="shared" si="7"/>
        <v>284</v>
      </c>
      <c r="BY24" s="25" cm="1">
        <f t="array" ref="BY24:CJ24">IFERROR(VLOOKUP(A24,'[1]Now-OB-kg-POB-25'!A:AQ,{17,18,19,20,21,22,23,24,25,26,27,28},0),0)</f>
        <v>7423</v>
      </c>
      <c r="BZ24" s="25">
        <v>6052</v>
      </c>
      <c r="CA24" s="25">
        <v>6631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f t="shared" si="8"/>
        <v>20106</v>
      </c>
      <c r="CL24" s="26" cm="1">
        <f t="array" ref="CL24:CW24">IFERROR(VLOOKUP(A24,'[1]Now-OB-kg-POB-25'!A:AQ,{31,32,33,34,35,36,37,38,39,40,41,42},0),0)</f>
        <v>27876</v>
      </c>
      <c r="CM24" s="26">
        <v>31318</v>
      </c>
      <c r="CN24" s="26">
        <v>25606</v>
      </c>
      <c r="CO24" s="26">
        <v>0</v>
      </c>
      <c r="CP24" s="26">
        <v>0</v>
      </c>
      <c r="CQ24" s="26">
        <v>0</v>
      </c>
      <c r="CR24" s="26">
        <v>0</v>
      </c>
      <c r="CS24" s="26">
        <v>0</v>
      </c>
      <c r="CT24" s="26">
        <v>0</v>
      </c>
      <c r="CU24" s="26">
        <v>0</v>
      </c>
      <c r="CV24" s="26">
        <v>0</v>
      </c>
      <c r="CW24" s="26">
        <v>0</v>
      </c>
      <c r="CX24" s="26">
        <f t="shared" si="9"/>
        <v>84800</v>
      </c>
      <c r="CY24" s="14" t="str">
        <f>IF(A24=0,0,IFERROR(VLOOKUP(A24,'[1]Info Donantes'!C:F,2,0),"Sin Contacto"))</f>
        <v>Marabeth Gonzalez</v>
      </c>
      <c r="CZ24" s="14" t="str">
        <f>IF(A24=0,0,IFERROR(VLOOKUP(A24,'[1]Info Donantes'!C:F,3,0),"Sin Correo"))</f>
        <v>jbarron@pricephilanthropies.org</v>
      </c>
      <c r="DA24" s="14" t="str">
        <f>IF(A24=0,0,IFERROR(VLOOKUP(A24,'[1]Info Donantes'!C:F,4,0),"Sin Telefono"))</f>
        <v>217-8100</v>
      </c>
      <c r="DB24" s="14" t="s">
        <v>151</v>
      </c>
    </row>
    <row r="25" spans="1:106" x14ac:dyDescent="0.55000000000000004">
      <c r="A25" s="14" t="s">
        <v>152</v>
      </c>
      <c r="B25" s="15">
        <f>INT(IFERROR(VLOOKUP(A25,'[1]Donor Summary'!C:F,3,0),0))</f>
        <v>0</v>
      </c>
      <c r="C25" s="15">
        <f>INT(ROUND(IFERROR(VLOOKUP(A25,'[1]Donor Summary'!C:F,4,0),0),1))</f>
        <v>144</v>
      </c>
      <c r="D25" s="16">
        <f t="shared" si="19"/>
        <v>144</v>
      </c>
      <c r="E25" s="17" t="str">
        <f t="shared" si="20"/>
        <v>100.00%</v>
      </c>
      <c r="F25" s="17" t="str">
        <f t="shared" si="21"/>
        <v>0.0%</v>
      </c>
      <c r="G25" s="15">
        <f>INT(D25*3)</f>
        <v>432</v>
      </c>
      <c r="H25" s="18"/>
      <c r="I25" s="18">
        <f>IFERROR(VLOOKUP(A25,'[1]Lot All by Part'!T:Y,6,0),0)</f>
        <v>0</v>
      </c>
      <c r="J25" s="18"/>
      <c r="K25" s="19">
        <f>IFERROR(VLOOKUP($A25,'[1]Donor-Served OBs'!A:N,3,0),0)</f>
        <v>0</v>
      </c>
      <c r="L25" s="19">
        <f>ROUNDUP(IF(A25=0,0,IFERROR(VLOOKUP($A25,'[1]Donor''s Assigned Kilos'!A:O,3,0),0)),0)</f>
        <v>0</v>
      </c>
      <c r="M25" s="19">
        <f>IF(A25=0,0,IFERROR(SUMIFS([1]Population!M:M,[1]Population!J:J,'MASTER-2025'!A25),0))</f>
        <v>0</v>
      </c>
      <c r="N25" s="20">
        <f>IFERROR(VLOOKUP($A25,'[1]Donor-Served OBs'!A:N,4,0),0)</f>
        <v>0</v>
      </c>
      <c r="O25" s="20">
        <f>ROUNDUP(IF(A25=0,0,IFERROR(VLOOKUP($A25,'[1]Donor''s Assigned Kilos'!A:O,4,0),0)),0)</f>
        <v>0</v>
      </c>
      <c r="P25" s="20">
        <f>IF(A25=0,0,IFERROR(SUMIFS([1]Population!N:N,[1]Population!J:J,'MASTER-2025'!A25),0))</f>
        <v>0</v>
      </c>
      <c r="Q25" s="18">
        <f>IFERROR(VLOOKUP($A25,'[1]Donor-Served OBs'!A:N,2,0),0)</f>
        <v>0</v>
      </c>
      <c r="R25" s="18">
        <f>ROUNDUP(ROUND(IF(A25=0,0,IFERROR(VLOOKUP($A25,'[1]Donor''s Assigned Kilos'!A:O,9,0),0)),1),0)</f>
        <v>0</v>
      </c>
      <c r="S25" s="18">
        <f>IF(A25=0,0,IFERROR(SUMIFS([1]Population!S:S,[1]Population!J:J,'MASTER-2025'!A25),0))</f>
        <v>0</v>
      </c>
      <c r="T25" s="19">
        <f>IFERROR(VLOOKUP($A25,'[1]Donor-Served OBs'!A:N,12,0),0)</f>
        <v>0</v>
      </c>
      <c r="U25" s="19">
        <f>ROUNDUP(IF(A25=0,0,IF(A25=0,0,IFERROR(VLOOKUP($A25,'[1]Donor''s Assigned Kilos'!A:O,7,0),0))),0)</f>
        <v>0</v>
      </c>
      <c r="V25" s="19">
        <f>IF(A25=0,0,IFERROR(SUMIFS([1]Population!Q:Q,[1]Population!J:J,'MASTER-2025'!A25),0))</f>
        <v>0</v>
      </c>
      <c r="W25" s="20">
        <f>IFERROR(VLOOKUP($A25,'[1]Donor-Served OBs'!A:N,10,0),0)</f>
        <v>0</v>
      </c>
      <c r="X25" s="20">
        <f>ROUNDUP(IF(A25=0,0,IFERROR(VLOOKUP($A25,'[1]Donor''s Assigned Kilos'!A:N,5,0),0)),0)</f>
        <v>0</v>
      </c>
      <c r="Y25" s="20">
        <f>IF(A25=0,0,IFERROR(SUMIFS([1]Population!O:O,[1]Population!J:J,'MASTER-2025'!A25),0))</f>
        <v>0</v>
      </c>
      <c r="Z25" s="18">
        <f>IFERROR(VLOOKUP($A25,'[1]Donor-Served OBs'!A:N,6,0),0)</f>
        <v>0</v>
      </c>
      <c r="AA25" s="18">
        <f>ROUNDUP(IF(A25=0,0,IFERROR(VLOOKUP($A25,'[1]Donor''s Assigned Kilos'!A:N,11,0),0)),0)</f>
        <v>0</v>
      </c>
      <c r="AB25" s="18">
        <f>IF(A25=0,0,IFERROR(SUMIFS([1]Population!U:U,[1]Population!J:J,'MASTER-2025'!A25),0))</f>
        <v>0</v>
      </c>
      <c r="AC25" s="19">
        <f>IFERROR(VLOOKUP($A25,'[1]Donor-Served OBs'!A:N,7,0),0)</f>
        <v>0</v>
      </c>
      <c r="AD25" s="19">
        <f>ROUNDUP(IF(A25=0,0,IFERROR(VLOOKUP($A25,'[1]Donor''s Assigned Kilos'!A:N,8,0),0)),0)</f>
        <v>0</v>
      </c>
      <c r="AE25" s="19">
        <f>IF(A25=0,0,IFERROR(SUMIFS([1]Population!R:R,[1]Population!J:J,'MASTER-2025'!A25),0))</f>
        <v>0</v>
      </c>
      <c r="AF25" s="20">
        <f>IFERROR(VLOOKUP($A25,'[1]Donor-Served OBs'!A:N,8,0),0)</f>
        <v>0</v>
      </c>
      <c r="AG25" s="20">
        <f>ROUNDUP(IF(A25=0,0,IFERROR(VLOOKUP($A25,'[1]Donor''s Assigned Kilos'!A:N,6,0),0)),0)</f>
        <v>0</v>
      </c>
      <c r="AH25" s="20">
        <f>IF(A25=0,0,IFERROR(SUMIFS([1]Population!P:P,[1]Population!J:J,'MASTER-2025'!A25),0))</f>
        <v>0</v>
      </c>
      <c r="AI25" s="18">
        <f>IFERROR(VLOOKUP($A25,'[1]Donor-Served OBs'!A:N,9,0),0)</f>
        <v>0</v>
      </c>
      <c r="AJ25" s="18">
        <f>ROUNDUP(IF(A25=0,0,IFERROR(VLOOKUP($A25,'[1]Donor''s Assigned Kilos'!A:N,12,0),0)),0)</f>
        <v>0</v>
      </c>
      <c r="AK25" s="18">
        <f>IF(A25=0,0,IFERROR(SUMIFS([1]Population!V:V,[1]Population!J:J,'MASTER-2025'!A25),0))</f>
        <v>0</v>
      </c>
      <c r="AL25" s="19">
        <f>IFERROR(VLOOKUP($A25,'[1]Donor-Served OBs'!A:N,16,0),0)</f>
        <v>0</v>
      </c>
      <c r="AM25" s="19">
        <f>ROUNDUP(IF(A25=0,0,IFERROR(VLOOKUP($A25,'[1]Donor''s Assigned Kilos'!A:O,16,0),0)),0)</f>
        <v>0</v>
      </c>
      <c r="AN25" s="19">
        <f>IF(A25=0,0,IFERROR(SUMIFS([1]Population!Z:Z,[1]Population!J:J,'MASTER-2025'!A25),0))</f>
        <v>0</v>
      </c>
      <c r="AO25" s="20">
        <f>IFERROR(VLOOKUP($A25,'[1]Donor-Served OBs'!A:N,11,0),0)</f>
        <v>0</v>
      </c>
      <c r="AP25" s="20">
        <f>ROUNDUP(IF(A25=0,0,IFERROR(VLOOKUP($A25,'[1]Donor''s Assigned Kilos'!A:N,13,0),0)),0)</f>
        <v>0</v>
      </c>
      <c r="AQ25" s="20">
        <f>IF(A25=0,0,IFERROR(SUMIFS([1]Population!W:W,[1]Population!J:J,'MASTER-2025'!A25),0))</f>
        <v>0</v>
      </c>
      <c r="AR25" s="18">
        <f>IFERROR(VLOOKUP($A25,'[1]Donor-Served OBs'!A:N,5,0),0)</f>
        <v>0</v>
      </c>
      <c r="AS25" s="18">
        <f>ROUNDUP(IF(A25=0,0,IFERROR(VLOOKUP($A25,'[1]Donor''s Assigned Kilos'!A:N,10,0),0)),0)</f>
        <v>0</v>
      </c>
      <c r="AT25" s="18">
        <f>IF(A25=0,0,IFERROR(SUMIFS([1]Population!T:T,[1]Population!J:J,'MASTER-2025'!A25),0))</f>
        <v>0</v>
      </c>
      <c r="AU25" s="19">
        <f>IFERROR(VLOOKUP($A25,'[1]Donor-Served OBs'!A:N,13,0),0)</f>
        <v>0</v>
      </c>
      <c r="AV25" s="19">
        <f>ROUNDUP(IF(A25=0,0,IFERROR(VLOOKUP($A25,'[1]Donor''s Assigned Kilos'!A:N,14,0),0)),0)</f>
        <v>0</v>
      </c>
      <c r="AW25" s="19">
        <f>IF(A25=0,0,IFERROR(SUMIFS([1]Population!X:X,[1]Population!J:J,'MASTER-2025'!A25),0))</f>
        <v>0</v>
      </c>
      <c r="AX25" s="20">
        <f>IFERROR(VLOOKUP($A25,'[1]Donor-Served OBs'!A:N,16,0),0)</f>
        <v>0</v>
      </c>
      <c r="AY25" s="20">
        <f>ROUNDUP(IF(A25=0,0,IFERROR(VLOOKUP($A25,'[1]Donor''s Assigned Kilos'!A:O,16,0),0)),0)</f>
        <v>0</v>
      </c>
      <c r="AZ25" s="20">
        <f>IF(A25=0,0,IFERROR(SUMIFS([1]Population!Y:Y,[1]Population!J:J,'MASTER-2025'!A25),0))</f>
        <v>0</v>
      </c>
      <c r="BA25" s="21">
        <f t="shared" si="15"/>
        <v>0</v>
      </c>
      <c r="BB25" s="21">
        <f t="shared" si="23"/>
        <v>0</v>
      </c>
      <c r="BC25" s="21">
        <f t="shared" si="24"/>
        <v>0</v>
      </c>
      <c r="BD25" s="21">
        <f>IF(A25=0,0,(+J25+M25+P25+S25+V25+Y25+AB25+AE25+AH25+AK25+AN25+AQ25+AT25+AW25+AZ25))</f>
        <v>0</v>
      </c>
      <c r="BE25" s="22" t="e">
        <f>IF(A25=0,0,SUMIFS([1]Population!C:C,[1]Population!A:A,'MASTER-2025'!A25))</f>
        <v>#VALUE!</v>
      </c>
      <c r="BF25" s="22" t="e">
        <f>IF(A25=0,0,SUMIFS([1]Population!D:D,[1]Population!A:A,'MASTER-2025'!A25))</f>
        <v>#VALUE!</v>
      </c>
      <c r="BG25" s="22" t="e">
        <f>IF(A25=0,0,SUMIFS([1]Population!E:E,[1]Population!A:A,'MASTER-2025'!A25))</f>
        <v>#VALUE!</v>
      </c>
      <c r="BH25" s="22" t="e">
        <f>IF(A25=0,0,SUMIFS([1]Population!F:F,[1]Population!A:A,'MASTER-2025'!A25))</f>
        <v>#VALUE!</v>
      </c>
      <c r="BI25" s="22" t="e">
        <f t="shared" si="18"/>
        <v>#VALUE!</v>
      </c>
      <c r="BJ25" s="23" t="e">
        <f t="shared" si="6"/>
        <v>#VALUE!</v>
      </c>
      <c r="BK25" s="22" t="e">
        <f>IF(A25=0,0,SUMIFS([1]Population!G:G,[1]Population!A:A,'MASTER-2025'!A25))</f>
        <v>#VALUE!</v>
      </c>
      <c r="BL25" s="24" cm="1">
        <f t="array" ref="BL25:BW25">IFERROR(VLOOKUP(A25,'[1]Now-OB-kg-POB-25'!A:AQ,{3,4,5,6,7,8,9,10,11,12,13,14},0),0)</f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BX25" s="24">
        <f t="shared" si="7"/>
        <v>0</v>
      </c>
      <c r="BY25" s="25" cm="1">
        <f t="array" ref="BY25:CJ25">IFERROR(VLOOKUP(A25,'[1]Now-OB-kg-POB-25'!A:AQ,{17,18,19,20,21,22,23,24,25,26,27,28},0),0)</f>
        <v>0</v>
      </c>
      <c r="BZ25" s="25">
        <v>0</v>
      </c>
      <c r="CA25" s="25">
        <v>144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f t="shared" si="8"/>
        <v>144</v>
      </c>
      <c r="CL25" s="26" cm="1">
        <f t="array" ref="CL25:CW25">IFERROR(VLOOKUP(A25,'[1]Now-OB-kg-POB-25'!A:AQ,{31,32,33,34,35,36,37,38,39,40,41,42},0),0)</f>
        <v>0</v>
      </c>
      <c r="CM25" s="26">
        <v>0</v>
      </c>
      <c r="CN25" s="26">
        <v>0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0</v>
      </c>
      <c r="CU25" s="26">
        <v>0</v>
      </c>
      <c r="CV25" s="26">
        <v>0</v>
      </c>
      <c r="CW25" s="26">
        <v>0</v>
      </c>
      <c r="CX25" s="26">
        <f t="shared" si="9"/>
        <v>0</v>
      </c>
      <c r="CY25" s="14" t="str">
        <f>IF(A25=0,0,IFERROR(VLOOKUP(A25,'[1]Info Donantes'!C:F,2,0),"Sin Contacto"))</f>
        <v>Melissa Fernández</v>
      </c>
      <c r="CZ25" s="14" t="str">
        <f>IF(A25=0,0,IFERROR(VLOOKUP(A25,'[1]Info Donantes'!C:F,3,0),"Sin Correo"))</f>
        <v>mmfernandez@lynns.com.pa</v>
      </c>
      <c r="DA25" s="14" t="str">
        <f>IF(A25=0,0,IFERROR(VLOOKUP(A25,'[1]Info Donantes'!C:F,4,0),"Sin Telefono"))</f>
        <v>6671-5091</v>
      </c>
      <c r="DB25" s="14" t="s">
        <v>153</v>
      </c>
    </row>
    <row r="26" spans="1:106" x14ac:dyDescent="0.55000000000000004">
      <c r="A26" s="14" t="s">
        <v>154</v>
      </c>
      <c r="B26" s="15">
        <f>INT(IFERROR(VLOOKUP(A26,'[1]Donor Summary'!C:F,3,0),0))</f>
        <v>0</v>
      </c>
      <c r="C26" s="15">
        <f>INT(ROUND(IFERROR(VLOOKUP(A26,'[1]Donor Summary'!C:F,4,0),0),1))</f>
        <v>0</v>
      </c>
      <c r="D26" s="16">
        <f t="shared" si="19"/>
        <v>0</v>
      </c>
      <c r="E26" s="17" t="str">
        <f t="shared" si="20"/>
        <v>0.00%</v>
      </c>
      <c r="F26" s="17" t="str">
        <f t="shared" si="21"/>
        <v>0.0%</v>
      </c>
      <c r="G26" s="15">
        <f t="shared" ref="G26:G89" si="25">INT(D26*3)</f>
        <v>0</v>
      </c>
      <c r="H26" s="18"/>
      <c r="I26" s="18">
        <f>IFERROR(VLOOKUP(A26,'[1]Lot All by Part'!T:Y,6,0),0)</f>
        <v>0</v>
      </c>
      <c r="J26" s="18"/>
      <c r="K26" s="19">
        <f>IFERROR(VLOOKUP($A26,'[1]Donor-Served OBs'!A:N,3,0),0)</f>
        <v>0</v>
      </c>
      <c r="L26" s="19">
        <f>ROUNDUP(IF(A26=0,0,IFERROR(VLOOKUP($A26,'[1]Donor''s Assigned Kilos'!A:O,3,0),0)),0)</f>
        <v>0</v>
      </c>
      <c r="M26" s="19">
        <f>IF(A26=0,0,IFERROR(SUMIFS([1]Population!M:M,[1]Population!J:J,'MASTER-2025'!A26),0))</f>
        <v>0</v>
      </c>
      <c r="N26" s="20">
        <f>IFERROR(VLOOKUP($A26,'[1]Donor-Served OBs'!A:N,4,0),0)</f>
        <v>0</v>
      </c>
      <c r="O26" s="20">
        <f>ROUNDUP(IF(A26=0,0,IFERROR(VLOOKUP($A26,'[1]Donor''s Assigned Kilos'!A:O,4,0),0)),0)</f>
        <v>0</v>
      </c>
      <c r="P26" s="20">
        <f>IF(A26=0,0,IFERROR(SUMIFS([1]Population!N:N,[1]Population!J:J,'MASTER-2025'!A26),0))</f>
        <v>0</v>
      </c>
      <c r="Q26" s="18">
        <f>IFERROR(VLOOKUP($A26,'[1]Donor-Served OBs'!A:N,2,0),0)</f>
        <v>0</v>
      </c>
      <c r="R26" s="18">
        <f>ROUNDUP(ROUND(IF(A26=0,0,IFERROR(VLOOKUP($A26,'[1]Donor''s Assigned Kilos'!A:O,9,0),0)),1),0)</f>
        <v>0</v>
      </c>
      <c r="S26" s="18">
        <f>IF(A26=0,0,IFERROR(SUMIFS([1]Population!S:S,[1]Population!J:J,'MASTER-2025'!A26),0))</f>
        <v>0</v>
      </c>
      <c r="T26" s="19">
        <f>IFERROR(VLOOKUP($A26,'[1]Donor-Served OBs'!A:N,12,0),0)</f>
        <v>0</v>
      </c>
      <c r="U26" s="19">
        <f>ROUNDUP(IF(A26=0,0,IF(A26=0,0,IFERROR(VLOOKUP($A26,'[1]Donor''s Assigned Kilos'!A:O,7,0),0))),0)</f>
        <v>0</v>
      </c>
      <c r="V26" s="19">
        <f>IF(A26=0,0,IFERROR(SUMIFS([1]Population!Q:Q,[1]Population!J:J,'MASTER-2025'!A26),0))</f>
        <v>0</v>
      </c>
      <c r="W26" s="20">
        <f>IFERROR(VLOOKUP($A26,'[1]Donor-Served OBs'!A:N,10,0),0)</f>
        <v>0</v>
      </c>
      <c r="X26" s="20">
        <f>ROUNDUP(IF(A26=0,0,IFERROR(VLOOKUP($A26,'[1]Donor''s Assigned Kilos'!A:N,5,0),0)),0)</f>
        <v>0</v>
      </c>
      <c r="Y26" s="20">
        <f>IF(A26=0,0,IFERROR(SUMIFS([1]Population!O:O,[1]Population!J:J,'MASTER-2025'!A26),0))</f>
        <v>0</v>
      </c>
      <c r="Z26" s="18">
        <f>IFERROR(VLOOKUP($A26,'[1]Donor-Served OBs'!A:N,6,0),0)</f>
        <v>0</v>
      </c>
      <c r="AA26" s="18">
        <f>ROUNDUP(IF(A26=0,0,IFERROR(VLOOKUP($A26,'[1]Donor''s Assigned Kilos'!A:N,11,0),0)),0)</f>
        <v>0</v>
      </c>
      <c r="AB26" s="18">
        <f>IF(A26=0,0,IFERROR(SUMIFS([1]Population!U:U,[1]Population!J:J,'MASTER-2025'!A26),0))</f>
        <v>0</v>
      </c>
      <c r="AC26" s="19">
        <f>IFERROR(VLOOKUP($A26,'[1]Donor-Served OBs'!A:N,7,0),0)</f>
        <v>0</v>
      </c>
      <c r="AD26" s="19">
        <f>ROUNDUP(IF(A26=0,0,IFERROR(VLOOKUP($A26,'[1]Donor''s Assigned Kilos'!A:N,8,0),0)),0)</f>
        <v>0</v>
      </c>
      <c r="AE26" s="19">
        <f>IF(A26=0,0,IFERROR(SUMIFS([1]Population!R:R,[1]Population!J:J,'MASTER-2025'!A26),0))</f>
        <v>0</v>
      </c>
      <c r="AF26" s="20">
        <f>IFERROR(VLOOKUP($A26,'[1]Donor-Served OBs'!A:N,8,0),0)</f>
        <v>0</v>
      </c>
      <c r="AG26" s="20">
        <f>ROUNDUP(IF(A26=0,0,IFERROR(VLOOKUP($A26,'[1]Donor''s Assigned Kilos'!A:N,6,0),0)),0)</f>
        <v>0</v>
      </c>
      <c r="AH26" s="20">
        <f>IF(A26=0,0,IFERROR(SUMIFS([1]Population!P:P,[1]Population!J:J,'MASTER-2025'!A26),0))</f>
        <v>0</v>
      </c>
      <c r="AI26" s="18">
        <f>IFERROR(VLOOKUP($A26,'[1]Donor-Served OBs'!A:N,9,0),0)</f>
        <v>0</v>
      </c>
      <c r="AJ26" s="18">
        <f>ROUNDUP(IF(A26=0,0,IFERROR(VLOOKUP($A26,'[1]Donor''s Assigned Kilos'!A:N,12,0),0)),0)</f>
        <v>0</v>
      </c>
      <c r="AK26" s="18">
        <f>IF(A26=0,0,IFERROR(SUMIFS([1]Population!V:V,[1]Population!J:J,'MASTER-2025'!A26),0))</f>
        <v>0</v>
      </c>
      <c r="AL26" s="19">
        <f>IFERROR(VLOOKUP($A26,'[1]Donor-Served OBs'!A:N,16,0),0)</f>
        <v>0</v>
      </c>
      <c r="AM26" s="19">
        <f>ROUNDUP(IF(A26=0,0,IFERROR(VLOOKUP($A26,'[1]Donor''s Assigned Kilos'!A:O,16,0),0)),0)</f>
        <v>0</v>
      </c>
      <c r="AN26" s="19">
        <f>IF(A26=0,0,IFERROR(SUMIFS([1]Population!Z:Z,[1]Population!J:J,'MASTER-2025'!A26),0))</f>
        <v>0</v>
      </c>
      <c r="AO26" s="20">
        <f>IFERROR(VLOOKUP($A26,'[1]Donor-Served OBs'!A:N,11,0),0)</f>
        <v>0</v>
      </c>
      <c r="AP26" s="20">
        <f>ROUNDUP(IF(A26=0,0,IFERROR(VLOOKUP($A26,'[1]Donor''s Assigned Kilos'!A:N,13,0),0)),0)</f>
        <v>0</v>
      </c>
      <c r="AQ26" s="20">
        <f>IF(A26=0,0,IFERROR(SUMIFS([1]Population!W:W,[1]Population!J:J,'MASTER-2025'!A26),0))</f>
        <v>0</v>
      </c>
      <c r="AR26" s="18">
        <f>IFERROR(VLOOKUP($A26,'[1]Donor-Served OBs'!A:N,5,0),0)</f>
        <v>0</v>
      </c>
      <c r="AS26" s="18">
        <f>ROUNDUP(IF(A26=0,0,IFERROR(VLOOKUP($A26,'[1]Donor''s Assigned Kilos'!A:N,10,0),0)),0)</f>
        <v>0</v>
      </c>
      <c r="AT26" s="18">
        <f>IF(A26=0,0,IFERROR(SUMIFS([1]Population!T:T,[1]Population!J:J,'MASTER-2025'!A26),0))</f>
        <v>0</v>
      </c>
      <c r="AU26" s="19">
        <f>IFERROR(VLOOKUP($A26,'[1]Donor-Served OBs'!A:N,13,0),0)</f>
        <v>0</v>
      </c>
      <c r="AV26" s="19">
        <f>ROUNDUP(IF(A26=0,0,IFERROR(VLOOKUP($A26,'[1]Donor''s Assigned Kilos'!A:N,14,0),0)),0)</f>
        <v>0</v>
      </c>
      <c r="AW26" s="19">
        <f>IF(A26=0,0,IFERROR(SUMIFS([1]Population!X:X,[1]Population!J:J,'MASTER-2025'!A26),0))</f>
        <v>0</v>
      </c>
      <c r="AX26" s="20">
        <f>IFERROR(VLOOKUP($A26,'[1]Donor-Served OBs'!A:N,16,0),0)</f>
        <v>0</v>
      </c>
      <c r="AY26" s="20">
        <f>ROUNDUP(IF(A26=0,0,IFERROR(VLOOKUP($A26,'[1]Donor''s Assigned Kilos'!A:O,16,0),0)),0)</f>
        <v>0</v>
      </c>
      <c r="AZ26" s="20">
        <f>IF(A26=0,0,IFERROR(SUMIFS([1]Population!Y:Y,[1]Population!J:J,'MASTER-2025'!A26),0))</f>
        <v>0</v>
      </c>
      <c r="BA26" s="21">
        <f t="shared" si="15"/>
        <v>0</v>
      </c>
      <c r="BB26" s="21">
        <f t="shared" si="23"/>
        <v>0</v>
      </c>
      <c r="BC26" s="21">
        <f t="shared" si="24"/>
        <v>0</v>
      </c>
      <c r="BD26" s="21">
        <f t="shared" ref="BD26:BD89" si="26">IF(A26=0,0,(+J26+M26+P26+S26+V26+Y26+AB26+AE26+AH26+AK26+AN26+AQ26+AT26+AW26+AZ26))</f>
        <v>0</v>
      </c>
      <c r="BE26" s="22" t="e">
        <f>IF(A26=0,0,SUMIFS([1]Population!C:C,[1]Population!A:A,'MASTER-2025'!A26))</f>
        <v>#VALUE!</v>
      </c>
      <c r="BF26" s="22" t="e">
        <f>IF(A26=0,0,SUMIFS([1]Population!D:D,[1]Population!A:A,'MASTER-2025'!A26))</f>
        <v>#VALUE!</v>
      </c>
      <c r="BG26" s="22" t="e">
        <f>IF(A26=0,0,SUMIFS([1]Population!E:E,[1]Population!A:A,'MASTER-2025'!A26))</f>
        <v>#VALUE!</v>
      </c>
      <c r="BH26" s="22" t="e">
        <f>IF(A26=0,0,SUMIFS([1]Population!F:F,[1]Population!A:A,'MASTER-2025'!A26))</f>
        <v>#VALUE!</v>
      </c>
      <c r="BI26" s="22" t="e">
        <f t="shared" si="18"/>
        <v>#VALUE!</v>
      </c>
      <c r="BJ26" s="23" t="e">
        <f t="shared" si="6"/>
        <v>#VALUE!</v>
      </c>
      <c r="BK26" s="22" t="e">
        <f>IF(A26=0,0,SUMIFS([1]Population!G:G,[1]Population!A:A,'MASTER-2025'!A26))</f>
        <v>#VALUE!</v>
      </c>
      <c r="BL26" s="24" cm="1">
        <f t="array" ref="BL26:BW26">IFERROR(VLOOKUP(A26,'[1]Now-OB-kg-POB-25'!A:AQ,{3,4,5,6,7,8,9,10,11,12,13,14},0),0)</f>
        <v>32</v>
      </c>
      <c r="BM26" s="24">
        <v>64</v>
      </c>
      <c r="BN26" s="24">
        <v>87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4">
        <v>0</v>
      </c>
      <c r="BX26" s="24">
        <f t="shared" si="7"/>
        <v>183</v>
      </c>
      <c r="BY26" s="25" cm="1">
        <f t="array" ref="BY26:CJ26">IFERROR(VLOOKUP(A26,'[1]Now-OB-kg-POB-25'!A:AQ,{17,18,19,20,21,22,23,24,25,26,27,28},0),0)</f>
        <v>264</v>
      </c>
      <c r="BZ26" s="25">
        <v>480</v>
      </c>
      <c r="CA26" s="25">
        <v>627</v>
      </c>
      <c r="CB26" s="25">
        <v>0</v>
      </c>
      <c r="CC26" s="25">
        <v>0</v>
      </c>
      <c r="CD26" s="25">
        <v>0</v>
      </c>
      <c r="CE26" s="25">
        <v>0</v>
      </c>
      <c r="CF26" s="25">
        <v>0</v>
      </c>
      <c r="CG26" s="25">
        <v>0</v>
      </c>
      <c r="CH26" s="25">
        <v>0</v>
      </c>
      <c r="CI26" s="25">
        <v>0</v>
      </c>
      <c r="CJ26" s="25">
        <v>0</v>
      </c>
      <c r="CK26" s="25">
        <f t="shared" si="8"/>
        <v>1371</v>
      </c>
      <c r="CL26" s="26" cm="1">
        <f t="array" ref="CL26:CW26">IFERROR(VLOOKUP(A26,'[1]Now-OB-kg-POB-25'!A:AQ,{31,32,33,34,35,36,37,38,39,40,41,42},0),0)</f>
        <v>10837</v>
      </c>
      <c r="CM26" s="26">
        <v>19409</v>
      </c>
      <c r="CN26" s="26">
        <v>28022</v>
      </c>
      <c r="CO26" s="26">
        <v>0</v>
      </c>
      <c r="CP26" s="26">
        <v>0</v>
      </c>
      <c r="CQ26" s="26">
        <v>0</v>
      </c>
      <c r="CR26" s="26">
        <v>0</v>
      </c>
      <c r="CS26" s="26">
        <v>0</v>
      </c>
      <c r="CT26" s="26">
        <v>0</v>
      </c>
      <c r="CU26" s="26">
        <v>0</v>
      </c>
      <c r="CV26" s="26">
        <v>0</v>
      </c>
      <c r="CW26" s="26">
        <v>0</v>
      </c>
      <c r="CX26" s="26">
        <f t="shared" si="9"/>
        <v>58268</v>
      </c>
      <c r="CY26" s="14" t="str">
        <f>IF(A26=0,0,IFERROR(VLOOKUP(A26,'[1]Info Donantes'!C:F,2,0),"Sin Contacto"))</f>
        <v>Sin Contacto</v>
      </c>
      <c r="CZ26" s="14" t="str">
        <f>IF(A26=0,0,IFERROR(VLOOKUP(A26,'[1]Info Donantes'!C:F,3,0),"Sin Correo"))</f>
        <v>Sin Correo</v>
      </c>
      <c r="DA26" s="14" t="str">
        <f>IF(A26=0,0,IFERROR(VLOOKUP(A26,'[1]Info Donantes'!C:F,4,0),"Sin Telefono"))</f>
        <v>Sin Telefono</v>
      </c>
      <c r="DB26" s="14" t="s">
        <v>155</v>
      </c>
    </row>
    <row r="27" spans="1:106" x14ac:dyDescent="0.55000000000000004">
      <c r="A27" s="14" t="s">
        <v>156</v>
      </c>
      <c r="B27" s="15">
        <f>INT(IFERROR(VLOOKUP(A27,'[1]Donor Summary'!C:F,3,0),0))</f>
        <v>14</v>
      </c>
      <c r="C27" s="15">
        <f>INT(ROUND(IFERROR(VLOOKUP(A27,'[1]Donor Summary'!C:F,4,0),0),1))</f>
        <v>4696</v>
      </c>
      <c r="D27" s="16">
        <f t="shared" si="19"/>
        <v>4682</v>
      </c>
      <c r="E27" s="17" t="str">
        <f t="shared" si="20"/>
        <v>99.70%</v>
      </c>
      <c r="F27" s="17" t="str">
        <f t="shared" si="21"/>
        <v>0.3%</v>
      </c>
      <c r="G27" s="15">
        <f t="shared" si="25"/>
        <v>14046</v>
      </c>
      <c r="H27" s="18"/>
      <c r="I27" s="18">
        <f>IFERROR(VLOOKUP(A27,'[1]Lot All by Part'!T:Y,6,0),0)</f>
        <v>42</v>
      </c>
      <c r="J27" s="18"/>
      <c r="K27" s="19">
        <f>IFERROR(VLOOKUP($A27,'[1]Donor-Served OBs'!A:N,3,0),0)</f>
        <v>24</v>
      </c>
      <c r="L27" s="19">
        <f>ROUNDUP(IF(A27=0,0,IFERROR(VLOOKUP($A27,'[1]Donor''s Assigned Kilos'!A:O,3,0),0)),0)</f>
        <v>458</v>
      </c>
      <c r="M27" s="19">
        <f>IF(A27=0,0,IFERROR(SUMIFS([1]Population!M:M,[1]Population!J:J,'MASTER-2025'!A27),0))</f>
        <v>0</v>
      </c>
      <c r="N27" s="20">
        <f>IFERROR(VLOOKUP($A27,'[1]Donor-Served OBs'!A:N,4,0),0)</f>
        <v>34</v>
      </c>
      <c r="O27" s="20">
        <f>ROUNDUP(IF(A27=0,0,IFERROR(VLOOKUP($A27,'[1]Donor''s Assigned Kilos'!A:O,4,0),0)),0)</f>
        <v>665</v>
      </c>
      <c r="P27" s="20">
        <f>IF(A27=0,0,IFERROR(SUMIFS([1]Population!N:N,[1]Population!J:J,'MASTER-2025'!A27),0))</f>
        <v>0</v>
      </c>
      <c r="Q27" s="18">
        <f>IFERROR(VLOOKUP($A27,'[1]Donor-Served OBs'!A:N,2,0),0)</f>
        <v>8</v>
      </c>
      <c r="R27" s="18">
        <f>ROUNDUP(ROUND(IF(A27=0,0,IFERROR(VLOOKUP($A27,'[1]Donor''s Assigned Kilos'!A:O,9,0),0)),1),0)</f>
        <v>72</v>
      </c>
      <c r="S27" s="18">
        <f>IF(A27=0,0,IFERROR(SUMIFS([1]Population!S:S,[1]Population!J:J,'MASTER-2025'!A27),0))</f>
        <v>0</v>
      </c>
      <c r="T27" s="19">
        <f>IFERROR(VLOOKUP($A27,'[1]Donor-Served OBs'!A:N,12,0),0)</f>
        <v>6</v>
      </c>
      <c r="U27" s="19">
        <f>ROUNDUP(IF(A27=0,0,IF(A27=0,0,IFERROR(VLOOKUP($A27,'[1]Donor''s Assigned Kilos'!A:O,7,0),0))),0)</f>
        <v>117</v>
      </c>
      <c r="V27" s="19">
        <f>IF(A27=0,0,IFERROR(SUMIFS([1]Population!Q:Q,[1]Population!J:J,'MASTER-2025'!A27),0))</f>
        <v>0</v>
      </c>
      <c r="W27" s="20">
        <f>IFERROR(VLOOKUP($A27,'[1]Donor-Served OBs'!A:N,10,0),0)</f>
        <v>18</v>
      </c>
      <c r="X27" s="20">
        <f>ROUNDUP(IF(A27=0,0,IFERROR(VLOOKUP($A27,'[1]Donor''s Assigned Kilos'!A:N,5,0),0)),0)</f>
        <v>246</v>
      </c>
      <c r="Y27" s="20">
        <f>IF(A27=0,0,IFERROR(SUMIFS([1]Population!O:O,[1]Population!J:J,'MASTER-2025'!A27),0))</f>
        <v>0</v>
      </c>
      <c r="Z27" s="18">
        <f>IFERROR(VLOOKUP($A27,'[1]Donor-Served OBs'!A:N,6,0),0)</f>
        <v>6</v>
      </c>
      <c r="AA27" s="18">
        <f>ROUNDUP(IF(A27=0,0,IFERROR(VLOOKUP($A27,'[1]Donor''s Assigned Kilos'!A:N,11,0),0)),0)</f>
        <v>168</v>
      </c>
      <c r="AB27" s="18">
        <f>IF(A27=0,0,IFERROR(SUMIFS([1]Population!U:U,[1]Population!J:J,'MASTER-2025'!A27),0))</f>
        <v>0</v>
      </c>
      <c r="AC27" s="19">
        <f>IFERROR(VLOOKUP($A27,'[1]Donor-Served OBs'!A:N,7,0),0)</f>
        <v>4</v>
      </c>
      <c r="AD27" s="19">
        <f>ROUNDUP(IF(A27=0,0,IFERROR(VLOOKUP($A27,'[1]Donor''s Assigned Kilos'!A:N,8,0),0)),0)</f>
        <v>147</v>
      </c>
      <c r="AE27" s="19">
        <f>IF(A27=0,0,IFERROR(SUMIFS([1]Population!R:R,[1]Population!J:J,'MASTER-2025'!A27),0))</f>
        <v>0</v>
      </c>
      <c r="AF27" s="20">
        <f>IFERROR(VLOOKUP($A27,'[1]Donor-Served OBs'!A:N,8,0),0)</f>
        <v>3</v>
      </c>
      <c r="AG27" s="20">
        <f>ROUNDUP(IF(A27=0,0,IFERROR(VLOOKUP($A27,'[1]Donor''s Assigned Kilos'!A:N,6,0),0)),0)</f>
        <v>42</v>
      </c>
      <c r="AH27" s="20">
        <f>IF(A27=0,0,IFERROR(SUMIFS([1]Population!P:P,[1]Population!J:J,'MASTER-2025'!A27),0))</f>
        <v>0</v>
      </c>
      <c r="AI27" s="18">
        <f>IFERROR(VLOOKUP($A27,'[1]Donor-Served OBs'!A:N,9,0),0)</f>
        <v>1</v>
      </c>
      <c r="AJ27" s="18">
        <f>ROUNDUP(IF(A27=0,0,IFERROR(VLOOKUP($A27,'[1]Donor''s Assigned Kilos'!A:N,12,0),0)),0)</f>
        <v>78</v>
      </c>
      <c r="AK27" s="18">
        <f>IF(A27=0,0,IFERROR(SUMIFS([1]Population!V:V,[1]Population!J:J,'MASTER-2025'!A27),0))</f>
        <v>0</v>
      </c>
      <c r="AL27" s="19">
        <f>IFERROR(VLOOKUP($A27,'[1]Donor-Served OBs'!A:N,16,0),0)</f>
        <v>0</v>
      </c>
      <c r="AM27" s="19">
        <f>ROUNDUP(IF(A27=0,0,IFERROR(VLOOKUP($A27,'[1]Donor''s Assigned Kilos'!A:O,16,0),0)),0)</f>
        <v>0</v>
      </c>
      <c r="AN27" s="19">
        <f>IF(A27=0,0,IFERROR(SUMIFS([1]Population!Z:Z,[1]Population!J:J,'MASTER-2025'!A27),0))</f>
        <v>0</v>
      </c>
      <c r="AO27" s="20">
        <f>IFERROR(VLOOKUP($A27,'[1]Donor-Served OBs'!A:N,11,0),0)</f>
        <v>2</v>
      </c>
      <c r="AP27" s="20">
        <f>ROUNDUP(IF(A27=0,0,IFERROR(VLOOKUP($A27,'[1]Donor''s Assigned Kilos'!A:N,13,0),0)),0)</f>
        <v>23</v>
      </c>
      <c r="AQ27" s="20">
        <f>IF(A27=0,0,IFERROR(SUMIFS([1]Population!W:W,[1]Population!J:J,'MASTER-2025'!A27),0))</f>
        <v>0</v>
      </c>
      <c r="AR27" s="18">
        <f>IFERROR(VLOOKUP($A27,'[1]Donor-Served OBs'!A:N,5,0),0)</f>
        <v>7</v>
      </c>
      <c r="AS27" s="18">
        <f>ROUNDUP(IF(A27=0,0,IFERROR(VLOOKUP($A27,'[1]Donor''s Assigned Kilos'!A:N,10,0),0)),0)</f>
        <v>208</v>
      </c>
      <c r="AT27" s="18">
        <f>IF(A27=0,0,IFERROR(SUMIFS([1]Population!T:T,[1]Population!J:J,'MASTER-2025'!A27),0))</f>
        <v>0</v>
      </c>
      <c r="AU27" s="19">
        <f>IFERROR(VLOOKUP($A27,'[1]Donor-Served OBs'!A:N,13,0),0)</f>
        <v>0</v>
      </c>
      <c r="AV27" s="19">
        <f>ROUNDUP(IF(A27=0,0,IFERROR(VLOOKUP($A27,'[1]Donor''s Assigned Kilos'!A:N,14,0),0)),0)</f>
        <v>0</v>
      </c>
      <c r="AW27" s="19">
        <f>IF(A27=0,0,IFERROR(SUMIFS([1]Population!X:X,[1]Population!J:J,'MASTER-2025'!A27),0))</f>
        <v>0</v>
      </c>
      <c r="AX27" s="20">
        <f>IFERROR(VLOOKUP($A27,'[1]Donor-Served OBs'!A:N,16,0),0)</f>
        <v>0</v>
      </c>
      <c r="AY27" s="20">
        <f>ROUNDUP(IF(A27=0,0,IFERROR(VLOOKUP($A27,'[1]Donor''s Assigned Kilos'!A:O,16,0),0)),0)</f>
        <v>0</v>
      </c>
      <c r="AZ27" s="20">
        <f>IF(A27=0,0,IFERROR(SUMIFS([1]Population!Y:Y,[1]Population!J:J,'MASTER-2025'!A27),0))</f>
        <v>0</v>
      </c>
      <c r="BA27" s="21">
        <f t="shared" si="15"/>
        <v>113</v>
      </c>
      <c r="BB27" s="21">
        <f t="shared" si="23"/>
        <v>2266</v>
      </c>
      <c r="BC27" s="21">
        <f t="shared" si="24"/>
        <v>1354</v>
      </c>
      <c r="BD27" s="21">
        <f t="shared" si="26"/>
        <v>0</v>
      </c>
      <c r="BE27" s="22" t="e">
        <f>IF(A27=0,0,SUMIFS([1]Population!C:C,[1]Population!A:A,'MASTER-2025'!A27))</f>
        <v>#VALUE!</v>
      </c>
      <c r="BF27" s="22" t="e">
        <f>IF(A27=0,0,SUMIFS([1]Population!D:D,[1]Population!A:A,'MASTER-2025'!A27))</f>
        <v>#VALUE!</v>
      </c>
      <c r="BG27" s="22" t="e">
        <f>IF(A27=0,0,SUMIFS([1]Population!E:E,[1]Population!A:A,'MASTER-2025'!A27))</f>
        <v>#VALUE!</v>
      </c>
      <c r="BH27" s="22" t="e">
        <f>IF(A27=0,0,SUMIFS([1]Population!F:F,[1]Population!A:A,'MASTER-2025'!A27))</f>
        <v>#VALUE!</v>
      </c>
      <c r="BI27" s="22" t="e">
        <f t="shared" si="18"/>
        <v>#VALUE!</v>
      </c>
      <c r="BJ27" s="23" t="e">
        <f t="shared" si="6"/>
        <v>#VALUE!</v>
      </c>
      <c r="BK27" s="22" t="e">
        <f>IF(A27=0,0,SUMIFS([1]Population!G:G,[1]Population!A:A,'MASTER-2025'!A27))</f>
        <v>#VALUE!</v>
      </c>
      <c r="BL27" s="24" cm="1">
        <f t="array" ref="BL27:BW27">IFERROR(VLOOKUP(A27,'[1]Now-OB-kg-POB-25'!A:AQ,{3,4,5,6,7,8,9,10,11,12,13,14},0),0)</f>
        <v>86</v>
      </c>
      <c r="BM27" s="24">
        <v>76</v>
      </c>
      <c r="BN27" s="24">
        <v>113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BX27" s="24">
        <f t="shared" si="7"/>
        <v>275</v>
      </c>
      <c r="BY27" s="25" cm="1">
        <f t="array" ref="BY27:CJ27">IFERROR(VLOOKUP(A27,'[1]Now-OB-kg-POB-25'!A:AQ,{17,18,19,20,21,22,23,24,25,26,27,28},0),0)</f>
        <v>2914</v>
      </c>
      <c r="BZ27" s="25">
        <v>2081</v>
      </c>
      <c r="CA27" s="25">
        <v>4696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f t="shared" si="8"/>
        <v>9691</v>
      </c>
      <c r="CL27" s="26" cm="1">
        <f t="array" ref="CL27:CW27">IFERROR(VLOOKUP(A27,'[1]Now-OB-kg-POB-25'!A:AQ,{31,32,33,34,35,36,37,38,39,40,41,42},0),0)</f>
        <v>26281</v>
      </c>
      <c r="CM27" s="26">
        <v>19039</v>
      </c>
      <c r="CN27" s="26">
        <v>35885</v>
      </c>
      <c r="CO27" s="26">
        <v>0</v>
      </c>
      <c r="CP27" s="26">
        <v>0</v>
      </c>
      <c r="CQ27" s="26">
        <v>0</v>
      </c>
      <c r="CR27" s="26">
        <v>0</v>
      </c>
      <c r="CS27" s="26">
        <v>0</v>
      </c>
      <c r="CT27" s="26">
        <v>0</v>
      </c>
      <c r="CU27" s="26">
        <v>0</v>
      </c>
      <c r="CV27" s="26">
        <v>0</v>
      </c>
      <c r="CW27" s="26">
        <v>0</v>
      </c>
      <c r="CX27" s="26">
        <f t="shared" si="9"/>
        <v>81205</v>
      </c>
      <c r="CY27" s="14" t="str">
        <f>IF(A27=0,0,IFERROR(VLOOKUP(A27,'[1]Info Donantes'!C:F,2,0),"Sin Contacto"))</f>
        <v>Jose Sobrino</v>
      </c>
      <c r="CZ27" s="14" t="str">
        <f>IF(A27=0,0,IFERROR(VLOOKUP(A27,'[1]Info Donantes'!C:F,3,0),"Sin Correo"))</f>
        <v>operaciones@ladona.com.pa</v>
      </c>
      <c r="DA27" s="14" t="str">
        <f>IF(A27=0,0,IFERROR(VLOOKUP(A27,'[1]Info Donantes'!C:F,4,0),"Sin Telefono"))</f>
        <v>220-1000</v>
      </c>
      <c r="DB27" s="14" t="s">
        <v>157</v>
      </c>
    </row>
    <row r="28" spans="1:106" x14ac:dyDescent="0.55000000000000004">
      <c r="A28" s="14" t="s">
        <v>158</v>
      </c>
      <c r="B28" s="15">
        <f>INT(IFERROR(VLOOKUP(A28,'[1]Donor Summary'!C:F,3,0),0))</f>
        <v>0</v>
      </c>
      <c r="C28" s="15">
        <f>INT(ROUND(IFERROR(VLOOKUP(A28,'[1]Donor Summary'!C:F,4,0),0),1))</f>
        <v>0</v>
      </c>
      <c r="D28" s="16">
        <f t="shared" si="19"/>
        <v>0</v>
      </c>
      <c r="E28" s="17" t="str">
        <f t="shared" si="20"/>
        <v>0.00%</v>
      </c>
      <c r="F28" s="17" t="str">
        <f t="shared" si="21"/>
        <v>0.0%</v>
      </c>
      <c r="G28" s="15">
        <f t="shared" si="25"/>
        <v>0</v>
      </c>
      <c r="H28" s="18"/>
      <c r="I28" s="18">
        <f>IFERROR(VLOOKUP(A28,'[1]Lot All by Part'!T:Y,6,0),0)</f>
        <v>0</v>
      </c>
      <c r="J28" s="18"/>
      <c r="K28" s="19">
        <f>IFERROR(VLOOKUP($A28,'[1]Donor-Served OBs'!A:N,3,0),0)</f>
        <v>0</v>
      </c>
      <c r="L28" s="19">
        <f>ROUNDUP(IF(A28=0,0,IFERROR(VLOOKUP($A28,'[1]Donor''s Assigned Kilos'!A:O,3,0),0)),0)</f>
        <v>0</v>
      </c>
      <c r="M28" s="19">
        <f>IF(A28=0,0,IFERROR(SUMIFS([1]Population!M:M,[1]Population!J:J,'MASTER-2025'!A28),0))</f>
        <v>0</v>
      </c>
      <c r="N28" s="20">
        <f>IFERROR(VLOOKUP($A28,'[1]Donor-Served OBs'!A:N,4,0),0)</f>
        <v>0</v>
      </c>
      <c r="O28" s="20">
        <f>ROUNDUP(IF(A28=0,0,IFERROR(VLOOKUP($A28,'[1]Donor''s Assigned Kilos'!A:O,4,0),0)),0)</f>
        <v>0</v>
      </c>
      <c r="P28" s="20">
        <f>IF(A28=0,0,IFERROR(SUMIFS([1]Population!N:N,[1]Population!J:J,'MASTER-2025'!A28),0))</f>
        <v>0</v>
      </c>
      <c r="Q28" s="18">
        <f>IFERROR(VLOOKUP($A28,'[1]Donor-Served OBs'!A:N,2,0),0)</f>
        <v>0</v>
      </c>
      <c r="R28" s="18">
        <f>ROUNDUP(ROUND(IF(A28=0,0,IFERROR(VLOOKUP($A28,'[1]Donor''s Assigned Kilos'!A:O,9,0),0)),1),0)</f>
        <v>0</v>
      </c>
      <c r="S28" s="18">
        <f>IF(A28=0,0,IFERROR(SUMIFS([1]Population!S:S,[1]Population!J:J,'MASTER-2025'!A28),0))</f>
        <v>0</v>
      </c>
      <c r="T28" s="19">
        <f>IFERROR(VLOOKUP($A28,'[1]Donor-Served OBs'!A:N,12,0),0)</f>
        <v>0</v>
      </c>
      <c r="U28" s="19">
        <f>ROUNDUP(IF(A28=0,0,IF(A28=0,0,IFERROR(VLOOKUP($A28,'[1]Donor''s Assigned Kilos'!A:O,7,0),0))),0)</f>
        <v>0</v>
      </c>
      <c r="V28" s="19">
        <f>IF(A28=0,0,IFERROR(SUMIFS([1]Population!Q:Q,[1]Population!J:J,'MASTER-2025'!A28),0))</f>
        <v>0</v>
      </c>
      <c r="W28" s="20">
        <f>IFERROR(VLOOKUP($A28,'[1]Donor-Served OBs'!A:N,10,0),0)</f>
        <v>0</v>
      </c>
      <c r="X28" s="20">
        <f>ROUNDUP(IF(A28=0,0,IFERROR(VLOOKUP($A28,'[1]Donor''s Assigned Kilos'!A:N,5,0),0)),0)</f>
        <v>0</v>
      </c>
      <c r="Y28" s="20">
        <f>IF(A28=0,0,IFERROR(SUMIFS([1]Population!O:O,[1]Population!J:J,'MASTER-2025'!A28),0))</f>
        <v>0</v>
      </c>
      <c r="Z28" s="18">
        <f>IFERROR(VLOOKUP($A28,'[1]Donor-Served OBs'!A:N,6,0),0)</f>
        <v>0</v>
      </c>
      <c r="AA28" s="18">
        <f>ROUNDUP(IF(A28=0,0,IFERROR(VLOOKUP($A28,'[1]Donor''s Assigned Kilos'!A:N,11,0),0)),0)</f>
        <v>0</v>
      </c>
      <c r="AB28" s="18">
        <f>IF(A28=0,0,IFERROR(SUMIFS([1]Population!U:U,[1]Population!J:J,'MASTER-2025'!A28),0))</f>
        <v>0</v>
      </c>
      <c r="AC28" s="19">
        <f>IFERROR(VLOOKUP($A28,'[1]Donor-Served OBs'!A:N,7,0),0)</f>
        <v>0</v>
      </c>
      <c r="AD28" s="19">
        <f>ROUNDUP(IF(A28=0,0,IFERROR(VLOOKUP($A28,'[1]Donor''s Assigned Kilos'!A:N,8,0),0)),0)</f>
        <v>0</v>
      </c>
      <c r="AE28" s="19">
        <f>IF(A28=0,0,IFERROR(SUMIFS([1]Population!R:R,[1]Population!J:J,'MASTER-2025'!A28),0))</f>
        <v>0</v>
      </c>
      <c r="AF28" s="20">
        <f>IFERROR(VLOOKUP($A28,'[1]Donor-Served OBs'!A:N,8,0),0)</f>
        <v>0</v>
      </c>
      <c r="AG28" s="20">
        <f>ROUNDUP(IF(A28=0,0,IFERROR(VLOOKUP($A28,'[1]Donor''s Assigned Kilos'!A:N,6,0),0)),0)</f>
        <v>0</v>
      </c>
      <c r="AH28" s="20">
        <f>IF(A28=0,0,IFERROR(SUMIFS([1]Population!P:P,[1]Population!J:J,'MASTER-2025'!A28),0))</f>
        <v>0</v>
      </c>
      <c r="AI28" s="18">
        <f>IFERROR(VLOOKUP($A28,'[1]Donor-Served OBs'!A:N,9,0),0)</f>
        <v>0</v>
      </c>
      <c r="AJ28" s="18">
        <f>ROUNDUP(IF(A28=0,0,IFERROR(VLOOKUP($A28,'[1]Donor''s Assigned Kilos'!A:N,12,0),0)),0)</f>
        <v>0</v>
      </c>
      <c r="AK28" s="18">
        <f>IF(A28=0,0,IFERROR(SUMIFS([1]Population!V:V,[1]Population!J:J,'MASTER-2025'!A28),0))</f>
        <v>0</v>
      </c>
      <c r="AL28" s="19">
        <f>IFERROR(VLOOKUP($A28,'[1]Donor-Served OBs'!A:N,16,0),0)</f>
        <v>0</v>
      </c>
      <c r="AM28" s="19">
        <f>ROUNDUP(IF(A28=0,0,IFERROR(VLOOKUP($A28,'[1]Donor''s Assigned Kilos'!A:O,16,0),0)),0)</f>
        <v>0</v>
      </c>
      <c r="AN28" s="19">
        <f>IF(A28=0,0,IFERROR(SUMIFS([1]Population!Z:Z,[1]Population!J:J,'MASTER-2025'!A28),0))</f>
        <v>0</v>
      </c>
      <c r="AO28" s="20">
        <f>IFERROR(VLOOKUP($A28,'[1]Donor-Served OBs'!A:N,11,0),0)</f>
        <v>0</v>
      </c>
      <c r="AP28" s="20">
        <f>ROUNDUP(IF(A28=0,0,IFERROR(VLOOKUP($A28,'[1]Donor''s Assigned Kilos'!A:N,13,0),0)),0)</f>
        <v>0</v>
      </c>
      <c r="AQ28" s="20">
        <f>IF(A28=0,0,IFERROR(SUMIFS([1]Population!W:W,[1]Population!J:J,'MASTER-2025'!A28),0))</f>
        <v>0</v>
      </c>
      <c r="AR28" s="18">
        <f>IFERROR(VLOOKUP($A28,'[1]Donor-Served OBs'!A:N,5,0),0)</f>
        <v>0</v>
      </c>
      <c r="AS28" s="18">
        <f>ROUNDUP(IF(A28=0,0,IFERROR(VLOOKUP($A28,'[1]Donor''s Assigned Kilos'!A:N,10,0),0)),0)</f>
        <v>0</v>
      </c>
      <c r="AT28" s="18">
        <f>IF(A28=0,0,IFERROR(SUMIFS([1]Population!T:T,[1]Population!J:J,'MASTER-2025'!A28),0))</f>
        <v>0</v>
      </c>
      <c r="AU28" s="19">
        <f>IFERROR(VLOOKUP($A28,'[1]Donor-Served OBs'!A:N,13,0),0)</f>
        <v>0</v>
      </c>
      <c r="AV28" s="19">
        <f>ROUNDUP(IF(A28=0,0,IFERROR(VLOOKUP($A28,'[1]Donor''s Assigned Kilos'!A:N,14,0),0)),0)</f>
        <v>0</v>
      </c>
      <c r="AW28" s="19">
        <f>IF(A28=0,0,IFERROR(SUMIFS([1]Population!X:X,[1]Population!J:J,'MASTER-2025'!A28),0))</f>
        <v>0</v>
      </c>
      <c r="AX28" s="20">
        <f>IFERROR(VLOOKUP($A28,'[1]Donor-Served OBs'!A:N,16,0),0)</f>
        <v>0</v>
      </c>
      <c r="AY28" s="20">
        <f>ROUNDUP(IF(A28=0,0,IFERROR(VLOOKUP($A28,'[1]Donor''s Assigned Kilos'!A:O,16,0),0)),0)</f>
        <v>0</v>
      </c>
      <c r="AZ28" s="20">
        <f>IF(A28=0,0,IFERROR(SUMIFS([1]Population!Y:Y,[1]Population!J:J,'MASTER-2025'!A28),0))</f>
        <v>0</v>
      </c>
      <c r="BA28" s="21">
        <f t="shared" si="15"/>
        <v>0</v>
      </c>
      <c r="BB28" s="21">
        <f t="shared" si="23"/>
        <v>0</v>
      </c>
      <c r="BC28" s="21">
        <f t="shared" si="24"/>
        <v>0</v>
      </c>
      <c r="BD28" s="21">
        <f t="shared" si="26"/>
        <v>0</v>
      </c>
      <c r="BE28" s="22" t="e">
        <f>IF(A28=0,0,SUMIFS([1]Population!C:C,[1]Population!A:A,'MASTER-2025'!A28))</f>
        <v>#VALUE!</v>
      </c>
      <c r="BF28" s="22" t="e">
        <f>IF(A28=0,0,SUMIFS([1]Population!D:D,[1]Population!A:A,'MASTER-2025'!A28))</f>
        <v>#VALUE!</v>
      </c>
      <c r="BG28" s="22" t="e">
        <f>IF(A28=0,0,SUMIFS([1]Population!E:E,[1]Population!A:A,'MASTER-2025'!A28))</f>
        <v>#VALUE!</v>
      </c>
      <c r="BH28" s="22" t="e">
        <f>IF(A28=0,0,SUMIFS([1]Population!F:F,[1]Population!A:A,'MASTER-2025'!A28))</f>
        <v>#VALUE!</v>
      </c>
      <c r="BI28" s="22" t="e">
        <f t="shared" si="18"/>
        <v>#VALUE!</v>
      </c>
      <c r="BJ28" s="23" t="e">
        <f t="shared" si="6"/>
        <v>#VALUE!</v>
      </c>
      <c r="BK28" s="22" t="e">
        <f>IF(A28=0,0,SUMIFS([1]Population!G:G,[1]Population!A:A,'MASTER-2025'!A28))</f>
        <v>#VALUE!</v>
      </c>
      <c r="BL28" s="24" cm="1">
        <f t="array" ref="BL28:BW28">IFERROR(VLOOKUP(A28,'[1]Now-OB-kg-POB-25'!A:AQ,{3,4,5,6,7,8,9,10,11,12,13,14},0),0)</f>
        <v>0</v>
      </c>
      <c r="BM28" s="24">
        <v>68</v>
      </c>
      <c r="BN28" s="24">
        <v>26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BX28" s="24">
        <f t="shared" si="7"/>
        <v>94</v>
      </c>
      <c r="BY28" s="25" cm="1">
        <f t="array" ref="BY28:CJ28">IFERROR(VLOOKUP(A28,'[1]Now-OB-kg-POB-25'!A:AQ,{17,18,19,20,21,22,23,24,25,26,27,28},0),0)</f>
        <v>520</v>
      </c>
      <c r="BZ28" s="25">
        <v>1484</v>
      </c>
      <c r="CA28" s="25">
        <v>0</v>
      </c>
      <c r="CB28" s="25">
        <v>0</v>
      </c>
      <c r="CC28" s="25">
        <v>0</v>
      </c>
      <c r="CD28" s="25">
        <v>0</v>
      </c>
      <c r="CE28" s="25">
        <v>0</v>
      </c>
      <c r="CF28" s="25">
        <v>0</v>
      </c>
      <c r="CG28" s="25">
        <v>0</v>
      </c>
      <c r="CH28" s="25">
        <v>0</v>
      </c>
      <c r="CI28" s="25">
        <v>0</v>
      </c>
      <c r="CJ28" s="25">
        <v>0</v>
      </c>
      <c r="CK28" s="25">
        <f t="shared" si="8"/>
        <v>2004</v>
      </c>
      <c r="CL28" s="26" cm="1">
        <f t="array" ref="CL28:CW28">IFERROR(VLOOKUP(A28,'[1]Now-OB-kg-POB-25'!A:AQ,{31,32,33,34,35,36,37,38,39,40,41,42},0),0)</f>
        <v>0</v>
      </c>
      <c r="CM28" s="26">
        <v>22889</v>
      </c>
      <c r="CN28" s="26">
        <v>6216</v>
      </c>
      <c r="CO28" s="26">
        <v>0</v>
      </c>
      <c r="CP28" s="26">
        <v>0</v>
      </c>
      <c r="CQ28" s="26">
        <v>0</v>
      </c>
      <c r="CR28" s="26">
        <v>0</v>
      </c>
      <c r="CS28" s="26">
        <v>0</v>
      </c>
      <c r="CT28" s="26">
        <v>0</v>
      </c>
      <c r="CU28" s="26">
        <v>0</v>
      </c>
      <c r="CV28" s="26">
        <v>0</v>
      </c>
      <c r="CW28" s="26">
        <v>0</v>
      </c>
      <c r="CX28" s="26">
        <f t="shared" si="9"/>
        <v>29105</v>
      </c>
      <c r="CY28" s="14" t="str">
        <f>IF(A28=0,0,IFERROR(VLOOKUP(A28,'[1]Info Donantes'!C:F,2,0),"Sin Contacto"))</f>
        <v>Sin Contacto</v>
      </c>
      <c r="CZ28" s="14" t="str">
        <f>IF(A28=0,0,IFERROR(VLOOKUP(A28,'[1]Info Donantes'!C:F,3,0),"Sin Correo"))</f>
        <v>Sin Correo</v>
      </c>
      <c r="DA28" s="14" t="str">
        <f>IF(A28=0,0,IFERROR(VLOOKUP(A28,'[1]Info Donantes'!C:F,4,0),"Sin Telefono"))</f>
        <v>Sin Telefono</v>
      </c>
      <c r="DB28" s="14" t="s">
        <v>159</v>
      </c>
    </row>
    <row r="29" spans="1:106" x14ac:dyDescent="0.55000000000000004">
      <c r="A29" s="14" t="s">
        <v>160</v>
      </c>
      <c r="B29" s="15">
        <f>INT(IFERROR(VLOOKUP(A29,'[1]Donor Summary'!C:F,3,0),0))</f>
        <v>0</v>
      </c>
      <c r="C29" s="15">
        <f>INT(ROUND(IFERROR(VLOOKUP(A29,'[1]Donor Summary'!C:F,4,0),0),1))</f>
        <v>0</v>
      </c>
      <c r="D29" s="16">
        <f t="shared" si="19"/>
        <v>0</v>
      </c>
      <c r="E29" s="17" t="str">
        <f t="shared" si="20"/>
        <v>0.00%</v>
      </c>
      <c r="F29" s="17" t="str">
        <f t="shared" si="21"/>
        <v>0.0%</v>
      </c>
      <c r="G29" s="15">
        <f t="shared" si="25"/>
        <v>0</v>
      </c>
      <c r="H29" s="18"/>
      <c r="I29" s="18">
        <f>IFERROR(VLOOKUP(A29,'[1]Lot All by Part'!T:Y,6,0),0)</f>
        <v>0</v>
      </c>
      <c r="J29" s="18"/>
      <c r="K29" s="19">
        <f>IFERROR(VLOOKUP($A29,'[1]Donor-Served OBs'!A:N,3,0),0)</f>
        <v>0</v>
      </c>
      <c r="L29" s="19">
        <f>ROUNDUP(IF(A29=0,0,IFERROR(VLOOKUP($A29,'[1]Donor''s Assigned Kilos'!A:O,3,0),0)),0)</f>
        <v>0</v>
      </c>
      <c r="M29" s="19">
        <f>IF(A29=0,0,IFERROR(SUMIFS([1]Population!M:M,[1]Population!J:J,'MASTER-2025'!A29),0))</f>
        <v>0</v>
      </c>
      <c r="N29" s="20">
        <f>IFERROR(VLOOKUP($A29,'[1]Donor-Served OBs'!A:N,4,0),0)</f>
        <v>0</v>
      </c>
      <c r="O29" s="20">
        <f>ROUNDUP(IF(A29=0,0,IFERROR(VLOOKUP($A29,'[1]Donor''s Assigned Kilos'!A:O,4,0),0)),0)</f>
        <v>0</v>
      </c>
      <c r="P29" s="20">
        <f>IF(A29=0,0,IFERROR(SUMIFS([1]Population!N:N,[1]Population!J:J,'MASTER-2025'!A29),0))</f>
        <v>0</v>
      </c>
      <c r="Q29" s="18">
        <f>IFERROR(VLOOKUP($A29,'[1]Donor-Served OBs'!A:N,2,0),0)</f>
        <v>0</v>
      </c>
      <c r="R29" s="18">
        <f>ROUNDUP(ROUND(IF(A29=0,0,IFERROR(VLOOKUP($A29,'[1]Donor''s Assigned Kilos'!A:O,9,0),0)),1),0)</f>
        <v>0</v>
      </c>
      <c r="S29" s="18">
        <f>IF(A29=0,0,IFERROR(SUMIFS([1]Population!S:S,[1]Population!J:J,'MASTER-2025'!A29),0))</f>
        <v>0</v>
      </c>
      <c r="T29" s="19">
        <f>IFERROR(VLOOKUP($A29,'[1]Donor-Served OBs'!A:N,12,0),0)</f>
        <v>0</v>
      </c>
      <c r="U29" s="19">
        <f>ROUNDUP(IF(A29=0,0,IF(A29=0,0,IFERROR(VLOOKUP($A29,'[1]Donor''s Assigned Kilos'!A:O,7,0),0))),0)</f>
        <v>0</v>
      </c>
      <c r="V29" s="19">
        <f>IF(A29=0,0,IFERROR(SUMIFS([1]Population!Q:Q,[1]Population!J:J,'MASTER-2025'!A29),0))</f>
        <v>0</v>
      </c>
      <c r="W29" s="20">
        <f>IFERROR(VLOOKUP($A29,'[1]Donor-Served OBs'!A:N,10,0),0)</f>
        <v>0</v>
      </c>
      <c r="X29" s="20">
        <f>ROUNDUP(IF(A29=0,0,IFERROR(VLOOKUP($A29,'[1]Donor''s Assigned Kilos'!A:N,5,0),0)),0)</f>
        <v>0</v>
      </c>
      <c r="Y29" s="20">
        <f>IF(A29=0,0,IFERROR(SUMIFS([1]Population!O:O,[1]Population!J:J,'MASTER-2025'!A29),0))</f>
        <v>0</v>
      </c>
      <c r="Z29" s="18">
        <f>IFERROR(VLOOKUP($A29,'[1]Donor-Served OBs'!A:N,6,0),0)</f>
        <v>0</v>
      </c>
      <c r="AA29" s="18">
        <f>ROUNDUP(IF(A29=0,0,IFERROR(VLOOKUP($A29,'[1]Donor''s Assigned Kilos'!A:N,11,0),0)),0)</f>
        <v>0</v>
      </c>
      <c r="AB29" s="18">
        <f>IF(A29=0,0,IFERROR(SUMIFS([1]Population!U:U,[1]Population!J:J,'MASTER-2025'!A29),0))</f>
        <v>0</v>
      </c>
      <c r="AC29" s="19">
        <f>IFERROR(VLOOKUP($A29,'[1]Donor-Served OBs'!A:N,7,0),0)</f>
        <v>0</v>
      </c>
      <c r="AD29" s="19">
        <f>ROUNDUP(IF(A29=0,0,IFERROR(VLOOKUP($A29,'[1]Donor''s Assigned Kilos'!A:N,8,0),0)),0)</f>
        <v>0</v>
      </c>
      <c r="AE29" s="19">
        <f>IF(A29=0,0,IFERROR(SUMIFS([1]Population!R:R,[1]Population!J:J,'MASTER-2025'!A29),0))</f>
        <v>0</v>
      </c>
      <c r="AF29" s="20">
        <f>IFERROR(VLOOKUP($A29,'[1]Donor-Served OBs'!A:N,8,0),0)</f>
        <v>0</v>
      </c>
      <c r="AG29" s="20">
        <f>ROUNDUP(IF(A29=0,0,IFERROR(VLOOKUP($A29,'[1]Donor''s Assigned Kilos'!A:N,6,0),0)),0)</f>
        <v>0</v>
      </c>
      <c r="AH29" s="20">
        <f>IF(A29=0,0,IFERROR(SUMIFS([1]Population!P:P,[1]Population!J:J,'MASTER-2025'!A29),0))</f>
        <v>0</v>
      </c>
      <c r="AI29" s="18">
        <f>IFERROR(VLOOKUP($A29,'[1]Donor-Served OBs'!A:N,9,0),0)</f>
        <v>0</v>
      </c>
      <c r="AJ29" s="18">
        <f>ROUNDUP(IF(A29=0,0,IFERROR(VLOOKUP($A29,'[1]Donor''s Assigned Kilos'!A:N,12,0),0)),0)</f>
        <v>0</v>
      </c>
      <c r="AK29" s="18">
        <f>IF(A29=0,0,IFERROR(SUMIFS([1]Population!V:V,[1]Population!J:J,'MASTER-2025'!A29),0))</f>
        <v>0</v>
      </c>
      <c r="AL29" s="19">
        <f>IFERROR(VLOOKUP($A29,'[1]Donor-Served OBs'!A:N,16,0),0)</f>
        <v>0</v>
      </c>
      <c r="AM29" s="19">
        <f>ROUNDUP(IF(A29=0,0,IFERROR(VLOOKUP($A29,'[1]Donor''s Assigned Kilos'!A:O,16,0),0)),0)</f>
        <v>0</v>
      </c>
      <c r="AN29" s="19">
        <f>IF(A29=0,0,IFERROR(SUMIFS([1]Population!Z:Z,[1]Population!J:J,'MASTER-2025'!A29),0))</f>
        <v>0</v>
      </c>
      <c r="AO29" s="20">
        <f>IFERROR(VLOOKUP($A29,'[1]Donor-Served OBs'!A:N,11,0),0)</f>
        <v>0</v>
      </c>
      <c r="AP29" s="20">
        <f>ROUNDUP(IF(A29=0,0,IFERROR(VLOOKUP($A29,'[1]Donor''s Assigned Kilos'!A:N,13,0),0)),0)</f>
        <v>0</v>
      </c>
      <c r="AQ29" s="20">
        <f>IF(A29=0,0,IFERROR(SUMIFS([1]Population!W:W,[1]Population!J:J,'MASTER-2025'!A29),0))</f>
        <v>0</v>
      </c>
      <c r="AR29" s="18">
        <f>IFERROR(VLOOKUP($A29,'[1]Donor-Served OBs'!A:N,5,0),0)</f>
        <v>0</v>
      </c>
      <c r="AS29" s="18">
        <f>ROUNDUP(IF(A29=0,0,IFERROR(VLOOKUP($A29,'[1]Donor''s Assigned Kilos'!A:N,10,0),0)),0)</f>
        <v>0</v>
      </c>
      <c r="AT29" s="18">
        <f>IF(A29=0,0,IFERROR(SUMIFS([1]Population!T:T,[1]Population!J:J,'MASTER-2025'!A29),0))</f>
        <v>0</v>
      </c>
      <c r="AU29" s="19">
        <f>IFERROR(VLOOKUP($A29,'[1]Donor-Served OBs'!A:N,13,0),0)</f>
        <v>0</v>
      </c>
      <c r="AV29" s="19">
        <f>ROUNDUP(IF(A29=0,0,IFERROR(VLOOKUP($A29,'[1]Donor''s Assigned Kilos'!A:N,14,0),0)),0)</f>
        <v>0</v>
      </c>
      <c r="AW29" s="19">
        <f>IF(A29=0,0,IFERROR(SUMIFS([1]Population!X:X,[1]Population!J:J,'MASTER-2025'!A29),0))</f>
        <v>0</v>
      </c>
      <c r="AX29" s="20">
        <f>IFERROR(VLOOKUP($A29,'[1]Donor-Served OBs'!A:N,16,0),0)</f>
        <v>0</v>
      </c>
      <c r="AY29" s="20">
        <f>ROUNDUP(IF(A29=0,0,IFERROR(VLOOKUP($A29,'[1]Donor''s Assigned Kilos'!A:O,16,0),0)),0)</f>
        <v>0</v>
      </c>
      <c r="AZ29" s="20">
        <f>IF(A29=0,0,IFERROR(SUMIFS([1]Population!Y:Y,[1]Population!J:J,'MASTER-2025'!A29),0))</f>
        <v>0</v>
      </c>
      <c r="BA29" s="21">
        <f t="shared" si="15"/>
        <v>0</v>
      </c>
      <c r="BB29" s="21">
        <f t="shared" si="23"/>
        <v>0</v>
      </c>
      <c r="BC29" s="21">
        <f t="shared" si="24"/>
        <v>0</v>
      </c>
      <c r="BD29" s="21">
        <f t="shared" si="26"/>
        <v>0</v>
      </c>
      <c r="BE29" s="22" t="e">
        <f>IF(A29=0,0,SUMIFS([1]Population!C:C,[1]Population!A:A,'MASTER-2025'!A29))</f>
        <v>#VALUE!</v>
      </c>
      <c r="BF29" s="22" t="e">
        <f>IF(A29=0,0,SUMIFS([1]Population!D:D,[1]Population!A:A,'MASTER-2025'!A29))</f>
        <v>#VALUE!</v>
      </c>
      <c r="BG29" s="22" t="e">
        <f>IF(A29=0,0,SUMIFS([1]Population!E:E,[1]Population!A:A,'MASTER-2025'!A29))</f>
        <v>#VALUE!</v>
      </c>
      <c r="BH29" s="22" t="e">
        <f>IF(A29=0,0,SUMIFS([1]Population!F:F,[1]Population!A:A,'MASTER-2025'!A29))</f>
        <v>#VALUE!</v>
      </c>
      <c r="BI29" s="22" t="e">
        <f t="shared" si="18"/>
        <v>#VALUE!</v>
      </c>
      <c r="BJ29" s="23" t="e">
        <f t="shared" si="6"/>
        <v>#VALUE!</v>
      </c>
      <c r="BK29" s="22" t="e">
        <f>IF(A29=0,0,SUMIFS([1]Population!G:G,[1]Population!A:A,'MASTER-2025'!A29))</f>
        <v>#VALUE!</v>
      </c>
      <c r="BL29" s="24" cm="1">
        <f t="array" ref="BL29:BW29">IFERROR(VLOOKUP(A29,'[1]Now-OB-kg-POB-25'!A:AQ,{3,4,5,6,7,8,9,10,11,12,13,14},0),0)</f>
        <v>108</v>
      </c>
      <c r="BM29" s="24">
        <v>111</v>
      </c>
      <c r="BN29" s="24">
        <v>91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BX29" s="24">
        <f t="shared" si="7"/>
        <v>310</v>
      </c>
      <c r="BY29" s="25" cm="1">
        <f t="array" ref="BY29:CJ29">IFERROR(VLOOKUP(A29,'[1]Now-OB-kg-POB-25'!A:AQ,{17,18,19,20,21,22,23,24,25,26,27,28},0),0)</f>
        <v>17272</v>
      </c>
      <c r="BZ29" s="25">
        <v>6230</v>
      </c>
      <c r="CA29" s="25">
        <v>5231</v>
      </c>
      <c r="CB29" s="25">
        <v>0</v>
      </c>
      <c r="CC29" s="25">
        <v>0</v>
      </c>
      <c r="CD29" s="25">
        <v>0</v>
      </c>
      <c r="CE29" s="25">
        <v>0</v>
      </c>
      <c r="CF29" s="25">
        <v>0</v>
      </c>
      <c r="CG29" s="25">
        <v>0</v>
      </c>
      <c r="CH29" s="25">
        <v>0</v>
      </c>
      <c r="CI29" s="25">
        <v>0</v>
      </c>
      <c r="CJ29" s="25">
        <v>0</v>
      </c>
      <c r="CK29" s="25">
        <f t="shared" si="8"/>
        <v>28733</v>
      </c>
      <c r="CL29" s="26" cm="1">
        <f t="array" ref="CL29:CW29">IFERROR(VLOOKUP(A29,'[1]Now-OB-kg-POB-25'!A:AQ,{31,32,33,34,35,36,37,38,39,40,41,42},0),0)</f>
        <v>33883</v>
      </c>
      <c r="CM29" s="26">
        <v>35343</v>
      </c>
      <c r="CN29" s="26">
        <v>26104</v>
      </c>
      <c r="CO29" s="26">
        <v>0</v>
      </c>
      <c r="CP29" s="26">
        <v>0</v>
      </c>
      <c r="CQ29" s="26">
        <v>0</v>
      </c>
      <c r="CR29" s="26">
        <v>0</v>
      </c>
      <c r="CS29" s="26">
        <v>0</v>
      </c>
      <c r="CT29" s="26">
        <v>0</v>
      </c>
      <c r="CU29" s="26">
        <v>0</v>
      </c>
      <c r="CV29" s="26">
        <v>0</v>
      </c>
      <c r="CW29" s="26">
        <v>0</v>
      </c>
      <c r="CX29" s="26">
        <f t="shared" si="9"/>
        <v>95330</v>
      </c>
      <c r="CY29" s="14" t="str">
        <f>IF(A29=0,0,IFERROR(VLOOKUP(A29,'[1]Info Donantes'!C:F,2,0),"Sin Contacto"))</f>
        <v>Sin Contacto</v>
      </c>
      <c r="CZ29" s="14" t="str">
        <f>IF(A29=0,0,IFERROR(VLOOKUP(A29,'[1]Info Donantes'!C:F,3,0),"Sin Correo"))</f>
        <v>Sin Correo</v>
      </c>
      <c r="DA29" s="14" t="str">
        <f>IF(A29=0,0,IFERROR(VLOOKUP(A29,'[1]Info Donantes'!C:F,4,0),"Sin Telefono"))</f>
        <v>Sin Telefono</v>
      </c>
      <c r="DB29" s="14" t="s">
        <v>161</v>
      </c>
    </row>
    <row r="30" spans="1:106" x14ac:dyDescent="0.55000000000000004">
      <c r="A30" s="14" t="s">
        <v>162</v>
      </c>
      <c r="B30" s="15">
        <f>INT(IFERROR(VLOOKUP(A30,'[1]Donor Summary'!C:F,3,0),0))</f>
        <v>0</v>
      </c>
      <c r="C30" s="15">
        <f>INT(ROUND(IFERROR(VLOOKUP(A30,'[1]Donor Summary'!C:F,4,0),0),1))</f>
        <v>0</v>
      </c>
      <c r="D30" s="16">
        <f t="shared" si="19"/>
        <v>0</v>
      </c>
      <c r="E30" s="17" t="str">
        <f t="shared" si="20"/>
        <v>0.00%</v>
      </c>
      <c r="F30" s="17" t="str">
        <f t="shared" si="21"/>
        <v>0.0%</v>
      </c>
      <c r="G30" s="15">
        <f t="shared" si="25"/>
        <v>0</v>
      </c>
      <c r="H30" s="18"/>
      <c r="I30" s="18">
        <f>IFERROR(VLOOKUP(A30,'[1]Lot All by Part'!T:Y,6,0),0)</f>
        <v>0</v>
      </c>
      <c r="J30" s="18"/>
      <c r="K30" s="19">
        <f>IFERROR(VLOOKUP($A30,'[1]Donor-Served OBs'!A:N,3,0),0)</f>
        <v>0</v>
      </c>
      <c r="L30" s="19">
        <f>ROUNDUP(IF(A30=0,0,IFERROR(VLOOKUP($A30,'[1]Donor''s Assigned Kilos'!A:O,3,0),0)),0)</f>
        <v>0</v>
      </c>
      <c r="M30" s="19">
        <f>IF(A30=0,0,IFERROR(SUMIFS([1]Population!M:M,[1]Population!J:J,'MASTER-2025'!A30),0))</f>
        <v>0</v>
      </c>
      <c r="N30" s="20">
        <f>IFERROR(VLOOKUP($A30,'[1]Donor-Served OBs'!A:N,4,0),0)</f>
        <v>0</v>
      </c>
      <c r="O30" s="20">
        <f>ROUNDUP(IF(A30=0,0,IFERROR(VLOOKUP($A30,'[1]Donor''s Assigned Kilos'!A:O,4,0),0)),0)</f>
        <v>0</v>
      </c>
      <c r="P30" s="20">
        <f>IF(A30=0,0,IFERROR(SUMIFS([1]Population!N:N,[1]Population!J:J,'MASTER-2025'!A30),0))</f>
        <v>0</v>
      </c>
      <c r="Q30" s="18">
        <f>IFERROR(VLOOKUP($A30,'[1]Donor-Served OBs'!A:N,2,0),0)</f>
        <v>0</v>
      </c>
      <c r="R30" s="18">
        <f>ROUNDUP(ROUND(IF(A30=0,0,IFERROR(VLOOKUP($A30,'[1]Donor''s Assigned Kilos'!A:O,9,0),0)),1),0)</f>
        <v>0</v>
      </c>
      <c r="S30" s="18">
        <f>IF(A30=0,0,IFERROR(SUMIFS([1]Population!S:S,[1]Population!J:J,'MASTER-2025'!A30),0))</f>
        <v>0</v>
      </c>
      <c r="T30" s="19">
        <f>IFERROR(VLOOKUP($A30,'[1]Donor-Served OBs'!A:N,12,0),0)</f>
        <v>0</v>
      </c>
      <c r="U30" s="19">
        <f>ROUNDUP(IF(A30=0,0,IF(A30=0,0,IFERROR(VLOOKUP($A30,'[1]Donor''s Assigned Kilos'!A:O,7,0),0))),0)</f>
        <v>0</v>
      </c>
      <c r="V30" s="19">
        <f>IF(A30=0,0,IFERROR(SUMIFS([1]Population!Q:Q,[1]Population!J:J,'MASTER-2025'!A30),0))</f>
        <v>0</v>
      </c>
      <c r="W30" s="20">
        <f>IFERROR(VLOOKUP($A30,'[1]Donor-Served OBs'!A:N,10,0),0)</f>
        <v>0</v>
      </c>
      <c r="X30" s="20">
        <f>ROUNDUP(IF(A30=0,0,IFERROR(VLOOKUP($A30,'[1]Donor''s Assigned Kilos'!A:N,5,0),0)),0)</f>
        <v>0</v>
      </c>
      <c r="Y30" s="20">
        <f>IF(A30=0,0,IFERROR(SUMIFS([1]Population!O:O,[1]Population!J:J,'MASTER-2025'!A30),0))</f>
        <v>0</v>
      </c>
      <c r="Z30" s="18">
        <f>IFERROR(VLOOKUP($A30,'[1]Donor-Served OBs'!A:N,6,0),0)</f>
        <v>0</v>
      </c>
      <c r="AA30" s="18">
        <f>ROUNDUP(IF(A30=0,0,IFERROR(VLOOKUP($A30,'[1]Donor''s Assigned Kilos'!A:N,11,0),0)),0)</f>
        <v>0</v>
      </c>
      <c r="AB30" s="18">
        <f>IF(A30=0,0,IFERROR(SUMIFS([1]Population!U:U,[1]Population!J:J,'MASTER-2025'!A30),0))</f>
        <v>0</v>
      </c>
      <c r="AC30" s="19">
        <f>IFERROR(VLOOKUP($A30,'[1]Donor-Served OBs'!A:N,7,0),0)</f>
        <v>0</v>
      </c>
      <c r="AD30" s="19">
        <f>ROUNDUP(IF(A30=0,0,IFERROR(VLOOKUP($A30,'[1]Donor''s Assigned Kilos'!A:N,8,0),0)),0)</f>
        <v>0</v>
      </c>
      <c r="AE30" s="19">
        <f>IF(A30=0,0,IFERROR(SUMIFS([1]Population!R:R,[1]Population!J:J,'MASTER-2025'!A30),0))</f>
        <v>0</v>
      </c>
      <c r="AF30" s="20">
        <f>IFERROR(VLOOKUP($A30,'[1]Donor-Served OBs'!A:N,8,0),0)</f>
        <v>0</v>
      </c>
      <c r="AG30" s="20">
        <f>ROUNDUP(IF(A30=0,0,IFERROR(VLOOKUP($A30,'[1]Donor''s Assigned Kilos'!A:N,6,0),0)),0)</f>
        <v>0</v>
      </c>
      <c r="AH30" s="20">
        <f>IF(A30=0,0,IFERROR(SUMIFS([1]Population!P:P,[1]Population!J:J,'MASTER-2025'!A30),0))</f>
        <v>0</v>
      </c>
      <c r="AI30" s="18">
        <f>IFERROR(VLOOKUP($A30,'[1]Donor-Served OBs'!A:N,9,0),0)</f>
        <v>0</v>
      </c>
      <c r="AJ30" s="18">
        <f>ROUNDUP(IF(A30=0,0,IFERROR(VLOOKUP($A30,'[1]Donor''s Assigned Kilos'!A:N,12,0),0)),0)</f>
        <v>0</v>
      </c>
      <c r="AK30" s="18">
        <f>IF(A30=0,0,IFERROR(SUMIFS([1]Population!V:V,[1]Population!J:J,'MASTER-2025'!A30),0))</f>
        <v>0</v>
      </c>
      <c r="AL30" s="19">
        <f>IFERROR(VLOOKUP($A30,'[1]Donor-Served OBs'!A:N,16,0),0)</f>
        <v>0</v>
      </c>
      <c r="AM30" s="19">
        <f>ROUNDUP(IF(A30=0,0,IFERROR(VLOOKUP($A30,'[1]Donor''s Assigned Kilos'!A:O,16,0),0)),0)</f>
        <v>0</v>
      </c>
      <c r="AN30" s="19">
        <f>IF(A30=0,0,IFERROR(SUMIFS([1]Population!Z:Z,[1]Population!J:J,'MASTER-2025'!A30),0))</f>
        <v>0</v>
      </c>
      <c r="AO30" s="20">
        <f>IFERROR(VLOOKUP($A30,'[1]Donor-Served OBs'!A:N,11,0),0)</f>
        <v>0</v>
      </c>
      <c r="AP30" s="20">
        <f>ROUNDUP(IF(A30=0,0,IFERROR(VLOOKUP($A30,'[1]Donor''s Assigned Kilos'!A:N,13,0),0)),0)</f>
        <v>0</v>
      </c>
      <c r="AQ30" s="20">
        <f>IF(A30=0,0,IFERROR(SUMIFS([1]Population!W:W,[1]Population!J:J,'MASTER-2025'!A30),0))</f>
        <v>0</v>
      </c>
      <c r="AR30" s="18">
        <f>IFERROR(VLOOKUP($A30,'[1]Donor-Served OBs'!A:N,5,0),0)</f>
        <v>0</v>
      </c>
      <c r="AS30" s="18">
        <f>ROUNDUP(IF(A30=0,0,IFERROR(VLOOKUP($A30,'[1]Donor''s Assigned Kilos'!A:N,10,0),0)),0)</f>
        <v>0</v>
      </c>
      <c r="AT30" s="18">
        <f>IF(A30=0,0,IFERROR(SUMIFS([1]Population!T:T,[1]Population!J:J,'MASTER-2025'!A30),0))</f>
        <v>0</v>
      </c>
      <c r="AU30" s="19">
        <f>IFERROR(VLOOKUP($A30,'[1]Donor-Served OBs'!A:N,13,0),0)</f>
        <v>0</v>
      </c>
      <c r="AV30" s="19">
        <f>ROUNDUP(IF(A30=0,0,IFERROR(VLOOKUP($A30,'[1]Donor''s Assigned Kilos'!A:N,14,0),0)),0)</f>
        <v>0</v>
      </c>
      <c r="AW30" s="19">
        <f>IF(A30=0,0,IFERROR(SUMIFS([1]Population!X:X,[1]Population!J:J,'MASTER-2025'!A30),0))</f>
        <v>0</v>
      </c>
      <c r="AX30" s="20">
        <f>IFERROR(VLOOKUP($A30,'[1]Donor-Served OBs'!A:N,16,0),0)</f>
        <v>0</v>
      </c>
      <c r="AY30" s="20">
        <f>ROUNDUP(IF(A30=0,0,IFERROR(VLOOKUP($A30,'[1]Donor''s Assigned Kilos'!A:O,16,0),0)),0)</f>
        <v>0</v>
      </c>
      <c r="AZ30" s="20">
        <f>IF(A30=0,0,IFERROR(SUMIFS([1]Population!Y:Y,[1]Population!J:J,'MASTER-2025'!A30),0))</f>
        <v>0</v>
      </c>
      <c r="BA30" s="21">
        <f t="shared" si="15"/>
        <v>0</v>
      </c>
      <c r="BB30" s="21">
        <f t="shared" si="23"/>
        <v>0</v>
      </c>
      <c r="BC30" s="21">
        <f t="shared" si="24"/>
        <v>0</v>
      </c>
      <c r="BD30" s="21">
        <f t="shared" si="26"/>
        <v>0</v>
      </c>
      <c r="BE30" s="22" t="e">
        <f>IF(A30=0,0,SUMIFS([1]Population!C:C,[1]Population!A:A,'MASTER-2025'!A30))</f>
        <v>#VALUE!</v>
      </c>
      <c r="BF30" s="22" t="e">
        <f>IF(A30=0,0,SUMIFS([1]Population!D:D,[1]Population!A:A,'MASTER-2025'!A30))</f>
        <v>#VALUE!</v>
      </c>
      <c r="BG30" s="22" t="e">
        <f>IF(A30=0,0,SUMIFS([1]Population!E:E,[1]Population!A:A,'MASTER-2025'!A30))</f>
        <v>#VALUE!</v>
      </c>
      <c r="BH30" s="22" t="e">
        <f>IF(A30=0,0,SUMIFS([1]Population!F:F,[1]Population!A:A,'MASTER-2025'!A30))</f>
        <v>#VALUE!</v>
      </c>
      <c r="BI30" s="22" t="e">
        <f t="shared" si="18"/>
        <v>#VALUE!</v>
      </c>
      <c r="BJ30" s="23" t="e">
        <f t="shared" si="6"/>
        <v>#VALUE!</v>
      </c>
      <c r="BK30" s="22" t="e">
        <f>IF(A30=0,0,SUMIFS([1]Population!G:G,[1]Population!A:A,'MASTER-2025'!A30))</f>
        <v>#VALUE!</v>
      </c>
      <c r="BL30" s="24" cm="1">
        <f t="array" ref="BL30:BW30">IFERROR(VLOOKUP(A30,'[1]Now-OB-kg-POB-25'!A:AQ,{3,4,5,6,7,8,9,10,11,12,13,14},0),0)</f>
        <v>9</v>
      </c>
      <c r="BM30" s="24">
        <v>30</v>
      </c>
      <c r="BN30" s="24">
        <v>52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BX30" s="24">
        <f t="shared" si="7"/>
        <v>91</v>
      </c>
      <c r="BY30" s="25" cm="1">
        <f t="array" ref="BY30:CJ30">IFERROR(VLOOKUP(A30,'[1]Now-OB-kg-POB-25'!A:AQ,{17,18,19,20,21,22,23,24,25,26,27,28},0),0)</f>
        <v>231</v>
      </c>
      <c r="BZ30" s="25">
        <v>190</v>
      </c>
      <c r="CA30" s="25">
        <v>673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f t="shared" si="8"/>
        <v>1094</v>
      </c>
      <c r="CL30" s="26" cm="1">
        <f t="array" ref="CL30:CW30">IFERROR(VLOOKUP(A30,'[1]Now-OB-kg-POB-25'!A:AQ,{31,32,33,34,35,36,37,38,39,40,41,42},0),0)</f>
        <v>6572</v>
      </c>
      <c r="CM30" s="26">
        <v>7619</v>
      </c>
      <c r="CN30" s="26">
        <v>20817</v>
      </c>
      <c r="CO30" s="26">
        <v>0</v>
      </c>
      <c r="CP30" s="26">
        <v>0</v>
      </c>
      <c r="CQ30" s="26">
        <v>0</v>
      </c>
      <c r="CR30" s="26">
        <v>0</v>
      </c>
      <c r="CS30" s="26">
        <v>0</v>
      </c>
      <c r="CT30" s="26">
        <v>0</v>
      </c>
      <c r="CU30" s="26">
        <v>0</v>
      </c>
      <c r="CV30" s="26">
        <v>0</v>
      </c>
      <c r="CW30" s="26">
        <v>0</v>
      </c>
      <c r="CX30" s="26">
        <f t="shared" si="9"/>
        <v>35008</v>
      </c>
      <c r="CY30" s="14" t="str">
        <f>IF(A30=0,0,IFERROR(VLOOKUP(A30,'[1]Info Donantes'!C:F,2,0),"Sin Contacto"))</f>
        <v>Sin Contacto</v>
      </c>
      <c r="CZ30" s="14" t="str">
        <f>IF(A30=0,0,IFERROR(VLOOKUP(A30,'[1]Info Donantes'!C:F,3,0),"Sin Correo"))</f>
        <v>Sin Correo</v>
      </c>
      <c r="DA30" s="14" t="str">
        <f>IF(A30=0,0,IFERROR(VLOOKUP(A30,'[1]Info Donantes'!C:F,4,0),"Sin Telefono"))</f>
        <v>Sin Telefono</v>
      </c>
      <c r="DB30" s="14" t="s">
        <v>163</v>
      </c>
    </row>
    <row r="31" spans="1:106" x14ac:dyDescent="0.55000000000000004">
      <c r="A31" s="14" t="s">
        <v>164</v>
      </c>
      <c r="B31" s="15">
        <f>INT(IFERROR(VLOOKUP(A31,'[1]Donor Summary'!C:F,3,0),0))</f>
        <v>0</v>
      </c>
      <c r="C31" s="15">
        <f>INT(ROUND(IFERROR(VLOOKUP(A31,'[1]Donor Summary'!C:F,4,0),0),1))</f>
        <v>2100</v>
      </c>
      <c r="D31" s="16">
        <f t="shared" si="19"/>
        <v>2100</v>
      </c>
      <c r="E31" s="17" t="str">
        <f t="shared" si="20"/>
        <v>100.00%</v>
      </c>
      <c r="F31" s="17" t="str">
        <f t="shared" si="21"/>
        <v>0.0%</v>
      </c>
      <c r="G31" s="15">
        <f t="shared" si="25"/>
        <v>6300</v>
      </c>
      <c r="H31" s="18"/>
      <c r="I31" s="18">
        <f>IFERROR(VLOOKUP(A31,'[1]Lot All by Part'!T:Y,6,0),0)</f>
        <v>0</v>
      </c>
      <c r="J31" s="18"/>
      <c r="K31" s="19">
        <f>IFERROR(VLOOKUP($A31,'[1]Donor-Served OBs'!A:N,3,0),0)</f>
        <v>13</v>
      </c>
      <c r="L31" s="19">
        <f>ROUNDUP(IF(A31=0,0,IFERROR(VLOOKUP($A31,'[1]Donor''s Assigned Kilos'!A:O,3,0),0)),0)</f>
        <v>520</v>
      </c>
      <c r="M31" s="19">
        <f>IF(A31=0,0,IFERROR(SUMIFS([1]Population!M:M,[1]Population!J:J,'MASTER-2025'!A31),0))</f>
        <v>0</v>
      </c>
      <c r="N31" s="20">
        <f>IFERROR(VLOOKUP($A31,'[1]Donor-Served OBs'!A:N,4,0),0)</f>
        <v>23</v>
      </c>
      <c r="O31" s="20">
        <f>ROUNDUP(IF(A31=0,0,IFERROR(VLOOKUP($A31,'[1]Donor''s Assigned Kilos'!A:O,4,0),0)),0)</f>
        <v>863</v>
      </c>
      <c r="P31" s="20">
        <f>IF(A31=0,0,IFERROR(SUMIFS([1]Population!N:N,[1]Population!J:J,'MASTER-2025'!A31),0))</f>
        <v>0</v>
      </c>
      <c r="Q31" s="18">
        <f>IFERROR(VLOOKUP($A31,'[1]Donor-Served OBs'!A:N,2,0),0)</f>
        <v>3</v>
      </c>
      <c r="R31" s="18">
        <f>ROUNDUP(ROUND(IF(A31=0,0,IFERROR(VLOOKUP($A31,'[1]Donor''s Assigned Kilos'!A:O,9,0),0)),1),0)</f>
        <v>44</v>
      </c>
      <c r="S31" s="18">
        <f>IF(A31=0,0,IFERROR(SUMIFS([1]Population!S:S,[1]Population!J:J,'MASTER-2025'!A31),0))</f>
        <v>0</v>
      </c>
      <c r="T31" s="19">
        <f>IFERROR(VLOOKUP($A31,'[1]Donor-Served OBs'!A:N,12,0),0)</f>
        <v>2</v>
      </c>
      <c r="U31" s="19">
        <f>ROUNDUP(IF(A31=0,0,IF(A31=0,0,IFERROR(VLOOKUP($A31,'[1]Donor''s Assigned Kilos'!A:O,7,0),0))),0)</f>
        <v>44</v>
      </c>
      <c r="V31" s="19">
        <f>IF(A31=0,0,IFERROR(SUMIFS([1]Population!Q:Q,[1]Population!J:J,'MASTER-2025'!A31),0))</f>
        <v>0</v>
      </c>
      <c r="W31" s="20">
        <f>IFERROR(VLOOKUP($A31,'[1]Donor-Served OBs'!A:N,10,0),0)</f>
        <v>7</v>
      </c>
      <c r="X31" s="20">
        <f>ROUNDUP(IF(A31=0,0,IFERROR(VLOOKUP($A31,'[1]Donor''s Assigned Kilos'!A:N,5,0),0)),0)</f>
        <v>128</v>
      </c>
      <c r="Y31" s="20">
        <f>IF(A31=0,0,IFERROR(SUMIFS([1]Population!O:O,[1]Population!J:J,'MASTER-2025'!A31),0))</f>
        <v>0</v>
      </c>
      <c r="Z31" s="18">
        <f>IFERROR(VLOOKUP($A31,'[1]Donor-Served OBs'!A:N,6,0),0)</f>
        <v>2</v>
      </c>
      <c r="AA31" s="18">
        <f>ROUNDUP(IF(A31=0,0,IFERROR(VLOOKUP($A31,'[1]Donor''s Assigned Kilos'!A:N,11,0),0)),0)</f>
        <v>50</v>
      </c>
      <c r="AB31" s="18">
        <f>IF(A31=0,0,IFERROR(SUMIFS([1]Population!U:U,[1]Population!J:J,'MASTER-2025'!A31),0))</f>
        <v>0</v>
      </c>
      <c r="AC31" s="19">
        <f>IFERROR(VLOOKUP($A31,'[1]Donor-Served OBs'!A:N,7,0),0)</f>
        <v>3</v>
      </c>
      <c r="AD31" s="19">
        <f>ROUNDUP(IF(A31=0,0,IFERROR(VLOOKUP($A31,'[1]Donor''s Assigned Kilos'!A:N,8,0),0)),0)</f>
        <v>116</v>
      </c>
      <c r="AE31" s="19">
        <f>IF(A31=0,0,IFERROR(SUMIFS([1]Population!R:R,[1]Population!J:J,'MASTER-2025'!A31),0))</f>
        <v>0</v>
      </c>
      <c r="AF31" s="20">
        <f>IFERROR(VLOOKUP($A31,'[1]Donor-Served OBs'!A:N,8,0),0)</f>
        <v>1</v>
      </c>
      <c r="AG31" s="20">
        <f>ROUNDUP(IF(A31=0,0,IFERROR(VLOOKUP($A31,'[1]Donor''s Assigned Kilos'!A:N,6,0),0)),0)</f>
        <v>40</v>
      </c>
      <c r="AH31" s="20">
        <f>IF(A31=0,0,IFERROR(SUMIFS([1]Population!P:P,[1]Population!J:J,'MASTER-2025'!A31),0))</f>
        <v>0</v>
      </c>
      <c r="AI31" s="18">
        <f>IFERROR(VLOOKUP($A31,'[1]Donor-Served OBs'!A:N,9,0),0)</f>
        <v>1</v>
      </c>
      <c r="AJ31" s="18">
        <f>ROUNDUP(IF(A31=0,0,IFERROR(VLOOKUP($A31,'[1]Donor''s Assigned Kilos'!A:N,12,0),0)),0)</f>
        <v>14</v>
      </c>
      <c r="AK31" s="18">
        <f>IF(A31=0,0,IFERROR(SUMIFS([1]Population!V:V,[1]Population!J:J,'MASTER-2025'!A31),0))</f>
        <v>0</v>
      </c>
      <c r="AL31" s="19">
        <f>IFERROR(VLOOKUP($A31,'[1]Donor-Served OBs'!A:N,16,0),0)</f>
        <v>0</v>
      </c>
      <c r="AM31" s="19">
        <f>ROUNDUP(IF(A31=0,0,IFERROR(VLOOKUP($A31,'[1]Donor''s Assigned Kilos'!A:O,16,0),0)),0)</f>
        <v>0</v>
      </c>
      <c r="AN31" s="19">
        <f>IF(A31=0,0,IFERROR(SUMIFS([1]Population!Z:Z,[1]Population!J:J,'MASTER-2025'!A31),0))</f>
        <v>0</v>
      </c>
      <c r="AO31" s="20">
        <f>IFERROR(VLOOKUP($A31,'[1]Donor-Served OBs'!A:N,11,0),0)</f>
        <v>1</v>
      </c>
      <c r="AP31" s="20">
        <f>ROUNDUP(IF(A31=0,0,IFERROR(VLOOKUP($A31,'[1]Donor''s Assigned Kilos'!A:N,13,0),0)),0)</f>
        <v>5</v>
      </c>
      <c r="AQ31" s="20">
        <f>IF(A31=0,0,IFERROR(SUMIFS([1]Population!W:W,[1]Population!J:J,'MASTER-2025'!A31),0))</f>
        <v>0</v>
      </c>
      <c r="AR31" s="18">
        <f>IFERROR(VLOOKUP($A31,'[1]Donor-Served OBs'!A:N,5,0),0)</f>
        <v>2</v>
      </c>
      <c r="AS31" s="18">
        <f>ROUNDUP(IF(A31=0,0,IFERROR(VLOOKUP($A31,'[1]Donor''s Assigned Kilos'!A:N,10,0),0)),0)</f>
        <v>45</v>
      </c>
      <c r="AT31" s="18">
        <f>IF(A31=0,0,IFERROR(SUMIFS([1]Population!T:T,[1]Population!J:J,'MASTER-2025'!A31),0))</f>
        <v>0</v>
      </c>
      <c r="AU31" s="19">
        <f>IFERROR(VLOOKUP($A31,'[1]Donor-Served OBs'!A:N,13,0),0)</f>
        <v>0</v>
      </c>
      <c r="AV31" s="19">
        <f>ROUNDUP(IF(A31=0,0,IFERROR(VLOOKUP($A31,'[1]Donor''s Assigned Kilos'!A:N,14,0),0)),0)</f>
        <v>0</v>
      </c>
      <c r="AW31" s="19">
        <f>IF(A31=0,0,IFERROR(SUMIFS([1]Population!X:X,[1]Population!J:J,'MASTER-2025'!A31),0))</f>
        <v>0</v>
      </c>
      <c r="AX31" s="20">
        <f>IFERROR(VLOOKUP($A31,'[1]Donor-Served OBs'!A:N,16,0),0)</f>
        <v>0</v>
      </c>
      <c r="AY31" s="20">
        <f>ROUNDUP(IF(A31=0,0,IFERROR(VLOOKUP($A31,'[1]Donor''s Assigned Kilos'!A:O,16,0),0)),0)</f>
        <v>0</v>
      </c>
      <c r="AZ31" s="20">
        <f>IF(A31=0,0,IFERROR(SUMIFS([1]Population!Y:Y,[1]Population!J:J,'MASTER-2025'!A31),0))</f>
        <v>0</v>
      </c>
      <c r="BA31" s="21">
        <f t="shared" si="15"/>
        <v>58</v>
      </c>
      <c r="BB31" s="21">
        <f t="shared" si="23"/>
        <v>1869</v>
      </c>
      <c r="BC31" s="21">
        <f t="shared" si="24"/>
        <v>1471</v>
      </c>
      <c r="BD31" s="21">
        <f t="shared" si="26"/>
        <v>0</v>
      </c>
      <c r="BE31" s="22" t="e">
        <f>IF(A31=0,0,SUMIFS([1]Population!C:C,[1]Population!A:A,'MASTER-2025'!A31))</f>
        <v>#VALUE!</v>
      </c>
      <c r="BF31" s="22" t="e">
        <f>IF(A31=0,0,SUMIFS([1]Population!D:D,[1]Population!A:A,'MASTER-2025'!A31))</f>
        <v>#VALUE!</v>
      </c>
      <c r="BG31" s="22" t="e">
        <f>IF(A31=0,0,SUMIFS([1]Population!E:E,[1]Population!A:A,'MASTER-2025'!A31))</f>
        <v>#VALUE!</v>
      </c>
      <c r="BH31" s="22" t="e">
        <f>IF(A31=0,0,SUMIFS([1]Population!F:F,[1]Population!A:A,'MASTER-2025'!A31))</f>
        <v>#VALUE!</v>
      </c>
      <c r="BI31" s="22" t="e">
        <f t="shared" si="18"/>
        <v>#VALUE!</v>
      </c>
      <c r="BJ31" s="23" t="e">
        <f t="shared" si="6"/>
        <v>#VALUE!</v>
      </c>
      <c r="BK31" s="22" t="e">
        <f>IF(A31=0,0,SUMIFS([1]Population!G:G,[1]Population!A:A,'MASTER-2025'!A31))</f>
        <v>#VALUE!</v>
      </c>
      <c r="BL31" s="24" cm="1">
        <f t="array" ref="BL31:BW31">IFERROR(VLOOKUP(A31,'[1]Now-OB-kg-POB-25'!A:AQ,{3,4,5,6,7,8,9,10,11,12,13,14},0),0)</f>
        <v>78</v>
      </c>
      <c r="BM31" s="24">
        <v>50</v>
      </c>
      <c r="BN31" s="24">
        <v>58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BX31" s="24">
        <f t="shared" si="7"/>
        <v>186</v>
      </c>
      <c r="BY31" s="25" cm="1">
        <f t="array" ref="BY31:CJ31">IFERROR(VLOOKUP(A31,'[1]Now-OB-kg-POB-25'!A:AQ,{17,18,19,20,21,22,23,24,25,26,27,28},0),0)</f>
        <v>1940</v>
      </c>
      <c r="BZ31" s="25">
        <v>1150</v>
      </c>
      <c r="CA31" s="25">
        <v>2100</v>
      </c>
      <c r="CB31" s="25">
        <v>0</v>
      </c>
      <c r="CC31" s="25">
        <v>0</v>
      </c>
      <c r="CD31" s="25">
        <v>0</v>
      </c>
      <c r="CE31" s="25">
        <v>0</v>
      </c>
      <c r="CF31" s="25">
        <v>0</v>
      </c>
      <c r="CG31" s="25">
        <v>0</v>
      </c>
      <c r="CH31" s="25">
        <v>0</v>
      </c>
      <c r="CI31" s="25">
        <v>0</v>
      </c>
      <c r="CJ31" s="25">
        <v>0</v>
      </c>
      <c r="CK31" s="25">
        <f t="shared" si="8"/>
        <v>5190</v>
      </c>
      <c r="CL31" s="26" cm="1">
        <f t="array" ref="CL31:CW31">IFERROR(VLOOKUP(A31,'[1]Now-OB-kg-POB-25'!A:AQ,{31,32,33,34,35,36,37,38,39,40,41,42},0),0)</f>
        <v>23569</v>
      </c>
      <c r="CM31" s="26">
        <v>16081</v>
      </c>
      <c r="CN31" s="26">
        <v>17263</v>
      </c>
      <c r="CO31" s="26">
        <v>0</v>
      </c>
      <c r="CP31" s="26">
        <v>0</v>
      </c>
      <c r="CQ31" s="26">
        <v>0</v>
      </c>
      <c r="CR31" s="26">
        <v>0</v>
      </c>
      <c r="CS31" s="26">
        <v>0</v>
      </c>
      <c r="CT31" s="26">
        <v>0</v>
      </c>
      <c r="CU31" s="26">
        <v>0</v>
      </c>
      <c r="CV31" s="26">
        <v>0</v>
      </c>
      <c r="CW31" s="26">
        <v>0</v>
      </c>
      <c r="CX31" s="26">
        <f t="shared" si="9"/>
        <v>56913</v>
      </c>
      <c r="CY31" s="14" t="str">
        <f>IF(A31=0,0,IFERROR(VLOOKUP(A31,'[1]Info Donantes'!C:F,2,0),"Sin Contacto"))</f>
        <v>MARIA PINZON</v>
      </c>
      <c r="CZ31" s="14" t="str">
        <f>IF(A31=0,0,IFERROR(VLOOKUP(A31,'[1]Info Donantes'!C:F,3,0),"Sin Correo"))</f>
        <v>igalvez@proserv.com.pa</v>
      </c>
      <c r="DA31" s="14" t="str">
        <f>IF(A31=0,0,IFERROR(VLOOKUP(A31,'[1]Info Donantes'!C:F,4,0),"Sin Telefono"))</f>
        <v>6672-0932</v>
      </c>
      <c r="DB31" s="14" t="s">
        <v>165</v>
      </c>
    </row>
    <row r="32" spans="1:106" x14ac:dyDescent="0.55000000000000004">
      <c r="A32" s="14" t="s">
        <v>166</v>
      </c>
      <c r="B32" s="15">
        <f>INT(IFERROR(VLOOKUP(A32,'[1]Donor Summary'!C:F,3,0),0))</f>
        <v>0</v>
      </c>
      <c r="C32" s="15">
        <f>INT(ROUND(IFERROR(VLOOKUP(A32,'[1]Donor Summary'!C:F,4,0),0),1))</f>
        <v>3465</v>
      </c>
      <c r="D32" s="16">
        <f t="shared" si="19"/>
        <v>3465</v>
      </c>
      <c r="E32" s="17" t="str">
        <f t="shared" si="20"/>
        <v>100.00%</v>
      </c>
      <c r="F32" s="17" t="str">
        <f t="shared" si="21"/>
        <v>0.0%</v>
      </c>
      <c r="G32" s="15">
        <f t="shared" si="25"/>
        <v>10395</v>
      </c>
      <c r="H32" s="18"/>
      <c r="I32" s="18">
        <f>IFERROR(VLOOKUP(A32,'[1]Lot All by Part'!T:Y,6,0),0)</f>
        <v>0</v>
      </c>
      <c r="J32" s="18"/>
      <c r="K32" s="19">
        <f>IFERROR(VLOOKUP($A32,'[1]Donor-Served OBs'!A:N,3,0),0)</f>
        <v>5</v>
      </c>
      <c r="L32" s="19">
        <f>ROUNDUP(IF(A32=0,0,IFERROR(VLOOKUP($A32,'[1]Donor''s Assigned Kilos'!A:O,3,0),0)),0)</f>
        <v>230</v>
      </c>
      <c r="M32" s="19">
        <f>IF(A32=0,0,IFERROR(SUMIFS([1]Population!M:M,[1]Population!J:J,'MASTER-2025'!A32),0))</f>
        <v>0</v>
      </c>
      <c r="N32" s="20">
        <f>IFERROR(VLOOKUP($A32,'[1]Donor-Served OBs'!A:N,4,0),0)</f>
        <v>9</v>
      </c>
      <c r="O32" s="20">
        <f>ROUNDUP(IF(A32=0,0,IFERROR(VLOOKUP($A32,'[1]Donor''s Assigned Kilos'!A:O,4,0),0)),0)</f>
        <v>332</v>
      </c>
      <c r="P32" s="20">
        <f>IF(A32=0,0,IFERROR(SUMIFS([1]Population!N:N,[1]Population!J:J,'MASTER-2025'!A32),0))</f>
        <v>0</v>
      </c>
      <c r="Q32" s="18">
        <f>IFERROR(VLOOKUP($A32,'[1]Donor-Served OBs'!A:N,2,0),0)</f>
        <v>5</v>
      </c>
      <c r="R32" s="18">
        <f>ROUNDUP(ROUND(IF(A32=0,0,IFERROR(VLOOKUP($A32,'[1]Donor''s Assigned Kilos'!A:O,9,0),0)),1),0)</f>
        <v>141</v>
      </c>
      <c r="S32" s="18">
        <f>IF(A32=0,0,IFERROR(SUMIFS([1]Population!S:S,[1]Population!J:J,'MASTER-2025'!A32),0))</f>
        <v>0</v>
      </c>
      <c r="T32" s="19">
        <f>IFERROR(VLOOKUP($A32,'[1]Donor-Served OBs'!A:N,12,0),0)</f>
        <v>2</v>
      </c>
      <c r="U32" s="19">
        <f>ROUNDUP(IF(A32=0,0,IF(A32=0,0,IFERROR(VLOOKUP($A32,'[1]Donor''s Assigned Kilos'!A:O,7,0),0))),0)</f>
        <v>46</v>
      </c>
      <c r="V32" s="19">
        <f>IF(A32=0,0,IFERROR(SUMIFS([1]Population!Q:Q,[1]Population!J:J,'MASTER-2025'!A32),0))</f>
        <v>0</v>
      </c>
      <c r="W32" s="20">
        <f>IFERROR(VLOOKUP($A32,'[1]Donor-Served OBs'!A:N,10,0),0)</f>
        <v>2</v>
      </c>
      <c r="X32" s="20">
        <f>ROUNDUP(IF(A32=0,0,IFERROR(VLOOKUP($A32,'[1]Donor''s Assigned Kilos'!A:N,5,0),0)),0)</f>
        <v>124</v>
      </c>
      <c r="Y32" s="20">
        <f>IF(A32=0,0,IFERROR(SUMIFS([1]Population!O:O,[1]Population!J:J,'MASTER-2025'!A32),0))</f>
        <v>0</v>
      </c>
      <c r="Z32" s="18">
        <f>IFERROR(VLOOKUP($A32,'[1]Donor-Served OBs'!A:N,6,0),0)</f>
        <v>0</v>
      </c>
      <c r="AA32" s="18">
        <f>ROUNDUP(IF(A32=0,0,IFERROR(VLOOKUP($A32,'[1]Donor''s Assigned Kilos'!A:N,11,0),0)),0)</f>
        <v>0</v>
      </c>
      <c r="AB32" s="18">
        <f>IF(A32=0,0,IFERROR(SUMIFS([1]Population!U:U,[1]Population!J:J,'MASTER-2025'!A32),0))</f>
        <v>0</v>
      </c>
      <c r="AC32" s="19">
        <f>IFERROR(VLOOKUP($A32,'[1]Donor-Served OBs'!A:N,7,0),0)</f>
        <v>1</v>
      </c>
      <c r="AD32" s="19">
        <f>ROUNDUP(IF(A32=0,0,IFERROR(VLOOKUP($A32,'[1]Donor''s Assigned Kilos'!A:N,8,0),0)),0)</f>
        <v>30</v>
      </c>
      <c r="AE32" s="19">
        <f>IF(A32=0,0,IFERROR(SUMIFS([1]Population!R:R,[1]Population!J:J,'MASTER-2025'!A32),0))</f>
        <v>0</v>
      </c>
      <c r="AF32" s="20">
        <f>IFERROR(VLOOKUP($A32,'[1]Donor-Served OBs'!A:N,8,0),0)</f>
        <v>0</v>
      </c>
      <c r="AG32" s="20">
        <f>ROUNDUP(IF(A32=0,0,IFERROR(VLOOKUP($A32,'[1]Donor''s Assigned Kilos'!A:N,6,0),0)),0)</f>
        <v>0</v>
      </c>
      <c r="AH32" s="20">
        <f>IF(A32=0,0,IFERROR(SUMIFS([1]Population!P:P,[1]Population!J:J,'MASTER-2025'!A32),0))</f>
        <v>0</v>
      </c>
      <c r="AI32" s="18">
        <f>IFERROR(VLOOKUP($A32,'[1]Donor-Served OBs'!A:N,9,0),0)</f>
        <v>1</v>
      </c>
      <c r="AJ32" s="18">
        <f>ROUNDUP(IF(A32=0,0,IFERROR(VLOOKUP($A32,'[1]Donor''s Assigned Kilos'!A:N,12,0),0)),0)</f>
        <v>227</v>
      </c>
      <c r="AK32" s="18">
        <f>IF(A32=0,0,IFERROR(SUMIFS([1]Population!V:V,[1]Population!J:J,'MASTER-2025'!A32),0))</f>
        <v>0</v>
      </c>
      <c r="AL32" s="19">
        <f>IFERROR(VLOOKUP($A32,'[1]Donor-Served OBs'!A:N,16,0),0)</f>
        <v>0</v>
      </c>
      <c r="AM32" s="19">
        <f>ROUNDUP(IF(A32=0,0,IFERROR(VLOOKUP($A32,'[1]Donor''s Assigned Kilos'!A:O,16,0),0)),0)</f>
        <v>0</v>
      </c>
      <c r="AN32" s="19">
        <f>IF(A32=0,0,IFERROR(SUMIFS([1]Population!Z:Z,[1]Population!J:J,'MASTER-2025'!A32),0))</f>
        <v>0</v>
      </c>
      <c r="AO32" s="20">
        <f>IFERROR(VLOOKUP($A32,'[1]Donor-Served OBs'!A:N,11,0),0)</f>
        <v>1</v>
      </c>
      <c r="AP32" s="20">
        <f>ROUNDUP(IF(A32=0,0,IFERROR(VLOOKUP($A32,'[1]Donor''s Assigned Kilos'!A:N,13,0),0)),0)</f>
        <v>121</v>
      </c>
      <c r="AQ32" s="20">
        <f>IF(A32=0,0,IFERROR(SUMIFS([1]Population!W:W,[1]Population!J:J,'MASTER-2025'!A32),0))</f>
        <v>0</v>
      </c>
      <c r="AR32" s="18">
        <f>IFERROR(VLOOKUP($A32,'[1]Donor-Served OBs'!A:N,5,0),0)</f>
        <v>0</v>
      </c>
      <c r="AS32" s="18">
        <f>ROUNDUP(IF(A32=0,0,IFERROR(VLOOKUP($A32,'[1]Donor''s Assigned Kilos'!A:N,10,0),0)),0)</f>
        <v>0</v>
      </c>
      <c r="AT32" s="18">
        <f>IF(A32=0,0,IFERROR(SUMIFS([1]Population!T:T,[1]Population!J:J,'MASTER-2025'!A32),0))</f>
        <v>0</v>
      </c>
      <c r="AU32" s="19">
        <f>IFERROR(VLOOKUP($A32,'[1]Donor-Served OBs'!A:N,13,0),0)</f>
        <v>0</v>
      </c>
      <c r="AV32" s="19">
        <f>ROUNDUP(IF(A32=0,0,IFERROR(VLOOKUP($A32,'[1]Donor''s Assigned Kilos'!A:N,14,0),0)),0)</f>
        <v>0</v>
      </c>
      <c r="AW32" s="19">
        <f>IF(A32=0,0,IFERROR(SUMIFS([1]Population!X:X,[1]Population!J:J,'MASTER-2025'!A32),0))</f>
        <v>0</v>
      </c>
      <c r="AX32" s="20">
        <f>IFERROR(VLOOKUP($A32,'[1]Donor-Served OBs'!A:N,16,0),0)</f>
        <v>0</v>
      </c>
      <c r="AY32" s="20">
        <f>ROUNDUP(IF(A32=0,0,IFERROR(VLOOKUP($A32,'[1]Donor''s Assigned Kilos'!A:O,16,0),0)),0)</f>
        <v>0</v>
      </c>
      <c r="AZ32" s="20">
        <f>IF(A32=0,0,IFERROR(SUMIFS([1]Population!Y:Y,[1]Population!J:J,'MASTER-2025'!A32),0))</f>
        <v>0</v>
      </c>
      <c r="BA32" s="21">
        <f t="shared" si="15"/>
        <v>26</v>
      </c>
      <c r="BB32" s="21">
        <f t="shared" si="23"/>
        <v>1251</v>
      </c>
      <c r="BC32" s="21">
        <f t="shared" si="24"/>
        <v>749</v>
      </c>
      <c r="BD32" s="21">
        <f t="shared" si="26"/>
        <v>0</v>
      </c>
      <c r="BE32" s="22" t="e">
        <f>IF(A32=0,0,SUMIFS([1]Population!C:C,[1]Population!A:A,'MASTER-2025'!A32))</f>
        <v>#VALUE!</v>
      </c>
      <c r="BF32" s="22" t="e">
        <f>IF(A32=0,0,SUMIFS([1]Population!D:D,[1]Population!A:A,'MASTER-2025'!A32))</f>
        <v>#VALUE!</v>
      </c>
      <c r="BG32" s="22" t="e">
        <f>IF(A32=0,0,SUMIFS([1]Population!E:E,[1]Population!A:A,'MASTER-2025'!A32))</f>
        <v>#VALUE!</v>
      </c>
      <c r="BH32" s="22" t="e">
        <f>IF(A32=0,0,SUMIFS([1]Population!F:F,[1]Population!A:A,'MASTER-2025'!A32))</f>
        <v>#VALUE!</v>
      </c>
      <c r="BI32" s="22" t="e">
        <f t="shared" si="18"/>
        <v>#VALUE!</v>
      </c>
      <c r="BJ32" s="23" t="e">
        <f t="shared" si="6"/>
        <v>#VALUE!</v>
      </c>
      <c r="BK32" s="22" t="e">
        <f>IF(A32=0,0,SUMIFS([1]Population!G:G,[1]Population!A:A,'MASTER-2025'!A32))</f>
        <v>#VALUE!</v>
      </c>
      <c r="BL32" s="24" cm="1">
        <f t="array" ref="BL32:BW32">IFERROR(VLOOKUP(A32,'[1]Now-OB-kg-POB-25'!A:AQ,{3,4,5,6,7,8,9,10,11,12,13,14},0),0)</f>
        <v>41</v>
      </c>
      <c r="BM32" s="24">
        <v>10</v>
      </c>
      <c r="BN32" s="24">
        <v>26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BX32" s="24">
        <f t="shared" si="7"/>
        <v>77</v>
      </c>
      <c r="BY32" s="25" cm="1">
        <f t="array" ref="BY32:CJ32">IFERROR(VLOOKUP(A32,'[1]Now-OB-kg-POB-25'!A:AQ,{17,18,19,20,21,22,23,24,25,26,27,28},0),0)</f>
        <v>6399</v>
      </c>
      <c r="BZ32" s="25">
        <v>0</v>
      </c>
      <c r="CA32" s="25">
        <v>3465</v>
      </c>
      <c r="CB32" s="25">
        <v>0</v>
      </c>
      <c r="CC32" s="25">
        <v>0</v>
      </c>
      <c r="CD32" s="25">
        <v>0</v>
      </c>
      <c r="CE32" s="25">
        <v>0</v>
      </c>
      <c r="CF32" s="25">
        <v>0</v>
      </c>
      <c r="CG32" s="25">
        <v>0</v>
      </c>
      <c r="CH32" s="25">
        <v>0</v>
      </c>
      <c r="CI32" s="25">
        <v>0</v>
      </c>
      <c r="CJ32" s="25">
        <v>0</v>
      </c>
      <c r="CK32" s="25">
        <f t="shared" si="8"/>
        <v>9864</v>
      </c>
      <c r="CL32" s="26" cm="1">
        <f t="array" ref="CL32:CW32">IFERROR(VLOOKUP(A32,'[1]Now-OB-kg-POB-25'!A:AQ,{31,32,33,34,35,36,37,38,39,40,41,42},0),0)</f>
        <v>12270</v>
      </c>
      <c r="CM32" s="26">
        <v>1588</v>
      </c>
      <c r="CN32" s="26">
        <v>4717</v>
      </c>
      <c r="CO32" s="26">
        <v>0</v>
      </c>
      <c r="CP32" s="26">
        <v>0</v>
      </c>
      <c r="CQ32" s="26">
        <v>0</v>
      </c>
      <c r="CR32" s="26">
        <v>0</v>
      </c>
      <c r="CS32" s="26">
        <v>0</v>
      </c>
      <c r="CT32" s="26">
        <v>0</v>
      </c>
      <c r="CU32" s="26">
        <v>0</v>
      </c>
      <c r="CV32" s="26">
        <v>0</v>
      </c>
      <c r="CW32" s="26">
        <v>0</v>
      </c>
      <c r="CX32" s="26">
        <f t="shared" si="9"/>
        <v>18575</v>
      </c>
      <c r="CY32" s="14" t="str">
        <f>IF(A32=0,0,IFERROR(VLOOKUP(A32,'[1]Info Donantes'!C:F,2,0),"Sin Contacto"))</f>
        <v>Raul Bultron</v>
      </c>
      <c r="CZ32" s="14" t="str">
        <f>IF(A32=0,0,IFERROR(VLOOKUP(A32,'[1]Info Donantes'!C:F,3,0),"Sin Correo"))</f>
        <v>lbrostella@aguasdelistmo.com</v>
      </c>
      <c r="DA32" s="14" t="str">
        <f>IF(A32=0,0,IFERROR(VLOOKUP(A32,'[1]Info Donantes'!C:F,4,0),"Sin Telefono"))</f>
        <v>221-7920</v>
      </c>
      <c r="DB32" s="14" t="s">
        <v>167</v>
      </c>
    </row>
    <row r="33" spans="1:106" x14ac:dyDescent="0.55000000000000004">
      <c r="A33" s="14" t="s">
        <v>168</v>
      </c>
      <c r="B33" s="15">
        <f>INT(IFERROR(VLOOKUP(A33,'[1]Donor Summary'!C:F,3,0),0))</f>
        <v>0</v>
      </c>
      <c r="C33" s="15">
        <f>INT(ROUND(IFERROR(VLOOKUP(A33,'[1]Donor Summary'!C:F,4,0),0),1))</f>
        <v>0</v>
      </c>
      <c r="D33" s="16">
        <f t="shared" si="19"/>
        <v>0</v>
      </c>
      <c r="E33" s="17" t="str">
        <f t="shared" si="20"/>
        <v>0.00%</v>
      </c>
      <c r="F33" s="17" t="str">
        <f t="shared" si="21"/>
        <v>0.0%</v>
      </c>
      <c r="G33" s="15">
        <f t="shared" si="25"/>
        <v>0</v>
      </c>
      <c r="H33" s="18"/>
      <c r="I33" s="18">
        <f>IFERROR(VLOOKUP(A33,'[1]Lot All by Part'!T:Y,6,0),0)</f>
        <v>0</v>
      </c>
      <c r="J33" s="18"/>
      <c r="K33" s="19">
        <f>IFERROR(VLOOKUP($A33,'[1]Donor-Served OBs'!A:N,3,0),0)</f>
        <v>0</v>
      </c>
      <c r="L33" s="19">
        <f>ROUNDUP(IF(A33=0,0,IFERROR(VLOOKUP($A33,'[1]Donor''s Assigned Kilos'!A:O,3,0),0)),0)</f>
        <v>0</v>
      </c>
      <c r="M33" s="19">
        <f>IF(A33=0,0,IFERROR(SUMIFS([1]Population!M:M,[1]Population!J:J,'MASTER-2025'!A33),0))</f>
        <v>0</v>
      </c>
      <c r="N33" s="20">
        <f>IFERROR(VLOOKUP($A33,'[1]Donor-Served OBs'!A:N,4,0),0)</f>
        <v>0</v>
      </c>
      <c r="O33" s="20">
        <f>ROUNDUP(IF(A33=0,0,IFERROR(VLOOKUP($A33,'[1]Donor''s Assigned Kilos'!A:O,4,0),0)),0)</f>
        <v>0</v>
      </c>
      <c r="P33" s="20">
        <f>IF(A33=0,0,IFERROR(SUMIFS([1]Population!N:N,[1]Population!J:J,'MASTER-2025'!A33),0))</f>
        <v>0</v>
      </c>
      <c r="Q33" s="18">
        <f>IFERROR(VLOOKUP($A33,'[1]Donor-Served OBs'!A:N,2,0),0)</f>
        <v>0</v>
      </c>
      <c r="R33" s="18">
        <f>ROUNDUP(ROUND(IF(A33=0,0,IFERROR(VLOOKUP($A33,'[1]Donor''s Assigned Kilos'!A:O,9,0),0)),1),0)</f>
        <v>0</v>
      </c>
      <c r="S33" s="18">
        <f>IF(A33=0,0,IFERROR(SUMIFS([1]Population!S:S,[1]Population!J:J,'MASTER-2025'!A33),0))</f>
        <v>0</v>
      </c>
      <c r="T33" s="19">
        <f>IFERROR(VLOOKUP($A33,'[1]Donor-Served OBs'!A:N,12,0),0)</f>
        <v>0</v>
      </c>
      <c r="U33" s="19">
        <f>ROUNDUP(IF(A33=0,0,IF(A33=0,0,IFERROR(VLOOKUP($A33,'[1]Donor''s Assigned Kilos'!A:O,7,0),0))),0)</f>
        <v>0</v>
      </c>
      <c r="V33" s="19">
        <f>IF(A33=0,0,IFERROR(SUMIFS([1]Population!Q:Q,[1]Population!J:J,'MASTER-2025'!A33),0))</f>
        <v>0</v>
      </c>
      <c r="W33" s="20">
        <f>IFERROR(VLOOKUP($A33,'[1]Donor-Served OBs'!A:N,10,0),0)</f>
        <v>0</v>
      </c>
      <c r="X33" s="20">
        <f>ROUNDUP(IF(A33=0,0,IFERROR(VLOOKUP($A33,'[1]Donor''s Assigned Kilos'!A:N,5,0),0)),0)</f>
        <v>0</v>
      </c>
      <c r="Y33" s="20">
        <f>IF(A33=0,0,IFERROR(SUMIFS([1]Population!O:O,[1]Population!J:J,'MASTER-2025'!A33),0))</f>
        <v>0</v>
      </c>
      <c r="Z33" s="18">
        <f>IFERROR(VLOOKUP($A33,'[1]Donor-Served OBs'!A:N,6,0),0)</f>
        <v>0</v>
      </c>
      <c r="AA33" s="18">
        <f>ROUNDUP(IF(A33=0,0,IFERROR(VLOOKUP($A33,'[1]Donor''s Assigned Kilos'!A:N,11,0),0)),0)</f>
        <v>0</v>
      </c>
      <c r="AB33" s="18">
        <f>IF(A33=0,0,IFERROR(SUMIFS([1]Population!U:U,[1]Population!J:J,'MASTER-2025'!A33),0))</f>
        <v>0</v>
      </c>
      <c r="AC33" s="19">
        <f>IFERROR(VLOOKUP($A33,'[1]Donor-Served OBs'!A:N,7,0),0)</f>
        <v>0</v>
      </c>
      <c r="AD33" s="19">
        <f>ROUNDUP(IF(A33=0,0,IFERROR(VLOOKUP($A33,'[1]Donor''s Assigned Kilos'!A:N,8,0),0)),0)</f>
        <v>0</v>
      </c>
      <c r="AE33" s="19">
        <f>IF(A33=0,0,IFERROR(SUMIFS([1]Population!R:R,[1]Population!J:J,'MASTER-2025'!A33),0))</f>
        <v>0</v>
      </c>
      <c r="AF33" s="20">
        <f>IFERROR(VLOOKUP($A33,'[1]Donor-Served OBs'!A:N,8,0),0)</f>
        <v>0</v>
      </c>
      <c r="AG33" s="20">
        <f>ROUNDUP(IF(A33=0,0,IFERROR(VLOOKUP($A33,'[1]Donor''s Assigned Kilos'!A:N,6,0),0)),0)</f>
        <v>0</v>
      </c>
      <c r="AH33" s="20">
        <f>IF(A33=0,0,IFERROR(SUMIFS([1]Population!P:P,[1]Population!J:J,'MASTER-2025'!A33),0))</f>
        <v>0</v>
      </c>
      <c r="AI33" s="18">
        <f>IFERROR(VLOOKUP($A33,'[1]Donor-Served OBs'!A:N,9,0),0)</f>
        <v>0</v>
      </c>
      <c r="AJ33" s="18">
        <f>ROUNDUP(IF(A33=0,0,IFERROR(VLOOKUP($A33,'[1]Donor''s Assigned Kilos'!A:N,12,0),0)),0)</f>
        <v>0</v>
      </c>
      <c r="AK33" s="18">
        <f>IF(A33=0,0,IFERROR(SUMIFS([1]Population!V:V,[1]Population!J:J,'MASTER-2025'!A33),0))</f>
        <v>0</v>
      </c>
      <c r="AL33" s="19">
        <f>IFERROR(VLOOKUP($A33,'[1]Donor-Served OBs'!A:N,16,0),0)</f>
        <v>0</v>
      </c>
      <c r="AM33" s="19">
        <f>ROUNDUP(IF(A33=0,0,IFERROR(VLOOKUP($A33,'[1]Donor''s Assigned Kilos'!A:O,16,0),0)),0)</f>
        <v>0</v>
      </c>
      <c r="AN33" s="19">
        <f>IF(A33=0,0,IFERROR(SUMIFS([1]Population!Z:Z,[1]Population!J:J,'MASTER-2025'!A33),0))</f>
        <v>0</v>
      </c>
      <c r="AO33" s="20">
        <f>IFERROR(VLOOKUP($A33,'[1]Donor-Served OBs'!A:N,11,0),0)</f>
        <v>0</v>
      </c>
      <c r="AP33" s="20">
        <f>ROUNDUP(IF(A33=0,0,IFERROR(VLOOKUP($A33,'[1]Donor''s Assigned Kilos'!A:N,13,0),0)),0)</f>
        <v>0</v>
      </c>
      <c r="AQ33" s="20">
        <f>IF(A33=0,0,IFERROR(SUMIFS([1]Population!W:W,[1]Population!J:J,'MASTER-2025'!A33),0))</f>
        <v>0</v>
      </c>
      <c r="AR33" s="18">
        <f>IFERROR(VLOOKUP($A33,'[1]Donor-Served OBs'!A:N,5,0),0)</f>
        <v>0</v>
      </c>
      <c r="AS33" s="18">
        <f>ROUNDUP(IF(A33=0,0,IFERROR(VLOOKUP($A33,'[1]Donor''s Assigned Kilos'!A:N,10,0),0)),0)</f>
        <v>0</v>
      </c>
      <c r="AT33" s="18">
        <f>IF(A33=0,0,IFERROR(SUMIFS([1]Population!T:T,[1]Population!J:J,'MASTER-2025'!A33),0))</f>
        <v>0</v>
      </c>
      <c r="AU33" s="19">
        <f>IFERROR(VLOOKUP($A33,'[1]Donor-Served OBs'!A:N,13,0),0)</f>
        <v>0</v>
      </c>
      <c r="AV33" s="19">
        <f>ROUNDUP(IF(A33=0,0,IFERROR(VLOOKUP($A33,'[1]Donor''s Assigned Kilos'!A:N,14,0),0)),0)</f>
        <v>0</v>
      </c>
      <c r="AW33" s="19">
        <f>IF(A33=0,0,IFERROR(SUMIFS([1]Population!X:X,[1]Population!J:J,'MASTER-2025'!A33),0))</f>
        <v>0</v>
      </c>
      <c r="AX33" s="20">
        <f>IFERROR(VLOOKUP($A33,'[1]Donor-Served OBs'!A:N,16,0),0)</f>
        <v>0</v>
      </c>
      <c r="AY33" s="20">
        <f>ROUNDUP(IF(A33=0,0,IFERROR(VLOOKUP($A33,'[1]Donor''s Assigned Kilos'!A:O,16,0),0)),0)</f>
        <v>0</v>
      </c>
      <c r="AZ33" s="20">
        <f>IF(A33=0,0,IFERROR(SUMIFS([1]Population!Y:Y,[1]Population!J:J,'MASTER-2025'!A33),0))</f>
        <v>0</v>
      </c>
      <c r="BA33" s="21">
        <f t="shared" si="15"/>
        <v>0</v>
      </c>
      <c r="BB33" s="21">
        <f t="shared" si="23"/>
        <v>0</v>
      </c>
      <c r="BC33" s="21">
        <f t="shared" si="24"/>
        <v>0</v>
      </c>
      <c r="BD33" s="21">
        <f t="shared" si="26"/>
        <v>0</v>
      </c>
      <c r="BE33" s="22" t="e">
        <f>IF(A33=0,0,SUMIFS([1]Population!C:C,[1]Population!A:A,'MASTER-2025'!A33))</f>
        <v>#VALUE!</v>
      </c>
      <c r="BF33" s="22" t="e">
        <f>IF(A33=0,0,SUMIFS([1]Population!D:D,[1]Population!A:A,'MASTER-2025'!A33))</f>
        <v>#VALUE!</v>
      </c>
      <c r="BG33" s="22" t="e">
        <f>IF(A33=0,0,SUMIFS([1]Population!E:E,[1]Population!A:A,'MASTER-2025'!A33))</f>
        <v>#VALUE!</v>
      </c>
      <c r="BH33" s="22" t="e">
        <f>IF(A33=0,0,SUMIFS([1]Population!F:F,[1]Population!A:A,'MASTER-2025'!A33))</f>
        <v>#VALUE!</v>
      </c>
      <c r="BI33" s="22" t="e">
        <f t="shared" si="18"/>
        <v>#VALUE!</v>
      </c>
      <c r="BJ33" s="23" t="e">
        <f t="shared" si="6"/>
        <v>#VALUE!</v>
      </c>
      <c r="BK33" s="22" t="e">
        <f>IF(A33=0,0,SUMIFS([1]Population!G:G,[1]Population!A:A,'MASTER-2025'!A33))</f>
        <v>#VALUE!</v>
      </c>
      <c r="BL33" s="24" cm="1">
        <f t="array" ref="BL33:BW33">IFERROR(VLOOKUP(A33,'[1]Now-OB-kg-POB-25'!A:AQ,{3,4,5,6,7,8,9,10,11,12,13,14},0),0)</f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BX33" s="24">
        <f t="shared" si="7"/>
        <v>0</v>
      </c>
      <c r="BY33" s="25" cm="1">
        <f t="array" ref="BY33:CJ33">IFERROR(VLOOKUP(A33,'[1]Now-OB-kg-POB-25'!A:AQ,{17,18,19,20,21,22,23,24,25,26,27,28},0),0)</f>
        <v>0</v>
      </c>
      <c r="BZ33" s="25">
        <v>0</v>
      </c>
      <c r="CA33" s="25">
        <v>0</v>
      </c>
      <c r="CB33" s="25">
        <v>0</v>
      </c>
      <c r="CC33" s="25">
        <v>0</v>
      </c>
      <c r="CD33" s="25">
        <v>0</v>
      </c>
      <c r="CE33" s="25">
        <v>0</v>
      </c>
      <c r="CF33" s="25">
        <v>0</v>
      </c>
      <c r="CG33" s="25">
        <v>0</v>
      </c>
      <c r="CH33" s="25">
        <v>0</v>
      </c>
      <c r="CI33" s="25">
        <v>0</v>
      </c>
      <c r="CJ33" s="25">
        <v>0</v>
      </c>
      <c r="CK33" s="25">
        <f t="shared" si="8"/>
        <v>0</v>
      </c>
      <c r="CL33" s="26" cm="1">
        <f t="array" ref="CL33:CW33">IFERROR(VLOOKUP(A33,'[1]Now-OB-kg-POB-25'!A:AQ,{31,32,33,34,35,36,37,38,39,40,41,42},0),0)</f>
        <v>0</v>
      </c>
      <c r="CM33" s="26">
        <v>0</v>
      </c>
      <c r="CN33" s="26">
        <v>0</v>
      </c>
      <c r="CO33" s="26">
        <v>0</v>
      </c>
      <c r="CP33" s="26">
        <v>0</v>
      </c>
      <c r="CQ33" s="26">
        <v>0</v>
      </c>
      <c r="CR33" s="26">
        <v>0</v>
      </c>
      <c r="CS33" s="26">
        <v>0</v>
      </c>
      <c r="CT33" s="26">
        <v>0</v>
      </c>
      <c r="CU33" s="26">
        <v>0</v>
      </c>
      <c r="CV33" s="26">
        <v>0</v>
      </c>
      <c r="CW33" s="26">
        <v>0</v>
      </c>
      <c r="CX33" s="26">
        <f t="shared" si="9"/>
        <v>0</v>
      </c>
      <c r="CY33" s="14" t="str">
        <f>IF(A33=0,0,IFERROR(VLOOKUP(A33,'[1]Info Donantes'!C:F,2,0),"Sin Contacto"))</f>
        <v>Itzel Tejeira</v>
      </c>
      <c r="CZ33" s="14" t="str">
        <f>IF(A33=0,0,IFERROR(VLOOKUP(A33,'[1]Info Donantes'!C:F,3,0),"Sin Correo"))</f>
        <v>itzeltejeira@gmail.com</v>
      </c>
      <c r="DA33" s="14" t="str">
        <f>IF(A33=0,0,IFERROR(VLOOKUP(A33,'[1]Info Donantes'!C:F,4,0),"Sin Telefono"))</f>
        <v>232 6790</v>
      </c>
      <c r="DB33" s="14" t="s">
        <v>169</v>
      </c>
    </row>
    <row r="34" spans="1:106" x14ac:dyDescent="0.55000000000000004">
      <c r="A34" s="14" t="s">
        <v>170</v>
      </c>
      <c r="B34" s="15">
        <f>INT(IFERROR(VLOOKUP(A34,'[1]Donor Summary'!C:F,3,0),0))</f>
        <v>0</v>
      </c>
      <c r="C34" s="15">
        <f>INT(ROUND(IFERROR(VLOOKUP(A34,'[1]Donor Summary'!C:F,4,0),0),1))</f>
        <v>0</v>
      </c>
      <c r="D34" s="16">
        <f t="shared" si="19"/>
        <v>0</v>
      </c>
      <c r="E34" s="17" t="str">
        <f t="shared" si="20"/>
        <v>0.00%</v>
      </c>
      <c r="F34" s="17" t="str">
        <f t="shared" si="21"/>
        <v>0.0%</v>
      </c>
      <c r="G34" s="15">
        <f t="shared" si="25"/>
        <v>0</v>
      </c>
      <c r="H34" s="18"/>
      <c r="I34" s="18">
        <f>IFERROR(VLOOKUP(A34,'[1]Lot All by Part'!T:Y,6,0),0)</f>
        <v>0</v>
      </c>
      <c r="J34" s="18">
        <f>+H34*55</f>
        <v>0</v>
      </c>
      <c r="K34" s="19">
        <f>IFERROR(VLOOKUP($A34,'[1]Donor-Served OBs'!A:N,3,0),0)</f>
        <v>0</v>
      </c>
      <c r="L34" s="19">
        <f>ROUNDUP(IF(A34=0,0,IFERROR(VLOOKUP($A34,'[1]Donor''s Assigned Kilos'!A:O,3,0),0)),0)</f>
        <v>0</v>
      </c>
      <c r="M34" s="19">
        <f>IF(A34=0,0,IFERROR(SUMIFS([1]Population!M:M,[1]Population!J:J,'MASTER-2025'!A34),0))</f>
        <v>0</v>
      </c>
      <c r="N34" s="20">
        <f>IFERROR(VLOOKUP($A34,'[1]Donor-Served OBs'!A:N,4,0),0)</f>
        <v>0</v>
      </c>
      <c r="O34" s="20">
        <f>ROUNDUP(IF(A34=0,0,IFERROR(VLOOKUP($A34,'[1]Donor''s Assigned Kilos'!A:O,4,0),0)),0)</f>
        <v>0</v>
      </c>
      <c r="P34" s="20">
        <f>IF(A34=0,0,IFERROR(SUMIFS([1]Population!N:N,[1]Population!J:J,'MASTER-2025'!A34),0))</f>
        <v>0</v>
      </c>
      <c r="Q34" s="18">
        <f>IFERROR(VLOOKUP($A34,'[1]Donor-Served OBs'!A:N,2,0),0)</f>
        <v>0</v>
      </c>
      <c r="R34" s="18">
        <f>ROUNDUP(ROUND(IF(A34=0,0,IFERROR(VLOOKUP($A34,'[1]Donor''s Assigned Kilos'!A:O,9,0),0)),1),0)</f>
        <v>0</v>
      </c>
      <c r="S34" s="18">
        <f>IF(A34=0,0,IFERROR(SUMIFS([1]Population!S:S,[1]Population!J:J,'MASTER-2025'!A34),0))</f>
        <v>0</v>
      </c>
      <c r="T34" s="19">
        <f>IFERROR(VLOOKUP($A34,'[1]Donor-Served OBs'!A:N,12,0),0)</f>
        <v>0</v>
      </c>
      <c r="U34" s="19">
        <f>ROUNDUP(IF(A34=0,0,IF(A34=0,0,IFERROR(VLOOKUP($A34,'[1]Donor''s Assigned Kilos'!A:O,7,0),0))),0)</f>
        <v>0</v>
      </c>
      <c r="V34" s="19">
        <f>IF(A34=0,0,IFERROR(SUMIFS([1]Population!Q:Q,[1]Population!J:J,'MASTER-2025'!A34),0))</f>
        <v>0</v>
      </c>
      <c r="W34" s="20">
        <f>IFERROR(VLOOKUP($A34,'[1]Donor-Served OBs'!A:N,10,0),0)</f>
        <v>0</v>
      </c>
      <c r="X34" s="20">
        <f>ROUNDUP(IF(A34=0,0,IFERROR(VLOOKUP($A34,'[1]Donor''s Assigned Kilos'!A:N,5,0),0)),0)</f>
        <v>0</v>
      </c>
      <c r="Y34" s="20">
        <f>IF(A34=0,0,IFERROR(SUMIFS([1]Population!O:O,[1]Population!J:J,'MASTER-2025'!A34),0))</f>
        <v>0</v>
      </c>
      <c r="Z34" s="18">
        <f>IFERROR(VLOOKUP($A34,'[1]Donor-Served OBs'!A:N,6,0),0)</f>
        <v>0</v>
      </c>
      <c r="AA34" s="18">
        <f>ROUNDUP(IF(A34=0,0,IFERROR(VLOOKUP($A34,'[1]Donor''s Assigned Kilos'!A:N,11,0),0)),0)</f>
        <v>0</v>
      </c>
      <c r="AB34" s="18">
        <f>IF(A34=0,0,IFERROR(SUMIFS([1]Population!U:U,[1]Population!J:J,'MASTER-2025'!A34),0))</f>
        <v>0</v>
      </c>
      <c r="AC34" s="19">
        <f>IFERROR(VLOOKUP($A34,'[1]Donor-Served OBs'!A:N,7,0),0)</f>
        <v>0</v>
      </c>
      <c r="AD34" s="19">
        <f>ROUNDUP(IF(A34=0,0,IFERROR(VLOOKUP($A34,'[1]Donor''s Assigned Kilos'!A:N,8,0),0)),0)</f>
        <v>0</v>
      </c>
      <c r="AE34" s="19">
        <f>IF(A34=0,0,IFERROR(SUMIFS([1]Population!R:R,[1]Population!J:J,'MASTER-2025'!A34),0))</f>
        <v>0</v>
      </c>
      <c r="AF34" s="20">
        <f>IFERROR(VLOOKUP($A34,'[1]Donor-Served OBs'!A:N,8,0),0)</f>
        <v>0</v>
      </c>
      <c r="AG34" s="20">
        <f>ROUNDUP(IF(A34=0,0,IFERROR(VLOOKUP($A34,'[1]Donor''s Assigned Kilos'!A:N,6,0),0)),0)</f>
        <v>0</v>
      </c>
      <c r="AH34" s="20">
        <f>IF(A34=0,0,IFERROR(SUMIFS([1]Population!P:P,[1]Population!J:J,'MASTER-2025'!A34),0))</f>
        <v>0</v>
      </c>
      <c r="AI34" s="18">
        <f>IFERROR(VLOOKUP($A34,'[1]Donor-Served OBs'!A:N,9,0),0)</f>
        <v>0</v>
      </c>
      <c r="AJ34" s="18">
        <f>ROUNDUP(IF(A34=0,0,IFERROR(VLOOKUP($A34,'[1]Donor''s Assigned Kilos'!A:N,12,0),0)),0)</f>
        <v>0</v>
      </c>
      <c r="AK34" s="18">
        <f>IF(A34=0,0,IFERROR(SUMIFS([1]Population!V:V,[1]Population!J:J,'MASTER-2025'!A34),0))</f>
        <v>0</v>
      </c>
      <c r="AL34" s="19">
        <f>IFERROR(VLOOKUP($A34,'[1]Donor-Served OBs'!A:N,16,0),0)</f>
        <v>0</v>
      </c>
      <c r="AM34" s="19">
        <f>ROUNDUP(IF(A34=0,0,IFERROR(VLOOKUP($A34,'[1]Donor''s Assigned Kilos'!A:O,16,0),0)),0)</f>
        <v>0</v>
      </c>
      <c r="AN34" s="19">
        <f>IF(A34=0,0,IFERROR(SUMIFS([1]Population!Z:Z,[1]Population!J:J,'MASTER-2025'!A34),0))</f>
        <v>0</v>
      </c>
      <c r="AO34" s="20">
        <f>IFERROR(VLOOKUP($A34,'[1]Donor-Served OBs'!A:N,11,0),0)</f>
        <v>0</v>
      </c>
      <c r="AP34" s="20">
        <f>ROUNDUP(IF(A34=0,0,IFERROR(VLOOKUP($A34,'[1]Donor''s Assigned Kilos'!A:N,13,0),0)),0)</f>
        <v>0</v>
      </c>
      <c r="AQ34" s="20">
        <f>IF(A34=0,0,IFERROR(SUMIFS([1]Population!W:W,[1]Population!J:J,'MASTER-2025'!A34),0))</f>
        <v>0</v>
      </c>
      <c r="AR34" s="18">
        <f>IFERROR(VLOOKUP($A34,'[1]Donor-Served OBs'!A:N,5,0),0)</f>
        <v>0</v>
      </c>
      <c r="AS34" s="18">
        <f>ROUNDUP(IF(A34=0,0,IFERROR(VLOOKUP($A34,'[1]Donor''s Assigned Kilos'!A:N,10,0),0)),0)</f>
        <v>0</v>
      </c>
      <c r="AT34" s="18">
        <f>IF(A34=0,0,IFERROR(SUMIFS([1]Population!T:T,[1]Population!J:J,'MASTER-2025'!A34),0))</f>
        <v>0</v>
      </c>
      <c r="AU34" s="19">
        <f>IFERROR(VLOOKUP($A34,'[1]Donor-Served OBs'!A:N,13,0),0)</f>
        <v>0</v>
      </c>
      <c r="AV34" s="19">
        <f>ROUNDUP(IF(A34=0,0,IFERROR(VLOOKUP($A34,'[1]Donor''s Assigned Kilos'!A:N,14,0),0)),0)</f>
        <v>0</v>
      </c>
      <c r="AW34" s="19">
        <f>IF(A34=0,0,IFERROR(SUMIFS([1]Population!X:X,[1]Population!J:J,'MASTER-2025'!A34),0))</f>
        <v>0</v>
      </c>
      <c r="AX34" s="20">
        <f>IFERROR(VLOOKUP($A34,'[1]Donor-Served OBs'!A:N,16,0),0)</f>
        <v>0</v>
      </c>
      <c r="AY34" s="20">
        <f>ROUNDUP(IF(A34=0,0,IFERROR(VLOOKUP($A34,'[1]Donor''s Assigned Kilos'!A:O,16,0),0)),0)</f>
        <v>0</v>
      </c>
      <c r="AZ34" s="20">
        <f>IF(A34=0,0,IFERROR(SUMIFS([1]Population!Y:Y,[1]Population!J:J,'MASTER-2025'!A34),0))</f>
        <v>0</v>
      </c>
      <c r="BA34" s="21">
        <f t="shared" si="15"/>
        <v>0</v>
      </c>
      <c r="BB34" s="21">
        <f t="shared" si="23"/>
        <v>0</v>
      </c>
      <c r="BC34" s="21">
        <f t="shared" si="24"/>
        <v>0</v>
      </c>
      <c r="BD34" s="21">
        <f t="shared" si="26"/>
        <v>0</v>
      </c>
      <c r="BE34" s="22" t="e">
        <f>IF(A34=0,0,SUMIFS([1]Population!C:C,[1]Population!A:A,'MASTER-2025'!A34))</f>
        <v>#VALUE!</v>
      </c>
      <c r="BF34" s="22" t="e">
        <f>IF(A34=0,0,SUMIFS([1]Population!D:D,[1]Population!A:A,'MASTER-2025'!A34))</f>
        <v>#VALUE!</v>
      </c>
      <c r="BG34" s="22" t="e">
        <f>IF(A34=0,0,SUMIFS([1]Population!E:E,[1]Population!A:A,'MASTER-2025'!A34))</f>
        <v>#VALUE!</v>
      </c>
      <c r="BH34" s="22" t="e">
        <f>IF(A34=0,0,SUMIFS([1]Population!F:F,[1]Population!A:A,'MASTER-2025'!A34))</f>
        <v>#VALUE!</v>
      </c>
      <c r="BI34" s="22" t="e">
        <f t="shared" si="18"/>
        <v>#VALUE!</v>
      </c>
      <c r="BJ34" s="23" t="e">
        <f t="shared" si="6"/>
        <v>#VALUE!</v>
      </c>
      <c r="BK34" s="22" t="e">
        <f>IF(A34=0,0,SUMIFS([1]Population!G:G,[1]Population!A:A,'MASTER-2025'!A34))</f>
        <v>#VALUE!</v>
      </c>
      <c r="BL34" s="24" cm="1">
        <f t="array" ref="BL34:BW34">IFERROR(VLOOKUP(A34,'[1]Now-OB-kg-POB-25'!A:AQ,{3,4,5,6,7,8,9,10,11,12,13,14},0),0)</f>
        <v>64</v>
      </c>
      <c r="BM34" s="24">
        <v>26</v>
      </c>
      <c r="BN34" s="24">
        <v>43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BX34" s="24">
        <f t="shared" si="7"/>
        <v>133</v>
      </c>
      <c r="BY34" s="25" cm="1">
        <f t="array" ref="BY34:CJ34">IFERROR(VLOOKUP(A34,'[1]Now-OB-kg-POB-25'!A:AQ,{17,18,19,20,21,22,23,24,25,26,27,28},0),0)</f>
        <v>1040</v>
      </c>
      <c r="BZ34" s="25">
        <v>1007</v>
      </c>
      <c r="CA34" s="25">
        <v>1021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f t="shared" si="8"/>
        <v>3068</v>
      </c>
      <c r="CL34" s="26" cm="1">
        <f t="array" ref="CL34:CW34">IFERROR(VLOOKUP(A34,'[1]Now-OB-kg-POB-25'!A:AQ,{31,32,33,34,35,36,37,38,39,40,41,42},0),0)</f>
        <v>9401</v>
      </c>
      <c r="CM34" s="26">
        <v>5731</v>
      </c>
      <c r="CN34" s="26">
        <v>12682</v>
      </c>
      <c r="CO34" s="26">
        <v>0</v>
      </c>
      <c r="CP34" s="26">
        <v>0</v>
      </c>
      <c r="CQ34" s="26">
        <v>0</v>
      </c>
      <c r="CR34" s="26">
        <v>0</v>
      </c>
      <c r="CS34" s="26">
        <v>0</v>
      </c>
      <c r="CT34" s="26">
        <v>0</v>
      </c>
      <c r="CU34" s="26">
        <v>0</v>
      </c>
      <c r="CV34" s="26">
        <v>0</v>
      </c>
      <c r="CW34" s="26">
        <v>0</v>
      </c>
      <c r="CX34" s="26">
        <f t="shared" si="9"/>
        <v>27814</v>
      </c>
      <c r="CY34" s="14" t="str">
        <f>IF(A34=0,0,IFERROR(VLOOKUP(A34,'[1]Info Donantes'!C:F,2,0),"Sin Contacto"))</f>
        <v>Sin Contacto</v>
      </c>
      <c r="CZ34" s="14" t="str">
        <f>IF(A34=0,0,IFERROR(VLOOKUP(A34,'[1]Info Donantes'!C:F,3,0),"Sin Correo"))</f>
        <v>Sin Correo</v>
      </c>
      <c r="DA34" s="14" t="str">
        <f>IF(A34=0,0,IFERROR(VLOOKUP(A34,'[1]Info Donantes'!C:F,4,0),"Sin Telefono"))</f>
        <v>Sin Telefono</v>
      </c>
      <c r="DB34" s="14" t="s">
        <v>171</v>
      </c>
    </row>
    <row r="35" spans="1:106" x14ac:dyDescent="0.55000000000000004">
      <c r="A35" s="14" t="s">
        <v>172</v>
      </c>
      <c r="B35" s="15">
        <f>INT(IFERROR(VLOOKUP(A35,'[1]Donor Summary'!C:F,3,0),0))</f>
        <v>0</v>
      </c>
      <c r="C35" s="15">
        <f>INT(ROUND(IFERROR(VLOOKUP(A35,'[1]Donor Summary'!C:F,4,0),0),1))</f>
        <v>0</v>
      </c>
      <c r="D35" s="16">
        <f t="shared" si="19"/>
        <v>0</v>
      </c>
      <c r="E35" s="17" t="str">
        <f t="shared" si="20"/>
        <v>0.00%</v>
      </c>
      <c r="F35" s="17" t="str">
        <f t="shared" si="21"/>
        <v>0.0%</v>
      </c>
      <c r="G35" s="15">
        <f t="shared" si="25"/>
        <v>0</v>
      </c>
      <c r="H35" s="18"/>
      <c r="I35" s="18">
        <f>IFERROR(VLOOKUP(A35,'[1]Lot All by Part'!T:Y,6,0),0)</f>
        <v>0</v>
      </c>
      <c r="J35" s="18"/>
      <c r="K35" s="19">
        <f>IFERROR(VLOOKUP($A35,'[1]Donor-Served OBs'!A:N,3,0),0)</f>
        <v>0</v>
      </c>
      <c r="L35" s="19">
        <f>ROUNDUP(IF(A35=0,0,IFERROR(VLOOKUP($A35,'[1]Donor''s Assigned Kilos'!A:O,3,0),0)),0)</f>
        <v>0</v>
      </c>
      <c r="M35" s="19">
        <f>IF(A35=0,0,IFERROR(SUMIFS([1]Population!M:M,[1]Population!J:J,'MASTER-2025'!A35),0))</f>
        <v>0</v>
      </c>
      <c r="N35" s="20">
        <f>IFERROR(VLOOKUP($A35,'[1]Donor-Served OBs'!A:N,4,0),0)</f>
        <v>0</v>
      </c>
      <c r="O35" s="20">
        <f>ROUNDUP(IF(A35=0,0,IFERROR(VLOOKUP($A35,'[1]Donor''s Assigned Kilos'!A:O,4,0),0)),0)</f>
        <v>0</v>
      </c>
      <c r="P35" s="20">
        <f>IF(A35=0,0,IFERROR(SUMIFS([1]Population!N:N,[1]Population!J:J,'MASTER-2025'!A35),0))</f>
        <v>0</v>
      </c>
      <c r="Q35" s="18">
        <f>IFERROR(VLOOKUP($A35,'[1]Donor-Served OBs'!A:N,2,0),0)</f>
        <v>0</v>
      </c>
      <c r="R35" s="18">
        <f>ROUNDUP(ROUND(IF(A35=0,0,IFERROR(VLOOKUP($A35,'[1]Donor''s Assigned Kilos'!A:O,9,0),0)),1),0)</f>
        <v>0</v>
      </c>
      <c r="S35" s="18">
        <f>IF(A35=0,0,IFERROR(SUMIFS([1]Population!S:S,[1]Population!J:J,'MASTER-2025'!A35),0))</f>
        <v>0</v>
      </c>
      <c r="T35" s="19">
        <f>IFERROR(VLOOKUP($A35,'[1]Donor-Served OBs'!A:N,12,0),0)</f>
        <v>0</v>
      </c>
      <c r="U35" s="19">
        <f>ROUNDUP(IF(A35=0,0,IF(A35=0,0,IFERROR(VLOOKUP($A35,'[1]Donor''s Assigned Kilos'!A:O,7,0),0))),0)</f>
        <v>0</v>
      </c>
      <c r="V35" s="19">
        <f>IF(A35=0,0,IFERROR(SUMIFS([1]Population!Q:Q,[1]Population!J:J,'MASTER-2025'!A35),0))</f>
        <v>0</v>
      </c>
      <c r="W35" s="20">
        <f>IFERROR(VLOOKUP($A35,'[1]Donor-Served OBs'!A:N,10,0),0)</f>
        <v>0</v>
      </c>
      <c r="X35" s="20">
        <f>ROUNDUP(IF(A35=0,0,IFERROR(VLOOKUP($A35,'[1]Donor''s Assigned Kilos'!A:N,5,0),0)),0)</f>
        <v>0</v>
      </c>
      <c r="Y35" s="20">
        <f>IF(A35=0,0,IFERROR(SUMIFS([1]Population!O:O,[1]Population!J:J,'MASTER-2025'!A35),0))</f>
        <v>0</v>
      </c>
      <c r="Z35" s="18">
        <f>IFERROR(VLOOKUP($A35,'[1]Donor-Served OBs'!A:N,6,0),0)</f>
        <v>0</v>
      </c>
      <c r="AA35" s="18">
        <f>ROUNDUP(IF(A35=0,0,IFERROR(VLOOKUP($A35,'[1]Donor''s Assigned Kilos'!A:N,11,0),0)),0)</f>
        <v>0</v>
      </c>
      <c r="AB35" s="18">
        <f>IF(A35=0,0,IFERROR(SUMIFS([1]Population!U:U,[1]Population!J:J,'MASTER-2025'!A35),0))</f>
        <v>0</v>
      </c>
      <c r="AC35" s="19">
        <f>IFERROR(VLOOKUP($A35,'[1]Donor-Served OBs'!A:N,7,0),0)</f>
        <v>0</v>
      </c>
      <c r="AD35" s="19">
        <f>ROUNDUP(IF(A35=0,0,IFERROR(VLOOKUP($A35,'[1]Donor''s Assigned Kilos'!A:N,8,0),0)),0)</f>
        <v>0</v>
      </c>
      <c r="AE35" s="19">
        <f>IF(A35=0,0,IFERROR(SUMIFS([1]Population!R:R,[1]Population!J:J,'MASTER-2025'!A35),0))</f>
        <v>0</v>
      </c>
      <c r="AF35" s="20">
        <f>IFERROR(VLOOKUP($A35,'[1]Donor-Served OBs'!A:N,8,0),0)</f>
        <v>0</v>
      </c>
      <c r="AG35" s="20">
        <f>ROUNDUP(IF(A35=0,0,IFERROR(VLOOKUP($A35,'[1]Donor''s Assigned Kilos'!A:N,6,0),0)),0)</f>
        <v>0</v>
      </c>
      <c r="AH35" s="20">
        <f>IF(A35=0,0,IFERROR(SUMIFS([1]Population!P:P,[1]Population!J:J,'MASTER-2025'!A35),0))</f>
        <v>0</v>
      </c>
      <c r="AI35" s="18">
        <f>IFERROR(VLOOKUP($A35,'[1]Donor-Served OBs'!A:N,9,0),0)</f>
        <v>0</v>
      </c>
      <c r="AJ35" s="18">
        <f>ROUNDUP(IF(A35=0,0,IFERROR(VLOOKUP($A35,'[1]Donor''s Assigned Kilos'!A:N,12,0),0)),0)</f>
        <v>0</v>
      </c>
      <c r="AK35" s="18">
        <f>IF(A35=0,0,IFERROR(SUMIFS([1]Population!V:V,[1]Population!J:J,'MASTER-2025'!A35),0))</f>
        <v>0</v>
      </c>
      <c r="AL35" s="19">
        <f>IFERROR(VLOOKUP($A35,'[1]Donor-Served OBs'!A:N,16,0),0)</f>
        <v>0</v>
      </c>
      <c r="AM35" s="19">
        <f>ROUNDUP(IF(A35=0,0,IFERROR(VLOOKUP($A35,'[1]Donor''s Assigned Kilos'!A:O,16,0),0)),0)</f>
        <v>0</v>
      </c>
      <c r="AN35" s="19">
        <f>IF(A35=0,0,IFERROR(SUMIFS([1]Population!Z:Z,[1]Population!J:J,'MASTER-2025'!A35),0))</f>
        <v>0</v>
      </c>
      <c r="AO35" s="20">
        <f>IFERROR(VLOOKUP($A35,'[1]Donor-Served OBs'!A:N,11,0),0)</f>
        <v>0</v>
      </c>
      <c r="AP35" s="20">
        <f>ROUNDUP(IF(A35=0,0,IFERROR(VLOOKUP($A35,'[1]Donor''s Assigned Kilos'!A:N,13,0),0)),0)</f>
        <v>0</v>
      </c>
      <c r="AQ35" s="20">
        <f>IF(A35=0,0,IFERROR(SUMIFS([1]Population!W:W,[1]Population!J:J,'MASTER-2025'!A35),0))</f>
        <v>0</v>
      </c>
      <c r="AR35" s="18">
        <f>IFERROR(VLOOKUP($A35,'[1]Donor-Served OBs'!A:N,5,0),0)</f>
        <v>0</v>
      </c>
      <c r="AS35" s="18">
        <f>ROUNDUP(IF(A35=0,0,IFERROR(VLOOKUP($A35,'[1]Donor''s Assigned Kilos'!A:N,10,0),0)),0)</f>
        <v>0</v>
      </c>
      <c r="AT35" s="18">
        <f>IF(A35=0,0,IFERROR(SUMIFS([1]Population!T:T,[1]Population!J:J,'MASTER-2025'!A35),0))</f>
        <v>0</v>
      </c>
      <c r="AU35" s="19">
        <f>IFERROR(VLOOKUP($A35,'[1]Donor-Served OBs'!A:N,13,0),0)</f>
        <v>0</v>
      </c>
      <c r="AV35" s="19">
        <f>ROUNDUP(IF(A35=0,0,IFERROR(VLOOKUP($A35,'[1]Donor''s Assigned Kilos'!A:N,14,0),0)),0)</f>
        <v>0</v>
      </c>
      <c r="AW35" s="19">
        <f>IF(A35=0,0,IFERROR(SUMIFS([1]Population!X:X,[1]Population!J:J,'MASTER-2025'!A35),0))</f>
        <v>0</v>
      </c>
      <c r="AX35" s="20">
        <f>IFERROR(VLOOKUP($A35,'[1]Donor-Served OBs'!A:N,16,0),0)</f>
        <v>0</v>
      </c>
      <c r="AY35" s="20">
        <f>ROUNDUP(IF(A35=0,0,IFERROR(VLOOKUP($A35,'[1]Donor''s Assigned Kilos'!A:O,16,0),0)),0)</f>
        <v>0</v>
      </c>
      <c r="AZ35" s="20">
        <f>IF(A35=0,0,IFERROR(SUMIFS([1]Population!Y:Y,[1]Population!J:J,'MASTER-2025'!A35),0))</f>
        <v>0</v>
      </c>
      <c r="BA35" s="21">
        <f t="shared" si="15"/>
        <v>0</v>
      </c>
      <c r="BB35" s="21">
        <f t="shared" si="23"/>
        <v>0</v>
      </c>
      <c r="BC35" s="21">
        <f t="shared" si="24"/>
        <v>0</v>
      </c>
      <c r="BD35" s="21">
        <f t="shared" si="26"/>
        <v>0</v>
      </c>
      <c r="BE35" s="22" t="e">
        <f>IF(A35=0,0,SUMIFS([1]Population!C:C,[1]Population!A:A,'MASTER-2025'!A35))</f>
        <v>#VALUE!</v>
      </c>
      <c r="BF35" s="22" t="e">
        <f>IF(A35=0,0,SUMIFS([1]Population!D:D,[1]Population!A:A,'MASTER-2025'!A35))</f>
        <v>#VALUE!</v>
      </c>
      <c r="BG35" s="22" t="e">
        <f>IF(A35=0,0,SUMIFS([1]Population!E:E,[1]Population!A:A,'MASTER-2025'!A35))</f>
        <v>#VALUE!</v>
      </c>
      <c r="BH35" s="22" t="e">
        <f>IF(A35=0,0,SUMIFS([1]Population!F:F,[1]Population!A:A,'MASTER-2025'!A35))</f>
        <v>#VALUE!</v>
      </c>
      <c r="BI35" s="22" t="e">
        <f t="shared" si="18"/>
        <v>#VALUE!</v>
      </c>
      <c r="BJ35" s="23" t="e">
        <f t="shared" si="6"/>
        <v>#VALUE!</v>
      </c>
      <c r="BK35" s="22" t="e">
        <f>IF(A35=0,0,SUMIFS([1]Population!G:G,[1]Population!A:A,'MASTER-2025'!A35))</f>
        <v>#VALUE!</v>
      </c>
      <c r="BL35" s="24" cm="1">
        <f t="array" ref="BL35:BW35">IFERROR(VLOOKUP(A35,'[1]Now-OB-kg-POB-25'!A:AQ,{3,4,5,6,7,8,9,10,11,12,13,14},0),0)</f>
        <v>14</v>
      </c>
      <c r="BM35" s="24">
        <v>16</v>
      </c>
      <c r="BN35" s="24">
        <v>18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f t="shared" si="7"/>
        <v>48</v>
      </c>
      <c r="BY35" s="25" cm="1">
        <f t="array" ref="BY35:CJ35">IFERROR(VLOOKUP(A35,'[1]Now-OB-kg-POB-25'!A:AQ,{17,18,19,20,21,22,23,24,25,26,27,28},0),0)</f>
        <v>3130</v>
      </c>
      <c r="BZ35" s="25">
        <v>2993</v>
      </c>
      <c r="CA35" s="25">
        <v>3799</v>
      </c>
      <c r="CB35" s="25">
        <v>0</v>
      </c>
      <c r="CC35" s="25">
        <v>0</v>
      </c>
      <c r="CD35" s="25">
        <v>0</v>
      </c>
      <c r="CE35" s="25">
        <v>0</v>
      </c>
      <c r="CF35" s="25">
        <v>0</v>
      </c>
      <c r="CG35" s="25">
        <v>0</v>
      </c>
      <c r="CH35" s="25">
        <v>0</v>
      </c>
      <c r="CI35" s="25">
        <v>0</v>
      </c>
      <c r="CJ35" s="25">
        <v>0</v>
      </c>
      <c r="CK35" s="25">
        <f t="shared" si="8"/>
        <v>9922</v>
      </c>
      <c r="CL35" s="26" cm="1">
        <f t="array" ref="CL35:CW35">IFERROR(VLOOKUP(A35,'[1]Now-OB-kg-POB-25'!A:AQ,{31,32,33,34,35,36,37,38,39,40,41,42},0),0)</f>
        <v>1750</v>
      </c>
      <c r="CM35" s="26">
        <v>2418</v>
      </c>
      <c r="CN35" s="26">
        <v>2155</v>
      </c>
      <c r="CO35" s="26">
        <v>0</v>
      </c>
      <c r="CP35" s="26">
        <v>0</v>
      </c>
      <c r="CQ35" s="26">
        <v>0</v>
      </c>
      <c r="CR35" s="26">
        <v>0</v>
      </c>
      <c r="CS35" s="26">
        <v>0</v>
      </c>
      <c r="CT35" s="26">
        <v>0</v>
      </c>
      <c r="CU35" s="26">
        <v>0</v>
      </c>
      <c r="CV35" s="26">
        <v>0</v>
      </c>
      <c r="CW35" s="26">
        <v>0</v>
      </c>
      <c r="CX35" s="26">
        <f t="shared" si="9"/>
        <v>6323</v>
      </c>
      <c r="CY35" s="14" t="str">
        <f>IF(A35=0,0,IFERROR(VLOOKUP(A35,'[1]Info Donantes'!C:F,2,0),"Sin Contacto"))</f>
        <v>Sin Contacto</v>
      </c>
      <c r="CZ35" s="14" t="str">
        <f>IF(A35=0,0,IFERROR(VLOOKUP(A35,'[1]Info Donantes'!C:F,3,0),"Sin Correo"))</f>
        <v>Sin Correo</v>
      </c>
      <c r="DA35" s="14" t="str">
        <f>IF(A35=0,0,IFERROR(VLOOKUP(A35,'[1]Info Donantes'!C:F,4,0),"Sin Telefono"))</f>
        <v>Sin Telefono</v>
      </c>
      <c r="DB35" s="14" t="s">
        <v>173</v>
      </c>
    </row>
    <row r="36" spans="1:106" x14ac:dyDescent="0.55000000000000004">
      <c r="A36" s="14" t="s">
        <v>174</v>
      </c>
      <c r="B36" s="15">
        <f>INT(IFERROR(VLOOKUP(A36,'[1]Donor Summary'!C:F,3,0),0))</f>
        <v>0</v>
      </c>
      <c r="C36" s="15">
        <f>INT(ROUND(IFERROR(VLOOKUP(A36,'[1]Donor Summary'!C:F,4,0),0),1))</f>
        <v>0</v>
      </c>
      <c r="D36" s="16">
        <f t="shared" si="19"/>
        <v>0</v>
      </c>
      <c r="E36" s="17" t="str">
        <f t="shared" si="20"/>
        <v>0.00%</v>
      </c>
      <c r="F36" s="17" t="str">
        <f t="shared" si="21"/>
        <v>0.0%</v>
      </c>
      <c r="G36" s="15">
        <f t="shared" si="25"/>
        <v>0</v>
      </c>
      <c r="H36" s="18"/>
      <c r="I36" s="18">
        <f>IFERROR(VLOOKUP(A36,'[1]Lot All by Part'!T:Y,6,0),0)</f>
        <v>0</v>
      </c>
      <c r="J36" s="18"/>
      <c r="K36" s="19">
        <f>IFERROR(VLOOKUP($A36,'[1]Donor-Served OBs'!A:N,3,0),0)</f>
        <v>0</v>
      </c>
      <c r="L36" s="19">
        <f>ROUNDUP(IF(A36=0,0,IFERROR(VLOOKUP($A36,'[1]Donor''s Assigned Kilos'!A:O,3,0),0)),0)</f>
        <v>0</v>
      </c>
      <c r="M36" s="19">
        <f>IF(A36=0,0,IFERROR(SUMIFS([1]Population!M:M,[1]Population!J:J,'MASTER-2025'!A36),0))</f>
        <v>0</v>
      </c>
      <c r="N36" s="20">
        <f>IFERROR(VLOOKUP($A36,'[1]Donor-Served OBs'!A:N,4,0),0)</f>
        <v>0</v>
      </c>
      <c r="O36" s="20">
        <f>ROUNDUP(IF(A36=0,0,IFERROR(VLOOKUP($A36,'[1]Donor''s Assigned Kilos'!A:O,4,0),0)),0)</f>
        <v>0</v>
      </c>
      <c r="P36" s="20">
        <f>IF(A36=0,0,IFERROR(SUMIFS([1]Population!N:N,[1]Population!J:J,'MASTER-2025'!A36),0))</f>
        <v>0</v>
      </c>
      <c r="Q36" s="18">
        <f>IFERROR(VLOOKUP($A36,'[1]Donor-Served OBs'!A:N,2,0),0)</f>
        <v>0</v>
      </c>
      <c r="R36" s="18">
        <f>ROUNDUP(ROUND(IF(A36=0,0,IFERROR(VLOOKUP($A36,'[1]Donor''s Assigned Kilos'!A:O,9,0),0)),1),0)</f>
        <v>0</v>
      </c>
      <c r="S36" s="18">
        <f>IF(A36=0,0,IFERROR(SUMIFS([1]Population!S:S,[1]Population!J:J,'MASTER-2025'!A36),0))</f>
        <v>0</v>
      </c>
      <c r="T36" s="19">
        <f>IFERROR(VLOOKUP($A36,'[1]Donor-Served OBs'!A:N,12,0),0)</f>
        <v>0</v>
      </c>
      <c r="U36" s="19">
        <f>ROUNDUP(IF(A36=0,0,IF(A36=0,0,IFERROR(VLOOKUP($A36,'[1]Donor''s Assigned Kilos'!A:O,7,0),0))),0)</f>
        <v>0</v>
      </c>
      <c r="V36" s="19">
        <f>IF(A36=0,0,IFERROR(SUMIFS([1]Population!Q:Q,[1]Population!J:J,'MASTER-2025'!A36),0))</f>
        <v>0</v>
      </c>
      <c r="W36" s="20">
        <f>IFERROR(VLOOKUP($A36,'[1]Donor-Served OBs'!A:N,10,0),0)</f>
        <v>0</v>
      </c>
      <c r="X36" s="20">
        <f>ROUNDUP(IF(A36=0,0,IFERROR(VLOOKUP($A36,'[1]Donor''s Assigned Kilos'!A:N,5,0),0)),0)</f>
        <v>0</v>
      </c>
      <c r="Y36" s="20">
        <f>IF(A36=0,0,IFERROR(SUMIFS([1]Population!O:O,[1]Population!J:J,'MASTER-2025'!A36),0))</f>
        <v>0</v>
      </c>
      <c r="Z36" s="18">
        <f>IFERROR(VLOOKUP($A36,'[1]Donor-Served OBs'!A:N,6,0),0)</f>
        <v>0</v>
      </c>
      <c r="AA36" s="18">
        <f>ROUNDUP(IF(A36=0,0,IFERROR(VLOOKUP($A36,'[1]Donor''s Assigned Kilos'!A:N,11,0),0)),0)</f>
        <v>0</v>
      </c>
      <c r="AB36" s="18">
        <f>IF(A36=0,0,IFERROR(SUMIFS([1]Population!U:U,[1]Population!J:J,'MASTER-2025'!A36),0))</f>
        <v>0</v>
      </c>
      <c r="AC36" s="19">
        <f>IFERROR(VLOOKUP($A36,'[1]Donor-Served OBs'!A:N,7,0),0)</f>
        <v>0</v>
      </c>
      <c r="AD36" s="19">
        <f>ROUNDUP(IF(A36=0,0,IFERROR(VLOOKUP($A36,'[1]Donor''s Assigned Kilos'!A:N,8,0),0)),0)</f>
        <v>0</v>
      </c>
      <c r="AE36" s="19">
        <f>IF(A36=0,0,IFERROR(SUMIFS([1]Population!R:R,[1]Population!J:J,'MASTER-2025'!A36),0))</f>
        <v>0</v>
      </c>
      <c r="AF36" s="20">
        <f>IFERROR(VLOOKUP($A36,'[1]Donor-Served OBs'!A:N,8,0),0)</f>
        <v>0</v>
      </c>
      <c r="AG36" s="20">
        <f>ROUNDUP(IF(A36=0,0,IFERROR(VLOOKUP($A36,'[1]Donor''s Assigned Kilos'!A:N,6,0),0)),0)</f>
        <v>0</v>
      </c>
      <c r="AH36" s="20">
        <f>IF(A36=0,0,IFERROR(SUMIFS([1]Population!P:P,[1]Population!J:J,'MASTER-2025'!A36),0))</f>
        <v>0</v>
      </c>
      <c r="AI36" s="18">
        <f>IFERROR(VLOOKUP($A36,'[1]Donor-Served OBs'!A:N,9,0),0)</f>
        <v>0</v>
      </c>
      <c r="AJ36" s="18">
        <f>ROUNDUP(IF(A36=0,0,IFERROR(VLOOKUP($A36,'[1]Donor''s Assigned Kilos'!A:N,12,0),0)),0)</f>
        <v>0</v>
      </c>
      <c r="AK36" s="18">
        <f>IF(A36=0,0,IFERROR(SUMIFS([1]Population!V:V,[1]Population!J:J,'MASTER-2025'!A36),0))</f>
        <v>0</v>
      </c>
      <c r="AL36" s="19">
        <f>IFERROR(VLOOKUP($A36,'[1]Donor-Served OBs'!A:N,16,0),0)</f>
        <v>0</v>
      </c>
      <c r="AM36" s="19">
        <f>ROUNDUP(IF(A36=0,0,IFERROR(VLOOKUP($A36,'[1]Donor''s Assigned Kilos'!A:O,16,0),0)),0)</f>
        <v>0</v>
      </c>
      <c r="AN36" s="19">
        <f>IF(A36=0,0,IFERROR(SUMIFS([1]Population!Z:Z,[1]Population!J:J,'MASTER-2025'!A36),0))</f>
        <v>0</v>
      </c>
      <c r="AO36" s="20">
        <f>IFERROR(VLOOKUP($A36,'[1]Donor-Served OBs'!A:N,11,0),0)</f>
        <v>0</v>
      </c>
      <c r="AP36" s="20">
        <f>ROUNDUP(IF(A36=0,0,IFERROR(VLOOKUP($A36,'[1]Donor''s Assigned Kilos'!A:N,13,0),0)),0)</f>
        <v>0</v>
      </c>
      <c r="AQ36" s="20">
        <f>IF(A36=0,0,IFERROR(SUMIFS([1]Population!W:W,[1]Population!J:J,'MASTER-2025'!A36),0))</f>
        <v>0</v>
      </c>
      <c r="AR36" s="18">
        <f>IFERROR(VLOOKUP($A36,'[1]Donor-Served OBs'!A:N,5,0),0)</f>
        <v>0</v>
      </c>
      <c r="AS36" s="18">
        <f>ROUNDUP(IF(A36=0,0,IFERROR(VLOOKUP($A36,'[1]Donor''s Assigned Kilos'!A:N,10,0),0)),0)</f>
        <v>0</v>
      </c>
      <c r="AT36" s="18">
        <f>IF(A36=0,0,IFERROR(SUMIFS([1]Population!T:T,[1]Population!J:J,'MASTER-2025'!A36),0))</f>
        <v>0</v>
      </c>
      <c r="AU36" s="19">
        <f>IFERROR(VLOOKUP($A36,'[1]Donor-Served OBs'!A:N,13,0),0)</f>
        <v>0</v>
      </c>
      <c r="AV36" s="19">
        <f>ROUNDUP(IF(A36=0,0,IFERROR(VLOOKUP($A36,'[1]Donor''s Assigned Kilos'!A:N,14,0),0)),0)</f>
        <v>0</v>
      </c>
      <c r="AW36" s="19">
        <f>IF(A36=0,0,IFERROR(SUMIFS([1]Population!X:X,[1]Population!J:J,'MASTER-2025'!A36),0))</f>
        <v>0</v>
      </c>
      <c r="AX36" s="20">
        <f>IFERROR(VLOOKUP($A36,'[1]Donor-Served OBs'!A:N,16,0),0)</f>
        <v>0</v>
      </c>
      <c r="AY36" s="20">
        <f>ROUNDUP(IF(A36=0,0,IFERROR(VLOOKUP($A36,'[1]Donor''s Assigned Kilos'!A:O,16,0),0)),0)</f>
        <v>0</v>
      </c>
      <c r="AZ36" s="20">
        <f>IF(A36=0,0,IFERROR(SUMIFS([1]Population!Y:Y,[1]Population!J:J,'MASTER-2025'!A36),0))</f>
        <v>0</v>
      </c>
      <c r="BA36" s="21">
        <f t="shared" si="15"/>
        <v>0</v>
      </c>
      <c r="BB36" s="21">
        <f t="shared" si="23"/>
        <v>0</v>
      </c>
      <c r="BC36" s="21">
        <f t="shared" si="24"/>
        <v>0</v>
      </c>
      <c r="BD36" s="21">
        <f t="shared" si="26"/>
        <v>0</v>
      </c>
      <c r="BE36" s="22" t="e">
        <f>IF(A36=0,0,SUMIFS([1]Population!C:C,[1]Population!A:A,'MASTER-2025'!A36))</f>
        <v>#VALUE!</v>
      </c>
      <c r="BF36" s="22" t="e">
        <f>IF(A36=0,0,SUMIFS([1]Population!D:D,[1]Population!A:A,'MASTER-2025'!A36))</f>
        <v>#VALUE!</v>
      </c>
      <c r="BG36" s="22" t="e">
        <f>IF(A36=0,0,SUMIFS([1]Population!E:E,[1]Population!A:A,'MASTER-2025'!A36))</f>
        <v>#VALUE!</v>
      </c>
      <c r="BH36" s="22" t="e">
        <f>IF(A36=0,0,SUMIFS([1]Population!F:F,[1]Population!A:A,'MASTER-2025'!A36))</f>
        <v>#VALUE!</v>
      </c>
      <c r="BI36" s="22" t="e">
        <f t="shared" si="18"/>
        <v>#VALUE!</v>
      </c>
      <c r="BJ36" s="23" t="e">
        <f t="shared" si="6"/>
        <v>#VALUE!</v>
      </c>
      <c r="BK36" s="22" t="e">
        <f>IF(A36=0,0,SUMIFS([1]Population!G:G,[1]Population!A:A,'MASTER-2025'!A36))</f>
        <v>#VALUE!</v>
      </c>
      <c r="BL36" s="24" cm="1">
        <f t="array" ref="BL36:BW36">IFERROR(VLOOKUP(A36,'[1]Now-OB-kg-POB-25'!A:AQ,{3,4,5,6,7,8,9,10,11,12,13,14},0),0)</f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BX36" s="24">
        <f t="shared" si="7"/>
        <v>0</v>
      </c>
      <c r="BY36" s="25" cm="1">
        <f t="array" ref="BY36:CJ36">IFERROR(VLOOKUP(A36,'[1]Now-OB-kg-POB-25'!A:AQ,{17,18,19,20,21,22,23,24,25,26,27,28},0),0)</f>
        <v>0</v>
      </c>
      <c r="BZ36" s="25">
        <v>0</v>
      </c>
      <c r="CA36" s="25">
        <v>0</v>
      </c>
      <c r="CB36" s="25">
        <v>0</v>
      </c>
      <c r="CC36" s="25">
        <v>0</v>
      </c>
      <c r="CD36" s="25">
        <v>0</v>
      </c>
      <c r="CE36" s="25">
        <v>0</v>
      </c>
      <c r="CF36" s="25">
        <v>0</v>
      </c>
      <c r="CG36" s="25">
        <v>0</v>
      </c>
      <c r="CH36" s="25">
        <v>0</v>
      </c>
      <c r="CI36" s="25">
        <v>0</v>
      </c>
      <c r="CJ36" s="25">
        <v>0</v>
      </c>
      <c r="CK36" s="25">
        <f t="shared" si="8"/>
        <v>0</v>
      </c>
      <c r="CL36" s="26" cm="1">
        <f t="array" ref="CL36:CW36">IFERROR(VLOOKUP(A36,'[1]Now-OB-kg-POB-25'!A:AQ,{31,32,33,34,35,36,37,38,39,40,41,42},0),0)</f>
        <v>0</v>
      </c>
      <c r="CM36" s="26">
        <v>0</v>
      </c>
      <c r="CN36" s="26">
        <v>0</v>
      </c>
      <c r="CO36" s="26">
        <v>0</v>
      </c>
      <c r="CP36" s="26">
        <v>0</v>
      </c>
      <c r="CQ36" s="26">
        <v>0</v>
      </c>
      <c r="CR36" s="26">
        <v>0</v>
      </c>
      <c r="CS36" s="26">
        <v>0</v>
      </c>
      <c r="CT36" s="26">
        <v>0</v>
      </c>
      <c r="CU36" s="26">
        <v>0</v>
      </c>
      <c r="CV36" s="26">
        <v>0</v>
      </c>
      <c r="CW36" s="26">
        <v>0</v>
      </c>
      <c r="CX36" s="26">
        <f t="shared" si="9"/>
        <v>0</v>
      </c>
      <c r="CY36" s="14" t="str">
        <f>IF(A36=0,0,IFERROR(VLOOKUP(A36,'[1]Info Donantes'!C:F,2,0),"Sin Contacto"))</f>
        <v>Karina Hernandez</v>
      </c>
      <c r="CZ36" s="14" t="str">
        <f>IF(A36=0,0,IFERROR(VLOOKUP(A36,'[1]Info Donantes'!C:F,3,0),"Sin Correo"))</f>
        <v>karina.hernandezl@kof.com.mx</v>
      </c>
      <c r="DA36" s="14" t="str">
        <f>IF(A36=0,0,IFERROR(VLOOKUP(A36,'[1]Info Donantes'!C:F,4,0),"Sin Telefono"))</f>
        <v>274-9000 EXT. 5270</v>
      </c>
      <c r="DB36" s="14" t="s">
        <v>175</v>
      </c>
    </row>
    <row r="37" spans="1:106" x14ac:dyDescent="0.55000000000000004">
      <c r="A37" s="14" t="s">
        <v>176</v>
      </c>
      <c r="B37" s="15">
        <f>INT(IFERROR(VLOOKUP(A37,'[1]Donor Summary'!C:F,3,0),0))</f>
        <v>13</v>
      </c>
      <c r="C37" s="15">
        <f>INT(ROUND(IFERROR(VLOOKUP(A37,'[1]Donor Summary'!C:F,4,0),0),1))</f>
        <v>2464</v>
      </c>
      <c r="D37" s="16">
        <f t="shared" si="19"/>
        <v>2451</v>
      </c>
      <c r="E37" s="17" t="str">
        <f t="shared" si="20"/>
        <v>99.47%</v>
      </c>
      <c r="F37" s="17" t="str">
        <f t="shared" si="21"/>
        <v>0.5%</v>
      </c>
      <c r="G37" s="15">
        <f t="shared" si="25"/>
        <v>7353</v>
      </c>
      <c r="H37" s="18"/>
      <c r="I37" s="18">
        <f>IFERROR(VLOOKUP(A37,'[1]Lot All by Part'!T:Y,6,0),0)</f>
        <v>0</v>
      </c>
      <c r="J37" s="18"/>
      <c r="K37" s="19">
        <f>IFERROR(VLOOKUP($A37,'[1]Donor-Served OBs'!A:N,3,0),0)</f>
        <v>12</v>
      </c>
      <c r="L37" s="19">
        <f>ROUNDUP(IF(A37=0,0,IFERROR(VLOOKUP($A37,'[1]Donor''s Assigned Kilos'!A:O,3,0),0)),0)</f>
        <v>161</v>
      </c>
      <c r="M37" s="19">
        <f>IF(A37=0,0,IFERROR(SUMIFS([1]Population!M:M,[1]Population!J:J,'MASTER-2025'!A37),0))</f>
        <v>0</v>
      </c>
      <c r="N37" s="20">
        <f>IFERROR(VLOOKUP($A37,'[1]Donor-Served OBs'!A:N,4,0),0)</f>
        <v>21</v>
      </c>
      <c r="O37" s="20">
        <f>ROUNDUP(IF(A37=0,0,IFERROR(VLOOKUP($A37,'[1]Donor''s Assigned Kilos'!A:O,4,0),0)),0)</f>
        <v>173</v>
      </c>
      <c r="P37" s="20">
        <f>IF(A37=0,0,IFERROR(SUMIFS([1]Population!N:N,[1]Population!J:J,'MASTER-2025'!A37),0))</f>
        <v>0</v>
      </c>
      <c r="Q37" s="18">
        <f>IFERROR(VLOOKUP($A37,'[1]Donor-Served OBs'!A:N,2,0),0)</f>
        <v>7</v>
      </c>
      <c r="R37" s="18">
        <f>ROUNDUP(ROUND(IF(A37=0,0,IFERROR(VLOOKUP($A37,'[1]Donor''s Assigned Kilos'!A:O,9,0),0)),1),0)</f>
        <v>38</v>
      </c>
      <c r="S37" s="18">
        <f>IF(A37=0,0,IFERROR(SUMIFS([1]Population!S:S,[1]Population!J:J,'MASTER-2025'!A37),0))</f>
        <v>0</v>
      </c>
      <c r="T37" s="19">
        <f>IFERROR(VLOOKUP($A37,'[1]Donor-Served OBs'!A:N,12,0),0)</f>
        <v>4</v>
      </c>
      <c r="U37" s="19">
        <f>ROUNDUP(IF(A37=0,0,IF(A37=0,0,IFERROR(VLOOKUP($A37,'[1]Donor''s Assigned Kilos'!A:O,7,0),0))),0)</f>
        <v>14</v>
      </c>
      <c r="V37" s="19">
        <f>IF(A37=0,0,IFERROR(SUMIFS([1]Population!Q:Q,[1]Population!J:J,'MASTER-2025'!A37),0))</f>
        <v>0</v>
      </c>
      <c r="W37" s="20">
        <f>IFERROR(VLOOKUP($A37,'[1]Donor-Served OBs'!A:N,10,0),0)</f>
        <v>10</v>
      </c>
      <c r="X37" s="20">
        <f>ROUNDUP(IF(A37=0,0,IFERROR(VLOOKUP($A37,'[1]Donor''s Assigned Kilos'!A:N,5,0),0)),0)</f>
        <v>84</v>
      </c>
      <c r="Y37" s="20">
        <f>IF(A37=0,0,IFERROR(SUMIFS([1]Population!O:O,[1]Population!J:J,'MASTER-2025'!A37),0))</f>
        <v>0</v>
      </c>
      <c r="Z37" s="18">
        <f>IFERROR(VLOOKUP($A37,'[1]Donor-Served OBs'!A:N,6,0),0)</f>
        <v>1</v>
      </c>
      <c r="AA37" s="18">
        <f>ROUNDUP(IF(A37=0,0,IFERROR(VLOOKUP($A37,'[1]Donor''s Assigned Kilos'!A:N,11,0),0)),0)</f>
        <v>40</v>
      </c>
      <c r="AB37" s="18">
        <f>IF(A37=0,0,IFERROR(SUMIFS([1]Population!U:U,[1]Population!J:J,'MASTER-2025'!A37),0))</f>
        <v>0</v>
      </c>
      <c r="AC37" s="19">
        <f>IFERROR(VLOOKUP($A37,'[1]Donor-Served OBs'!A:N,7,0),0)</f>
        <v>1</v>
      </c>
      <c r="AD37" s="19">
        <f>ROUNDUP(IF(A37=0,0,IFERROR(VLOOKUP($A37,'[1]Donor''s Assigned Kilos'!A:N,8,0),0)),0)</f>
        <v>29</v>
      </c>
      <c r="AE37" s="19">
        <f>IF(A37=0,0,IFERROR(SUMIFS([1]Population!R:R,[1]Population!J:J,'MASTER-2025'!A37),0))</f>
        <v>0</v>
      </c>
      <c r="AF37" s="20">
        <f>IFERROR(VLOOKUP($A37,'[1]Donor-Served OBs'!A:N,8,0),0)</f>
        <v>2</v>
      </c>
      <c r="AG37" s="20">
        <f>ROUNDUP(IF(A37=0,0,IFERROR(VLOOKUP($A37,'[1]Donor''s Assigned Kilos'!A:N,6,0),0)),0)</f>
        <v>14</v>
      </c>
      <c r="AH37" s="20">
        <f>IF(A37=0,0,IFERROR(SUMIFS([1]Population!P:P,[1]Population!J:J,'MASTER-2025'!A37),0))</f>
        <v>0</v>
      </c>
      <c r="AI37" s="18">
        <f>IFERROR(VLOOKUP($A37,'[1]Donor-Served OBs'!A:N,9,0),0)</f>
        <v>2</v>
      </c>
      <c r="AJ37" s="18">
        <f>ROUNDUP(IF(A37=0,0,IFERROR(VLOOKUP($A37,'[1]Donor''s Assigned Kilos'!A:N,12,0),0)),0)</f>
        <v>14</v>
      </c>
      <c r="AK37" s="18">
        <f>IF(A37=0,0,IFERROR(SUMIFS([1]Population!V:V,[1]Population!J:J,'MASTER-2025'!A37),0))</f>
        <v>0</v>
      </c>
      <c r="AL37" s="19">
        <f>IFERROR(VLOOKUP($A37,'[1]Donor-Served OBs'!A:N,16,0),0)</f>
        <v>0</v>
      </c>
      <c r="AM37" s="19">
        <f>ROUNDUP(IF(A37=0,0,IFERROR(VLOOKUP($A37,'[1]Donor''s Assigned Kilos'!A:O,16,0),0)),0)</f>
        <v>0</v>
      </c>
      <c r="AN37" s="19">
        <f>IF(A37=0,0,IFERROR(SUMIFS([1]Population!Z:Z,[1]Population!J:J,'MASTER-2025'!A37),0))</f>
        <v>0</v>
      </c>
      <c r="AO37" s="20">
        <f>IFERROR(VLOOKUP($A37,'[1]Donor-Served OBs'!A:N,11,0),0)</f>
        <v>1</v>
      </c>
      <c r="AP37" s="20">
        <f>ROUNDUP(IF(A37=0,0,IFERROR(VLOOKUP($A37,'[1]Donor''s Assigned Kilos'!A:N,13,0),0)),0)</f>
        <v>6</v>
      </c>
      <c r="AQ37" s="20">
        <f>IF(A37=0,0,IFERROR(SUMIFS([1]Population!W:W,[1]Population!J:J,'MASTER-2025'!A37),0))</f>
        <v>0</v>
      </c>
      <c r="AR37" s="18">
        <f>IFERROR(VLOOKUP($A37,'[1]Donor-Served OBs'!A:N,5,0),0)</f>
        <v>5</v>
      </c>
      <c r="AS37" s="18">
        <f>ROUNDUP(IF(A37=0,0,IFERROR(VLOOKUP($A37,'[1]Donor''s Assigned Kilos'!A:N,10,0),0)),0)</f>
        <v>34</v>
      </c>
      <c r="AT37" s="18">
        <f>IF(A37=0,0,IFERROR(SUMIFS([1]Population!T:T,[1]Population!J:J,'MASTER-2025'!A37),0))</f>
        <v>0</v>
      </c>
      <c r="AU37" s="19">
        <f>IFERROR(VLOOKUP($A37,'[1]Donor-Served OBs'!A:N,13,0),0)</f>
        <v>0</v>
      </c>
      <c r="AV37" s="19">
        <f>ROUNDUP(IF(A37=0,0,IFERROR(VLOOKUP($A37,'[1]Donor''s Assigned Kilos'!A:N,14,0),0)),0)</f>
        <v>0</v>
      </c>
      <c r="AW37" s="19">
        <f>IF(A37=0,0,IFERROR(SUMIFS([1]Population!X:X,[1]Population!J:J,'MASTER-2025'!A37),0))</f>
        <v>0</v>
      </c>
      <c r="AX37" s="20">
        <f>IFERROR(VLOOKUP($A37,'[1]Donor-Served OBs'!A:N,16,0),0)</f>
        <v>0</v>
      </c>
      <c r="AY37" s="20">
        <f>ROUNDUP(IF(A37=0,0,IFERROR(VLOOKUP($A37,'[1]Donor''s Assigned Kilos'!A:O,16,0),0)),0)</f>
        <v>0</v>
      </c>
      <c r="AZ37" s="20">
        <f>IF(A37=0,0,IFERROR(SUMIFS([1]Population!Y:Y,[1]Population!J:J,'MASTER-2025'!A37),0))</f>
        <v>0</v>
      </c>
      <c r="BA37" s="21">
        <f t="shared" si="15"/>
        <v>66</v>
      </c>
      <c r="BB37" s="21">
        <f t="shared" si="23"/>
        <v>607</v>
      </c>
      <c r="BC37" s="21">
        <f t="shared" si="24"/>
        <v>386</v>
      </c>
      <c r="BD37" s="21">
        <f t="shared" si="26"/>
        <v>0</v>
      </c>
      <c r="BE37" s="22" t="e">
        <f>IF(A37=0,0,SUMIFS([1]Population!C:C,[1]Population!A:A,'MASTER-2025'!A37))</f>
        <v>#VALUE!</v>
      </c>
      <c r="BF37" s="22" t="e">
        <f>IF(A37=0,0,SUMIFS([1]Population!D:D,[1]Population!A:A,'MASTER-2025'!A37))</f>
        <v>#VALUE!</v>
      </c>
      <c r="BG37" s="22" t="e">
        <f>IF(A37=0,0,SUMIFS([1]Population!E:E,[1]Population!A:A,'MASTER-2025'!A37))</f>
        <v>#VALUE!</v>
      </c>
      <c r="BH37" s="22" t="e">
        <f>IF(A37=0,0,SUMIFS([1]Population!F:F,[1]Population!A:A,'MASTER-2025'!A37))</f>
        <v>#VALUE!</v>
      </c>
      <c r="BI37" s="22" t="e">
        <f t="shared" si="18"/>
        <v>#VALUE!</v>
      </c>
      <c r="BJ37" s="23" t="e">
        <f t="shared" si="6"/>
        <v>#VALUE!</v>
      </c>
      <c r="BK37" s="22" t="e">
        <f>IF(A37=0,0,SUMIFS([1]Population!G:G,[1]Population!A:A,'MASTER-2025'!A37))</f>
        <v>#VALUE!</v>
      </c>
      <c r="BL37" s="24" cm="1">
        <f t="array" ref="BL37:BW37">IFERROR(VLOOKUP(A37,'[1]Now-OB-kg-POB-25'!A:AQ,{3,4,5,6,7,8,9,10,11,12,13,14},0),0)</f>
        <v>92</v>
      </c>
      <c r="BM37" s="24">
        <v>88</v>
      </c>
      <c r="BN37" s="24">
        <v>66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f t="shared" si="7"/>
        <v>246</v>
      </c>
      <c r="BY37" s="25" cm="1">
        <f t="array" ref="BY37:CJ37">IFERROR(VLOOKUP(A37,'[1]Now-OB-kg-POB-25'!A:AQ,{17,18,19,20,21,22,23,24,25,26,27,28},0),0)</f>
        <v>4741</v>
      </c>
      <c r="BZ37" s="25">
        <v>1030</v>
      </c>
      <c r="CA37" s="25">
        <v>2464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f t="shared" si="8"/>
        <v>8235</v>
      </c>
      <c r="CL37" s="26" cm="1">
        <f t="array" ref="CL37:CW37">IFERROR(VLOOKUP(A37,'[1]Now-OB-kg-POB-25'!A:AQ,{31,32,33,34,35,36,37,38,39,40,41,42},0),0)</f>
        <v>24800</v>
      </c>
      <c r="CM37" s="26">
        <v>24370</v>
      </c>
      <c r="CN37" s="26">
        <v>16281</v>
      </c>
      <c r="CO37" s="26">
        <v>0</v>
      </c>
      <c r="CP37" s="26">
        <v>0</v>
      </c>
      <c r="CQ37" s="26">
        <v>0</v>
      </c>
      <c r="CR37" s="26">
        <v>0</v>
      </c>
      <c r="CS37" s="26">
        <v>0</v>
      </c>
      <c r="CT37" s="26">
        <v>0</v>
      </c>
      <c r="CU37" s="26">
        <v>0</v>
      </c>
      <c r="CV37" s="26">
        <v>0</v>
      </c>
      <c r="CW37" s="26">
        <v>0</v>
      </c>
      <c r="CX37" s="26">
        <f t="shared" si="9"/>
        <v>65451</v>
      </c>
      <c r="CY37" s="14" t="str">
        <f>IF(A37=0,0,IFERROR(VLOOKUP(A37,'[1]Info Donantes'!C:F,2,0),"Sin Contacto"))</f>
        <v>Ramon Aguilar</v>
      </c>
      <c r="CZ37" s="14" t="str">
        <f>IF(A37=0,0,IFERROR(VLOOKUP(A37,'[1]Info Donantes'!C:F,3,0),"Sin Correo"))</f>
        <v>ramon_a_aguilar@colpal.com</v>
      </c>
      <c r="DA37" s="14" t="str">
        <f>IF(A37=0,0,IFERROR(VLOOKUP(A37,'[1]Info Donantes'!C:F,4,0),"Sin Telefono"))</f>
        <v>6678-5925</v>
      </c>
      <c r="DB37" s="14" t="s">
        <v>177</v>
      </c>
    </row>
    <row r="38" spans="1:106" x14ac:dyDescent="0.55000000000000004">
      <c r="A38" s="14" t="s">
        <v>178</v>
      </c>
      <c r="B38" s="15">
        <f>INT(IFERROR(VLOOKUP(A38,'[1]Donor Summary'!C:F,3,0),0))</f>
        <v>6</v>
      </c>
      <c r="C38" s="15">
        <f>INT(ROUND(IFERROR(VLOOKUP(A38,'[1]Donor Summary'!C:F,4,0),0),1))</f>
        <v>3940</v>
      </c>
      <c r="D38" s="16">
        <f t="shared" si="19"/>
        <v>3934</v>
      </c>
      <c r="E38" s="17" t="str">
        <f t="shared" si="20"/>
        <v>99.85%</v>
      </c>
      <c r="F38" s="17" t="str">
        <f t="shared" si="21"/>
        <v>0.2%</v>
      </c>
      <c r="G38" s="15">
        <f t="shared" si="25"/>
        <v>11802</v>
      </c>
      <c r="H38" s="18"/>
      <c r="I38" s="18">
        <f>IFERROR(VLOOKUP(A38,'[1]Lot All by Part'!T:Y,6,0),0)</f>
        <v>0</v>
      </c>
      <c r="J38" s="18"/>
      <c r="K38" s="19">
        <f>IFERROR(VLOOKUP($A38,'[1]Donor-Served OBs'!A:N,3,0),0)</f>
        <v>9</v>
      </c>
      <c r="L38" s="19">
        <f>ROUNDUP(IF(A38=0,0,IFERROR(VLOOKUP($A38,'[1]Donor''s Assigned Kilos'!A:O,3,0),0)),0)</f>
        <v>632</v>
      </c>
      <c r="M38" s="19">
        <f>IF(A38=0,0,IFERROR(SUMIFS([1]Population!M:M,[1]Population!J:J,'MASTER-2025'!A38),0))</f>
        <v>0</v>
      </c>
      <c r="N38" s="20">
        <f>IFERROR(VLOOKUP($A38,'[1]Donor-Served OBs'!A:N,4,0),0)</f>
        <v>18</v>
      </c>
      <c r="O38" s="20">
        <f>ROUNDUP(IF(A38=0,0,IFERROR(VLOOKUP($A38,'[1]Donor''s Assigned Kilos'!A:O,4,0),0)),0)</f>
        <v>1292</v>
      </c>
      <c r="P38" s="20">
        <f>IF(A38=0,0,IFERROR(SUMIFS([1]Population!N:N,[1]Population!J:J,'MASTER-2025'!A38),0))</f>
        <v>0</v>
      </c>
      <c r="Q38" s="18">
        <f>IFERROR(VLOOKUP($A38,'[1]Donor-Served OBs'!A:N,2,0),0)</f>
        <v>4</v>
      </c>
      <c r="R38" s="18">
        <f>ROUNDUP(ROUND(IF(A38=0,0,IFERROR(VLOOKUP($A38,'[1]Donor''s Assigned Kilos'!A:O,9,0),0)),1),0)</f>
        <v>240</v>
      </c>
      <c r="S38" s="18">
        <f>IF(A38=0,0,IFERROR(SUMIFS([1]Population!S:S,[1]Population!J:J,'MASTER-2025'!A38),0))</f>
        <v>0</v>
      </c>
      <c r="T38" s="19">
        <f>IFERROR(VLOOKUP($A38,'[1]Donor-Served OBs'!A:N,12,0),0)</f>
        <v>0</v>
      </c>
      <c r="U38" s="19">
        <f>ROUNDUP(IF(A38=0,0,IF(A38=0,0,IFERROR(VLOOKUP($A38,'[1]Donor''s Assigned Kilos'!A:O,7,0),0))),0)</f>
        <v>0</v>
      </c>
      <c r="V38" s="19">
        <f>IF(A38=0,0,IFERROR(SUMIFS([1]Population!Q:Q,[1]Population!J:J,'MASTER-2025'!A38),0))</f>
        <v>0</v>
      </c>
      <c r="W38" s="20">
        <f>IFERROR(VLOOKUP($A38,'[1]Donor-Served OBs'!A:N,10,0),0)</f>
        <v>6</v>
      </c>
      <c r="X38" s="20">
        <f>ROUNDUP(IF(A38=0,0,IFERROR(VLOOKUP($A38,'[1]Donor''s Assigned Kilos'!A:N,5,0),0)),0)</f>
        <v>380</v>
      </c>
      <c r="Y38" s="20">
        <f>IF(A38=0,0,IFERROR(SUMIFS([1]Population!O:O,[1]Population!J:J,'MASTER-2025'!A38),0))</f>
        <v>0</v>
      </c>
      <c r="Z38" s="18">
        <f>IFERROR(VLOOKUP($A38,'[1]Donor-Served OBs'!A:N,6,0),0)</f>
        <v>0</v>
      </c>
      <c r="AA38" s="18">
        <f>ROUNDUP(IF(A38=0,0,IFERROR(VLOOKUP($A38,'[1]Donor''s Assigned Kilos'!A:N,11,0),0)),0)</f>
        <v>0</v>
      </c>
      <c r="AB38" s="18">
        <f>IF(A38=0,0,IFERROR(SUMIFS([1]Population!U:U,[1]Population!J:J,'MASTER-2025'!A38),0))</f>
        <v>0</v>
      </c>
      <c r="AC38" s="19">
        <f>IFERROR(VLOOKUP($A38,'[1]Donor-Served OBs'!A:N,7,0),0)</f>
        <v>3</v>
      </c>
      <c r="AD38" s="19">
        <f>ROUNDUP(IF(A38=0,0,IFERROR(VLOOKUP($A38,'[1]Donor''s Assigned Kilos'!A:N,8,0),0)),0)</f>
        <v>520</v>
      </c>
      <c r="AE38" s="19">
        <f>IF(A38=0,0,IFERROR(SUMIFS([1]Population!R:R,[1]Population!J:J,'MASTER-2025'!A38),0))</f>
        <v>0</v>
      </c>
      <c r="AF38" s="20">
        <f>IFERROR(VLOOKUP($A38,'[1]Donor-Served OBs'!A:N,8,0),0)</f>
        <v>0</v>
      </c>
      <c r="AG38" s="20">
        <f>ROUNDUP(IF(A38=0,0,IFERROR(VLOOKUP($A38,'[1]Donor''s Assigned Kilos'!A:N,6,0),0)),0)</f>
        <v>0</v>
      </c>
      <c r="AH38" s="20">
        <f>IF(A38=0,0,IFERROR(SUMIFS([1]Population!P:P,[1]Population!J:J,'MASTER-2025'!A38),0))</f>
        <v>0</v>
      </c>
      <c r="AI38" s="18">
        <f>IFERROR(VLOOKUP($A38,'[1]Donor-Served OBs'!A:N,9,0),0)</f>
        <v>0</v>
      </c>
      <c r="AJ38" s="18">
        <f>ROUNDUP(IF(A38=0,0,IFERROR(VLOOKUP($A38,'[1]Donor''s Assigned Kilos'!A:N,12,0),0)),0)</f>
        <v>0</v>
      </c>
      <c r="AK38" s="18">
        <f>IF(A38=0,0,IFERROR(SUMIFS([1]Population!V:V,[1]Population!J:J,'MASTER-2025'!A38),0))</f>
        <v>0</v>
      </c>
      <c r="AL38" s="19">
        <f>IFERROR(VLOOKUP($A38,'[1]Donor-Served OBs'!A:N,16,0),0)</f>
        <v>0</v>
      </c>
      <c r="AM38" s="19">
        <f>ROUNDUP(IF(A38=0,0,IFERROR(VLOOKUP($A38,'[1]Donor''s Assigned Kilos'!A:O,16,0),0)),0)</f>
        <v>0</v>
      </c>
      <c r="AN38" s="19">
        <f>IF(A38=0,0,IFERROR(SUMIFS([1]Population!Z:Z,[1]Population!J:J,'MASTER-2025'!A38),0))</f>
        <v>0</v>
      </c>
      <c r="AO38" s="20">
        <f>IFERROR(VLOOKUP($A38,'[1]Donor-Served OBs'!A:N,11,0),0)</f>
        <v>0</v>
      </c>
      <c r="AP38" s="20">
        <f>ROUNDUP(IF(A38=0,0,IFERROR(VLOOKUP($A38,'[1]Donor''s Assigned Kilos'!A:N,13,0),0)),0)</f>
        <v>0</v>
      </c>
      <c r="AQ38" s="20">
        <f>IF(A38=0,0,IFERROR(SUMIFS([1]Population!W:W,[1]Population!J:J,'MASTER-2025'!A38),0))</f>
        <v>0</v>
      </c>
      <c r="AR38" s="18">
        <f>IFERROR(VLOOKUP($A38,'[1]Donor-Served OBs'!A:N,5,0),0)</f>
        <v>1</v>
      </c>
      <c r="AS38" s="18">
        <f>ROUNDUP(IF(A38=0,0,IFERROR(VLOOKUP($A38,'[1]Donor''s Assigned Kilos'!A:N,10,0),0)),0)</f>
        <v>40</v>
      </c>
      <c r="AT38" s="18">
        <f>IF(A38=0,0,IFERROR(SUMIFS([1]Population!T:T,[1]Population!J:J,'MASTER-2025'!A38),0))</f>
        <v>0</v>
      </c>
      <c r="AU38" s="19">
        <f>IFERROR(VLOOKUP($A38,'[1]Donor-Served OBs'!A:N,13,0),0)</f>
        <v>0</v>
      </c>
      <c r="AV38" s="19">
        <f>ROUNDUP(IF(A38=0,0,IFERROR(VLOOKUP($A38,'[1]Donor''s Assigned Kilos'!A:N,14,0),0)),0)</f>
        <v>0</v>
      </c>
      <c r="AW38" s="19">
        <f>IF(A38=0,0,IFERROR(SUMIFS([1]Population!X:X,[1]Population!J:J,'MASTER-2025'!A38),0))</f>
        <v>0</v>
      </c>
      <c r="AX38" s="20">
        <f>IFERROR(VLOOKUP($A38,'[1]Donor-Served OBs'!A:N,16,0),0)</f>
        <v>0</v>
      </c>
      <c r="AY38" s="20">
        <f>ROUNDUP(IF(A38=0,0,IFERROR(VLOOKUP($A38,'[1]Donor''s Assigned Kilos'!A:O,16,0),0)),0)</f>
        <v>0</v>
      </c>
      <c r="AZ38" s="20">
        <f>IF(A38=0,0,IFERROR(SUMIFS([1]Population!Y:Y,[1]Population!J:J,'MASTER-2025'!A38),0))</f>
        <v>0</v>
      </c>
      <c r="BA38" s="21">
        <f t="shared" si="15"/>
        <v>41</v>
      </c>
      <c r="BB38" s="21">
        <f t="shared" si="23"/>
        <v>3104</v>
      </c>
      <c r="BC38" s="21">
        <f t="shared" si="24"/>
        <v>2164</v>
      </c>
      <c r="BD38" s="21">
        <f t="shared" si="26"/>
        <v>0</v>
      </c>
      <c r="BE38" s="22" t="e">
        <f>IF(A38=0,0,SUMIFS([1]Population!C:C,[1]Population!A:A,'MASTER-2025'!A38))</f>
        <v>#VALUE!</v>
      </c>
      <c r="BF38" s="22" t="e">
        <f>IF(A38=0,0,SUMIFS([1]Population!D:D,[1]Population!A:A,'MASTER-2025'!A38))</f>
        <v>#VALUE!</v>
      </c>
      <c r="BG38" s="22" t="e">
        <f>IF(A38=0,0,SUMIFS([1]Population!E:E,[1]Population!A:A,'MASTER-2025'!A38))</f>
        <v>#VALUE!</v>
      </c>
      <c r="BH38" s="22" t="e">
        <f>IF(A38=0,0,SUMIFS([1]Population!F:F,[1]Population!A:A,'MASTER-2025'!A38))</f>
        <v>#VALUE!</v>
      </c>
      <c r="BI38" s="22" t="e">
        <f t="shared" si="18"/>
        <v>#VALUE!</v>
      </c>
      <c r="BJ38" s="23" t="e">
        <f t="shared" si="6"/>
        <v>#VALUE!</v>
      </c>
      <c r="BK38" s="22" t="e">
        <f>IF(A38=0,0,SUMIFS([1]Population!G:G,[1]Population!A:A,'MASTER-2025'!A38))</f>
        <v>#VALUE!</v>
      </c>
      <c r="BL38" s="24" cm="1">
        <f t="array" ref="BL38:BW38">IFERROR(VLOOKUP(A38,'[1]Now-OB-kg-POB-25'!A:AQ,{3,4,5,6,7,8,9,10,11,12,13,14},0),0)</f>
        <v>7</v>
      </c>
      <c r="BM38" s="24">
        <v>7</v>
      </c>
      <c r="BN38" s="24">
        <v>41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f t="shared" si="7"/>
        <v>55</v>
      </c>
      <c r="BY38" s="25" cm="1">
        <f t="array" ref="BY38:CJ38">IFERROR(VLOOKUP(A38,'[1]Now-OB-kg-POB-25'!A:AQ,{17,18,19,20,21,22,23,24,25,26,27,28},0),0)</f>
        <v>560</v>
      </c>
      <c r="BZ38" s="25">
        <v>168</v>
      </c>
      <c r="CA38" s="25">
        <v>3940</v>
      </c>
      <c r="CB38" s="25">
        <v>0</v>
      </c>
      <c r="CC38" s="25">
        <v>0</v>
      </c>
      <c r="CD38" s="25">
        <v>0</v>
      </c>
      <c r="CE38" s="25">
        <v>0</v>
      </c>
      <c r="CF38" s="25">
        <v>0</v>
      </c>
      <c r="CG38" s="25">
        <v>0</v>
      </c>
      <c r="CH38" s="25">
        <v>0</v>
      </c>
      <c r="CI38" s="25">
        <v>0</v>
      </c>
      <c r="CJ38" s="25">
        <v>0</v>
      </c>
      <c r="CK38" s="25">
        <f t="shared" si="8"/>
        <v>4668</v>
      </c>
      <c r="CL38" s="26" cm="1">
        <f t="array" ref="CL38:CW38">IFERROR(VLOOKUP(A38,'[1]Now-OB-kg-POB-25'!A:AQ,{31,32,33,34,35,36,37,38,39,40,41,42},0),0)</f>
        <v>1207</v>
      </c>
      <c r="CM38" s="26">
        <v>2068</v>
      </c>
      <c r="CN38" s="26">
        <v>10535</v>
      </c>
      <c r="CO38" s="26">
        <v>0</v>
      </c>
      <c r="CP38" s="26">
        <v>0</v>
      </c>
      <c r="CQ38" s="26">
        <v>0</v>
      </c>
      <c r="CR38" s="26">
        <v>0</v>
      </c>
      <c r="CS38" s="26">
        <v>0</v>
      </c>
      <c r="CT38" s="26">
        <v>0</v>
      </c>
      <c r="CU38" s="26">
        <v>0</v>
      </c>
      <c r="CV38" s="26">
        <v>0</v>
      </c>
      <c r="CW38" s="26">
        <v>0</v>
      </c>
      <c r="CX38" s="26">
        <f t="shared" si="9"/>
        <v>13810</v>
      </c>
      <c r="CY38" s="14" t="str">
        <f>IF(A38=0,0,IFERROR(VLOOKUP(A38,'[1]Info Donantes'!C:F,2,0),"Sin Contacto"))</f>
        <v>Sin Contacto</v>
      </c>
      <c r="CZ38" s="14" t="str">
        <f>IF(A38=0,0,IFERROR(VLOOKUP(A38,'[1]Info Donantes'!C:F,3,0),"Sin Correo"))</f>
        <v>Sin Correo</v>
      </c>
      <c r="DA38" s="14" t="str">
        <f>IF(A38=0,0,IFERROR(VLOOKUP(A38,'[1]Info Donantes'!C:F,4,0),"Sin Telefono"))</f>
        <v>Sin Telefono</v>
      </c>
      <c r="DB38" s="14" t="s">
        <v>179</v>
      </c>
    </row>
    <row r="39" spans="1:106" x14ac:dyDescent="0.55000000000000004">
      <c r="A39" s="14" t="s">
        <v>180</v>
      </c>
      <c r="B39" s="15">
        <f>INT(IFERROR(VLOOKUP(A39,'[1]Donor Summary'!C:F,3,0),0))</f>
        <v>0</v>
      </c>
      <c r="C39" s="15">
        <f>INT(ROUND(IFERROR(VLOOKUP(A39,'[1]Donor Summary'!C:F,4,0),0),1))</f>
        <v>0</v>
      </c>
      <c r="D39" s="16">
        <f t="shared" si="19"/>
        <v>0</v>
      </c>
      <c r="E39" s="17" t="str">
        <f t="shared" si="20"/>
        <v>0.00%</v>
      </c>
      <c r="F39" s="17" t="str">
        <f t="shared" si="21"/>
        <v>0.0%</v>
      </c>
      <c r="G39" s="15">
        <f t="shared" si="25"/>
        <v>0</v>
      </c>
      <c r="H39" s="18"/>
      <c r="I39" s="18">
        <f>IFERROR(VLOOKUP(A39,'[1]Lot All by Part'!T:Y,6,0),0)</f>
        <v>0</v>
      </c>
      <c r="J39" s="18"/>
      <c r="K39" s="19">
        <f>IFERROR(VLOOKUP($A39,'[1]Donor-Served OBs'!A:N,3,0),0)</f>
        <v>0</v>
      </c>
      <c r="L39" s="19">
        <f>ROUNDUP(IF(A39=0,0,IFERROR(VLOOKUP($A39,'[1]Donor''s Assigned Kilos'!A:O,3,0),0)),0)</f>
        <v>0</v>
      </c>
      <c r="M39" s="19">
        <f>IF(A39=0,0,IFERROR(SUMIFS([1]Population!M:M,[1]Population!J:J,'MASTER-2025'!A39),0))</f>
        <v>0</v>
      </c>
      <c r="N39" s="20">
        <f>IFERROR(VLOOKUP($A39,'[1]Donor-Served OBs'!A:N,4,0),0)</f>
        <v>0</v>
      </c>
      <c r="O39" s="20">
        <f>ROUNDUP(IF(A39=0,0,IFERROR(VLOOKUP($A39,'[1]Donor''s Assigned Kilos'!A:O,4,0),0)),0)</f>
        <v>0</v>
      </c>
      <c r="P39" s="20">
        <f>IF(A39=0,0,IFERROR(SUMIFS([1]Population!N:N,[1]Population!J:J,'MASTER-2025'!A39),0))</f>
        <v>0</v>
      </c>
      <c r="Q39" s="18">
        <f>IFERROR(VLOOKUP($A39,'[1]Donor-Served OBs'!A:N,2,0),0)</f>
        <v>0</v>
      </c>
      <c r="R39" s="18">
        <f>ROUNDUP(ROUND(IF(A39=0,0,IFERROR(VLOOKUP($A39,'[1]Donor''s Assigned Kilos'!A:O,9,0),0)),1),0)</f>
        <v>0</v>
      </c>
      <c r="S39" s="18">
        <f>IF(A39=0,0,IFERROR(SUMIFS([1]Population!S:S,[1]Population!J:J,'MASTER-2025'!A39),0))</f>
        <v>0</v>
      </c>
      <c r="T39" s="19">
        <f>IFERROR(VLOOKUP($A39,'[1]Donor-Served OBs'!A:N,12,0),0)</f>
        <v>0</v>
      </c>
      <c r="U39" s="19">
        <f>ROUNDUP(IF(A39=0,0,IF(A39=0,0,IFERROR(VLOOKUP($A39,'[1]Donor''s Assigned Kilos'!A:O,7,0),0))),0)</f>
        <v>0</v>
      </c>
      <c r="V39" s="19">
        <f>IF(A39=0,0,IFERROR(SUMIFS([1]Population!Q:Q,[1]Population!J:J,'MASTER-2025'!A39),0))</f>
        <v>0</v>
      </c>
      <c r="W39" s="20">
        <f>IFERROR(VLOOKUP($A39,'[1]Donor-Served OBs'!A:N,10,0),0)</f>
        <v>0</v>
      </c>
      <c r="X39" s="20">
        <f>ROUNDUP(IF(A39=0,0,IFERROR(VLOOKUP($A39,'[1]Donor''s Assigned Kilos'!A:N,5,0),0)),0)</f>
        <v>0</v>
      </c>
      <c r="Y39" s="20">
        <f>IF(A39=0,0,IFERROR(SUMIFS([1]Population!O:O,[1]Population!J:J,'MASTER-2025'!A39),0))</f>
        <v>0</v>
      </c>
      <c r="Z39" s="18">
        <f>IFERROR(VLOOKUP($A39,'[1]Donor-Served OBs'!A:N,6,0),0)</f>
        <v>0</v>
      </c>
      <c r="AA39" s="18">
        <f>ROUNDUP(IF(A39=0,0,IFERROR(VLOOKUP($A39,'[1]Donor''s Assigned Kilos'!A:N,11,0),0)),0)</f>
        <v>0</v>
      </c>
      <c r="AB39" s="18">
        <f>IF(A39=0,0,IFERROR(SUMIFS([1]Population!U:U,[1]Population!J:J,'MASTER-2025'!A39),0))</f>
        <v>0</v>
      </c>
      <c r="AC39" s="19">
        <f>IFERROR(VLOOKUP($A39,'[1]Donor-Served OBs'!A:N,7,0),0)</f>
        <v>0</v>
      </c>
      <c r="AD39" s="19">
        <f>ROUNDUP(IF(A39=0,0,IFERROR(VLOOKUP($A39,'[1]Donor''s Assigned Kilos'!A:N,8,0),0)),0)</f>
        <v>0</v>
      </c>
      <c r="AE39" s="19">
        <f>IF(A39=0,0,IFERROR(SUMIFS([1]Population!R:R,[1]Population!J:J,'MASTER-2025'!A39),0))</f>
        <v>0</v>
      </c>
      <c r="AF39" s="20">
        <f>IFERROR(VLOOKUP($A39,'[1]Donor-Served OBs'!A:N,8,0),0)</f>
        <v>0</v>
      </c>
      <c r="AG39" s="20">
        <f>ROUNDUP(IF(A39=0,0,IFERROR(VLOOKUP($A39,'[1]Donor''s Assigned Kilos'!A:N,6,0),0)),0)</f>
        <v>0</v>
      </c>
      <c r="AH39" s="20">
        <f>IF(A39=0,0,IFERROR(SUMIFS([1]Population!P:P,[1]Population!J:J,'MASTER-2025'!A39),0))</f>
        <v>0</v>
      </c>
      <c r="AI39" s="18">
        <f>IFERROR(VLOOKUP($A39,'[1]Donor-Served OBs'!A:N,9,0),0)</f>
        <v>0</v>
      </c>
      <c r="AJ39" s="18">
        <f>ROUNDUP(IF(A39=0,0,IFERROR(VLOOKUP($A39,'[1]Donor''s Assigned Kilos'!A:N,12,0),0)),0)</f>
        <v>0</v>
      </c>
      <c r="AK39" s="18">
        <f>IF(A39=0,0,IFERROR(SUMIFS([1]Population!V:V,[1]Population!J:J,'MASTER-2025'!A39),0))</f>
        <v>0</v>
      </c>
      <c r="AL39" s="19">
        <f>IFERROR(VLOOKUP($A39,'[1]Donor-Served OBs'!A:N,16,0),0)</f>
        <v>0</v>
      </c>
      <c r="AM39" s="19">
        <f>ROUNDUP(IF(A39=0,0,IFERROR(VLOOKUP($A39,'[1]Donor''s Assigned Kilos'!A:O,16,0),0)),0)</f>
        <v>0</v>
      </c>
      <c r="AN39" s="19">
        <f>IF(A39=0,0,IFERROR(SUMIFS([1]Population!Z:Z,[1]Population!J:J,'MASTER-2025'!A39),0))</f>
        <v>0</v>
      </c>
      <c r="AO39" s="20">
        <f>IFERROR(VLOOKUP($A39,'[1]Donor-Served OBs'!A:N,11,0),0)</f>
        <v>0</v>
      </c>
      <c r="AP39" s="20">
        <f>ROUNDUP(IF(A39=0,0,IFERROR(VLOOKUP($A39,'[1]Donor''s Assigned Kilos'!A:N,13,0),0)),0)</f>
        <v>0</v>
      </c>
      <c r="AQ39" s="20">
        <f>IF(A39=0,0,IFERROR(SUMIFS([1]Population!W:W,[1]Population!J:J,'MASTER-2025'!A39),0))</f>
        <v>0</v>
      </c>
      <c r="AR39" s="18">
        <f>IFERROR(VLOOKUP($A39,'[1]Donor-Served OBs'!A:N,5,0),0)</f>
        <v>0</v>
      </c>
      <c r="AS39" s="18">
        <f>ROUNDUP(IF(A39=0,0,IFERROR(VLOOKUP($A39,'[1]Donor''s Assigned Kilos'!A:N,10,0),0)),0)</f>
        <v>0</v>
      </c>
      <c r="AT39" s="18">
        <f>IF(A39=0,0,IFERROR(SUMIFS([1]Population!T:T,[1]Population!J:J,'MASTER-2025'!A39),0))</f>
        <v>0</v>
      </c>
      <c r="AU39" s="19">
        <f>IFERROR(VLOOKUP($A39,'[1]Donor-Served OBs'!A:N,13,0),0)</f>
        <v>0</v>
      </c>
      <c r="AV39" s="19">
        <f>ROUNDUP(IF(A39=0,0,IFERROR(VLOOKUP($A39,'[1]Donor''s Assigned Kilos'!A:N,14,0),0)),0)</f>
        <v>0</v>
      </c>
      <c r="AW39" s="19">
        <f>IF(A39=0,0,IFERROR(SUMIFS([1]Population!X:X,[1]Population!J:J,'MASTER-2025'!A39),0))</f>
        <v>0</v>
      </c>
      <c r="AX39" s="20">
        <f>IFERROR(VLOOKUP($A39,'[1]Donor-Served OBs'!A:N,16,0),0)</f>
        <v>0</v>
      </c>
      <c r="AY39" s="20">
        <f>ROUNDUP(IF(A39=0,0,IFERROR(VLOOKUP($A39,'[1]Donor''s Assigned Kilos'!A:O,16,0),0)),0)</f>
        <v>0</v>
      </c>
      <c r="AZ39" s="20">
        <f>IF(A39=0,0,IFERROR(SUMIFS([1]Population!Y:Y,[1]Population!J:J,'MASTER-2025'!A39),0))</f>
        <v>0</v>
      </c>
      <c r="BA39" s="21">
        <f t="shared" si="15"/>
        <v>0</v>
      </c>
      <c r="BB39" s="21">
        <f t="shared" si="23"/>
        <v>0</v>
      </c>
      <c r="BC39" s="21">
        <f t="shared" si="24"/>
        <v>0</v>
      </c>
      <c r="BD39" s="21">
        <f t="shared" si="26"/>
        <v>0</v>
      </c>
      <c r="BE39" s="22" t="e">
        <f>IF(A39=0,0,SUMIFS([1]Population!C:C,[1]Population!A:A,'MASTER-2025'!A39))</f>
        <v>#VALUE!</v>
      </c>
      <c r="BF39" s="22" t="e">
        <f>IF(A39=0,0,SUMIFS([1]Population!D:D,[1]Population!A:A,'MASTER-2025'!A39))</f>
        <v>#VALUE!</v>
      </c>
      <c r="BG39" s="22" t="e">
        <f>IF(A39=0,0,SUMIFS([1]Population!E:E,[1]Population!A:A,'MASTER-2025'!A39))</f>
        <v>#VALUE!</v>
      </c>
      <c r="BH39" s="22" t="e">
        <f>IF(A39=0,0,SUMIFS([1]Population!F:F,[1]Population!A:A,'MASTER-2025'!A39))</f>
        <v>#VALUE!</v>
      </c>
      <c r="BI39" s="22" t="e">
        <f t="shared" si="18"/>
        <v>#VALUE!</v>
      </c>
      <c r="BJ39" s="23" t="e">
        <f t="shared" si="6"/>
        <v>#VALUE!</v>
      </c>
      <c r="BK39" s="22" t="e">
        <f>IF(A39=0,0,SUMIFS([1]Population!G:G,[1]Population!A:A,'MASTER-2025'!A39))</f>
        <v>#VALUE!</v>
      </c>
      <c r="BL39" s="24" cm="1">
        <f t="array" ref="BL39:BW39">IFERROR(VLOOKUP(A39,'[1]Now-OB-kg-POB-25'!A:AQ,{3,4,5,6,7,8,9,10,11,12,13,14},0),0)</f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BX39" s="24">
        <f t="shared" si="7"/>
        <v>0</v>
      </c>
      <c r="BY39" s="25" cm="1">
        <f t="array" ref="BY39:CJ39">IFERROR(VLOOKUP(A39,'[1]Now-OB-kg-POB-25'!A:AQ,{17,18,19,20,21,22,23,24,25,26,27,28},0),0)</f>
        <v>0</v>
      </c>
      <c r="BZ39" s="25">
        <v>0</v>
      </c>
      <c r="CA39" s="25">
        <v>0</v>
      </c>
      <c r="CB39" s="25">
        <v>0</v>
      </c>
      <c r="CC39" s="25">
        <v>0</v>
      </c>
      <c r="CD39" s="25">
        <v>0</v>
      </c>
      <c r="CE39" s="25">
        <v>0</v>
      </c>
      <c r="CF39" s="25">
        <v>0</v>
      </c>
      <c r="CG39" s="25">
        <v>0</v>
      </c>
      <c r="CH39" s="25">
        <v>0</v>
      </c>
      <c r="CI39" s="25">
        <v>0</v>
      </c>
      <c r="CJ39" s="25">
        <v>0</v>
      </c>
      <c r="CK39" s="25">
        <f t="shared" si="8"/>
        <v>0</v>
      </c>
      <c r="CL39" s="26" cm="1">
        <f t="array" ref="CL39:CW39">IFERROR(VLOOKUP(A39,'[1]Now-OB-kg-POB-25'!A:AQ,{31,32,33,34,35,36,37,38,39,40,41,42},0),0)</f>
        <v>0</v>
      </c>
      <c r="CM39" s="26">
        <v>0</v>
      </c>
      <c r="CN39" s="26">
        <v>0</v>
      </c>
      <c r="CO39" s="26">
        <v>0</v>
      </c>
      <c r="CP39" s="26">
        <v>0</v>
      </c>
      <c r="CQ39" s="26">
        <v>0</v>
      </c>
      <c r="CR39" s="26">
        <v>0</v>
      </c>
      <c r="CS39" s="26">
        <v>0</v>
      </c>
      <c r="CT39" s="26">
        <v>0</v>
      </c>
      <c r="CU39" s="26">
        <v>0</v>
      </c>
      <c r="CV39" s="26">
        <v>0</v>
      </c>
      <c r="CW39" s="26">
        <v>0</v>
      </c>
      <c r="CX39" s="26">
        <f t="shared" si="9"/>
        <v>0</v>
      </c>
      <c r="CY39" s="14" t="str">
        <f>IF(A39=0,0,IFERROR(VLOOKUP(A39,'[1]Info Donantes'!C:F,2,0),"Sin Contacto"))</f>
        <v>Jose Duarte</v>
      </c>
      <c r="CZ39" s="14">
        <f>IF(A39=0,0,IFERROR(VLOOKUP(A39,'[1]Info Donantes'!C:F,3,0),"Sin Correo"))</f>
        <v>0</v>
      </c>
      <c r="DA39" s="14" t="str">
        <f>IF(A39=0,0,IFERROR(VLOOKUP(A39,'[1]Info Donantes'!C:F,4,0),"Sin Telefono"))</f>
        <v>233-9200</v>
      </c>
      <c r="DB39" s="14" t="s">
        <v>181</v>
      </c>
    </row>
    <row r="40" spans="1:106" x14ac:dyDescent="0.55000000000000004">
      <c r="A40" s="14" t="s">
        <v>182</v>
      </c>
      <c r="B40" s="15">
        <f>INT(IFERROR(VLOOKUP(A40,'[1]Donor Summary'!C:F,3,0),0))</f>
        <v>0</v>
      </c>
      <c r="C40" s="15">
        <f>INT(ROUND(IFERROR(VLOOKUP(A40,'[1]Donor Summary'!C:F,4,0),0),1))</f>
        <v>0</v>
      </c>
      <c r="D40" s="16">
        <f t="shared" si="19"/>
        <v>0</v>
      </c>
      <c r="E40" s="17" t="str">
        <f t="shared" si="20"/>
        <v>0.00%</v>
      </c>
      <c r="F40" s="17" t="str">
        <f t="shared" si="21"/>
        <v>0.0%</v>
      </c>
      <c r="G40" s="15">
        <f t="shared" si="25"/>
        <v>0</v>
      </c>
      <c r="H40" s="18"/>
      <c r="I40" s="18">
        <f>IFERROR(VLOOKUP(A40,'[1]Lot All by Part'!T:Y,6,0),0)</f>
        <v>0</v>
      </c>
      <c r="J40" s="18"/>
      <c r="K40" s="19">
        <f>IFERROR(VLOOKUP($A40,'[1]Donor-Served OBs'!A:N,3,0),0)</f>
        <v>0</v>
      </c>
      <c r="L40" s="19">
        <f>ROUNDUP(IF(A40=0,0,IFERROR(VLOOKUP($A40,'[1]Donor''s Assigned Kilos'!A:O,3,0),0)),0)</f>
        <v>0</v>
      </c>
      <c r="M40" s="19">
        <f>IF(A40=0,0,IFERROR(SUMIFS([1]Population!M:M,[1]Population!J:J,'MASTER-2025'!A40),0))</f>
        <v>0</v>
      </c>
      <c r="N40" s="20">
        <f>IFERROR(VLOOKUP($A40,'[1]Donor-Served OBs'!A:N,4,0),0)</f>
        <v>0</v>
      </c>
      <c r="O40" s="20">
        <f>ROUNDUP(IF(A40=0,0,IFERROR(VLOOKUP($A40,'[1]Donor''s Assigned Kilos'!A:O,4,0),0)),0)</f>
        <v>0</v>
      </c>
      <c r="P40" s="20">
        <f>IF(A40=0,0,IFERROR(SUMIFS([1]Population!N:N,[1]Population!J:J,'MASTER-2025'!A40),0))</f>
        <v>0</v>
      </c>
      <c r="Q40" s="18">
        <f>IFERROR(VLOOKUP($A40,'[1]Donor-Served OBs'!A:N,2,0),0)</f>
        <v>0</v>
      </c>
      <c r="R40" s="18">
        <f>ROUNDUP(ROUND(IF(A40=0,0,IFERROR(VLOOKUP($A40,'[1]Donor''s Assigned Kilos'!A:O,9,0),0)),1),0)</f>
        <v>0</v>
      </c>
      <c r="S40" s="18">
        <f>IF(A40=0,0,IFERROR(SUMIFS([1]Population!S:S,[1]Population!J:J,'MASTER-2025'!A40),0))</f>
        <v>0</v>
      </c>
      <c r="T40" s="19">
        <f>IFERROR(VLOOKUP($A40,'[1]Donor-Served OBs'!A:N,12,0),0)</f>
        <v>0</v>
      </c>
      <c r="U40" s="19">
        <f>ROUNDUP(IF(A40=0,0,IF(A40=0,0,IFERROR(VLOOKUP($A40,'[1]Donor''s Assigned Kilos'!A:O,7,0),0))),0)</f>
        <v>0</v>
      </c>
      <c r="V40" s="19">
        <f>IF(A40=0,0,IFERROR(SUMIFS([1]Population!Q:Q,[1]Population!J:J,'MASTER-2025'!A40),0))</f>
        <v>0</v>
      </c>
      <c r="W40" s="20">
        <f>IFERROR(VLOOKUP($A40,'[1]Donor-Served OBs'!A:N,10,0),0)</f>
        <v>0</v>
      </c>
      <c r="X40" s="20">
        <f>ROUNDUP(IF(A40=0,0,IFERROR(VLOOKUP($A40,'[1]Donor''s Assigned Kilos'!A:N,5,0),0)),0)</f>
        <v>0</v>
      </c>
      <c r="Y40" s="20">
        <f>IF(A40=0,0,IFERROR(SUMIFS([1]Population!O:O,[1]Population!J:J,'MASTER-2025'!A40),0))</f>
        <v>0</v>
      </c>
      <c r="Z40" s="18">
        <f>IFERROR(VLOOKUP($A40,'[1]Donor-Served OBs'!A:N,6,0),0)</f>
        <v>0</v>
      </c>
      <c r="AA40" s="18">
        <f>ROUNDUP(IF(A40=0,0,IFERROR(VLOOKUP($A40,'[1]Donor''s Assigned Kilos'!A:N,11,0),0)),0)</f>
        <v>0</v>
      </c>
      <c r="AB40" s="18">
        <f>IF(A40=0,0,IFERROR(SUMIFS([1]Population!U:U,[1]Population!J:J,'MASTER-2025'!A40),0))</f>
        <v>0</v>
      </c>
      <c r="AC40" s="19">
        <f>IFERROR(VLOOKUP($A40,'[1]Donor-Served OBs'!A:N,7,0),0)</f>
        <v>0</v>
      </c>
      <c r="AD40" s="19">
        <f>ROUNDUP(IF(A40=0,0,IFERROR(VLOOKUP($A40,'[1]Donor''s Assigned Kilos'!A:N,8,0),0)),0)</f>
        <v>0</v>
      </c>
      <c r="AE40" s="19">
        <f>IF(A40=0,0,IFERROR(SUMIFS([1]Population!R:R,[1]Population!J:J,'MASTER-2025'!A40),0))</f>
        <v>0</v>
      </c>
      <c r="AF40" s="20">
        <f>IFERROR(VLOOKUP($A40,'[1]Donor-Served OBs'!A:N,8,0),0)</f>
        <v>0</v>
      </c>
      <c r="AG40" s="20">
        <f>ROUNDUP(IF(A40=0,0,IFERROR(VLOOKUP($A40,'[1]Donor''s Assigned Kilos'!A:N,6,0),0)),0)</f>
        <v>0</v>
      </c>
      <c r="AH40" s="20">
        <f>IF(A40=0,0,IFERROR(SUMIFS([1]Population!P:P,[1]Population!J:J,'MASTER-2025'!A40),0))</f>
        <v>0</v>
      </c>
      <c r="AI40" s="18">
        <f>IFERROR(VLOOKUP($A40,'[1]Donor-Served OBs'!A:N,9,0),0)</f>
        <v>0</v>
      </c>
      <c r="AJ40" s="18">
        <f>ROUNDUP(IF(A40=0,0,IFERROR(VLOOKUP($A40,'[1]Donor''s Assigned Kilos'!A:N,12,0),0)),0)</f>
        <v>0</v>
      </c>
      <c r="AK40" s="18">
        <f>IF(A40=0,0,IFERROR(SUMIFS([1]Population!V:V,[1]Population!J:J,'MASTER-2025'!A40),0))</f>
        <v>0</v>
      </c>
      <c r="AL40" s="19">
        <f>IFERROR(VLOOKUP($A40,'[1]Donor-Served OBs'!A:N,16,0),0)</f>
        <v>0</v>
      </c>
      <c r="AM40" s="19">
        <f>ROUNDUP(IF(A40=0,0,IFERROR(VLOOKUP($A40,'[1]Donor''s Assigned Kilos'!A:O,16,0),0)),0)</f>
        <v>0</v>
      </c>
      <c r="AN40" s="19">
        <f>IF(A40=0,0,IFERROR(SUMIFS([1]Population!Z:Z,[1]Population!J:J,'MASTER-2025'!A40),0))</f>
        <v>0</v>
      </c>
      <c r="AO40" s="20">
        <f>IFERROR(VLOOKUP($A40,'[1]Donor-Served OBs'!A:N,11,0),0)</f>
        <v>0</v>
      </c>
      <c r="AP40" s="20">
        <f>ROUNDUP(IF(A40=0,0,IFERROR(VLOOKUP($A40,'[1]Donor''s Assigned Kilos'!A:N,13,0),0)),0)</f>
        <v>0</v>
      </c>
      <c r="AQ40" s="20">
        <f>IF(A40=0,0,IFERROR(SUMIFS([1]Population!W:W,[1]Population!J:J,'MASTER-2025'!A40),0))</f>
        <v>0</v>
      </c>
      <c r="AR40" s="18">
        <f>IFERROR(VLOOKUP($A40,'[1]Donor-Served OBs'!A:N,5,0),0)</f>
        <v>0</v>
      </c>
      <c r="AS40" s="18">
        <f>ROUNDUP(IF(A40=0,0,IFERROR(VLOOKUP($A40,'[1]Donor''s Assigned Kilos'!A:N,10,0),0)),0)</f>
        <v>0</v>
      </c>
      <c r="AT40" s="18">
        <f>IF(A40=0,0,IFERROR(SUMIFS([1]Population!T:T,[1]Population!J:J,'MASTER-2025'!A40),0))</f>
        <v>0</v>
      </c>
      <c r="AU40" s="19">
        <f>IFERROR(VLOOKUP($A40,'[1]Donor-Served OBs'!A:N,13,0),0)</f>
        <v>0</v>
      </c>
      <c r="AV40" s="19">
        <f>ROUNDUP(IF(A40=0,0,IFERROR(VLOOKUP($A40,'[1]Donor''s Assigned Kilos'!A:N,14,0),0)),0)</f>
        <v>0</v>
      </c>
      <c r="AW40" s="19">
        <f>IF(A40=0,0,IFERROR(SUMIFS([1]Population!X:X,[1]Population!J:J,'MASTER-2025'!A40),0))</f>
        <v>0</v>
      </c>
      <c r="AX40" s="20">
        <f>IFERROR(VLOOKUP($A40,'[1]Donor-Served OBs'!A:N,16,0),0)</f>
        <v>0</v>
      </c>
      <c r="AY40" s="20">
        <f>ROUNDUP(IF(A40=0,0,IFERROR(VLOOKUP($A40,'[1]Donor''s Assigned Kilos'!A:O,16,0),0)),0)</f>
        <v>0</v>
      </c>
      <c r="AZ40" s="20">
        <f>IF(A40=0,0,IFERROR(SUMIFS([1]Population!Y:Y,[1]Population!J:J,'MASTER-2025'!A40),0))</f>
        <v>0</v>
      </c>
      <c r="BA40" s="21">
        <f t="shared" si="15"/>
        <v>0</v>
      </c>
      <c r="BB40" s="21">
        <f t="shared" si="23"/>
        <v>0</v>
      </c>
      <c r="BC40" s="21">
        <f t="shared" si="24"/>
        <v>0</v>
      </c>
      <c r="BD40" s="21">
        <f t="shared" si="26"/>
        <v>0</v>
      </c>
      <c r="BE40" s="22" t="e">
        <f>IF(A40=0,0,SUMIFS([1]Population!C:C,[1]Population!A:A,'MASTER-2025'!A40))</f>
        <v>#VALUE!</v>
      </c>
      <c r="BF40" s="22" t="e">
        <f>IF(A40=0,0,SUMIFS([1]Population!D:D,[1]Population!A:A,'MASTER-2025'!A40))</f>
        <v>#VALUE!</v>
      </c>
      <c r="BG40" s="22" t="e">
        <f>IF(A40=0,0,SUMIFS([1]Population!E:E,[1]Population!A:A,'MASTER-2025'!A40))</f>
        <v>#VALUE!</v>
      </c>
      <c r="BH40" s="22" t="e">
        <f>IF(A40=0,0,SUMIFS([1]Population!F:F,[1]Population!A:A,'MASTER-2025'!A40))</f>
        <v>#VALUE!</v>
      </c>
      <c r="BI40" s="22" t="e">
        <f t="shared" si="18"/>
        <v>#VALUE!</v>
      </c>
      <c r="BJ40" s="23" t="e">
        <f t="shared" si="6"/>
        <v>#VALUE!</v>
      </c>
      <c r="BK40" s="22" t="e">
        <f>IF(A40=0,0,SUMIFS([1]Population!G:G,[1]Population!A:A,'MASTER-2025'!A40))</f>
        <v>#VALUE!</v>
      </c>
      <c r="BL40" s="24" cm="1">
        <f t="array" ref="BL40:BW40">IFERROR(VLOOKUP(A40,'[1]Now-OB-kg-POB-25'!A:AQ,{3,4,5,6,7,8,9,10,11,12,13,14},0),0)</f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BX40" s="24">
        <f t="shared" si="7"/>
        <v>0</v>
      </c>
      <c r="BY40" s="25" cm="1">
        <f t="array" ref="BY40:CJ40">IFERROR(VLOOKUP(A40,'[1]Now-OB-kg-POB-25'!A:AQ,{17,18,19,20,21,22,23,24,25,26,27,28},0),0)</f>
        <v>0</v>
      </c>
      <c r="BZ40" s="25">
        <v>0</v>
      </c>
      <c r="CA40" s="25">
        <v>0</v>
      </c>
      <c r="CB40" s="25">
        <v>0</v>
      </c>
      <c r="CC40" s="25">
        <v>0</v>
      </c>
      <c r="CD40" s="25">
        <v>0</v>
      </c>
      <c r="CE40" s="25">
        <v>0</v>
      </c>
      <c r="CF40" s="25">
        <v>0</v>
      </c>
      <c r="CG40" s="25">
        <v>0</v>
      </c>
      <c r="CH40" s="25">
        <v>0</v>
      </c>
      <c r="CI40" s="25">
        <v>0</v>
      </c>
      <c r="CJ40" s="25">
        <v>0</v>
      </c>
      <c r="CK40" s="25">
        <f t="shared" si="8"/>
        <v>0</v>
      </c>
      <c r="CL40" s="26" cm="1">
        <f t="array" ref="CL40:CW40">IFERROR(VLOOKUP(A40,'[1]Now-OB-kg-POB-25'!A:AQ,{31,32,33,34,35,36,37,38,39,40,41,42},0),0)</f>
        <v>0</v>
      </c>
      <c r="CM40" s="26">
        <v>0</v>
      </c>
      <c r="CN40" s="26">
        <v>0</v>
      </c>
      <c r="CO40" s="26">
        <v>0</v>
      </c>
      <c r="CP40" s="26">
        <v>0</v>
      </c>
      <c r="CQ40" s="26">
        <v>0</v>
      </c>
      <c r="CR40" s="26">
        <v>0</v>
      </c>
      <c r="CS40" s="26">
        <v>0</v>
      </c>
      <c r="CT40" s="26">
        <v>0</v>
      </c>
      <c r="CU40" s="26">
        <v>0</v>
      </c>
      <c r="CV40" s="26">
        <v>0</v>
      </c>
      <c r="CW40" s="26">
        <v>0</v>
      </c>
      <c r="CX40" s="26">
        <f t="shared" si="9"/>
        <v>0</v>
      </c>
      <c r="CY40" s="14" t="str">
        <f>IF(A40=0,0,IFERROR(VLOOKUP(A40,'[1]Info Donantes'!C:F,2,0),"Sin Contacto"))</f>
        <v>Sin Contacto</v>
      </c>
      <c r="CZ40" s="14" t="str">
        <f>IF(A40=0,0,IFERROR(VLOOKUP(A40,'[1]Info Donantes'!C:F,3,0),"Sin Correo"))</f>
        <v>Sin Correo</v>
      </c>
      <c r="DA40" s="14" t="str">
        <f>IF(A40=0,0,IFERROR(VLOOKUP(A40,'[1]Info Donantes'!C:F,4,0),"Sin Telefono"))</f>
        <v>Sin Telefono</v>
      </c>
      <c r="DB40" s="14" t="s">
        <v>183</v>
      </c>
    </row>
    <row r="41" spans="1:106" x14ac:dyDescent="0.55000000000000004">
      <c r="A41" s="14" t="s">
        <v>184</v>
      </c>
      <c r="B41" s="15">
        <f>INT(IFERROR(VLOOKUP(A41,'[1]Donor Summary'!C:F,3,0),0))</f>
        <v>0</v>
      </c>
      <c r="C41" s="15">
        <f>INT(ROUND(IFERROR(VLOOKUP(A41,'[1]Donor Summary'!C:F,4,0),0),1))</f>
        <v>0</v>
      </c>
      <c r="D41" s="16">
        <f t="shared" si="19"/>
        <v>0</v>
      </c>
      <c r="E41" s="17" t="str">
        <f t="shared" si="20"/>
        <v>0.00%</v>
      </c>
      <c r="F41" s="17" t="str">
        <f t="shared" si="21"/>
        <v>0.0%</v>
      </c>
      <c r="G41" s="15">
        <f t="shared" si="25"/>
        <v>0</v>
      </c>
      <c r="H41" s="18"/>
      <c r="I41" s="18">
        <f>IFERROR(VLOOKUP(A41,'[1]Lot All by Part'!T:Y,6,0),0)</f>
        <v>0</v>
      </c>
      <c r="J41" s="18"/>
      <c r="K41" s="19">
        <f>IFERROR(VLOOKUP($A41,'[1]Donor-Served OBs'!A:N,3,0),0)</f>
        <v>0</v>
      </c>
      <c r="L41" s="19">
        <f>ROUNDUP(IF(A41=0,0,IFERROR(VLOOKUP($A41,'[1]Donor''s Assigned Kilos'!A:O,3,0),0)),0)</f>
        <v>0</v>
      </c>
      <c r="M41" s="19">
        <f>IF(A41=0,0,IFERROR(SUMIFS([1]Population!M:M,[1]Population!J:J,'MASTER-2025'!A41),0))</f>
        <v>0</v>
      </c>
      <c r="N41" s="20">
        <f>IFERROR(VLOOKUP($A41,'[1]Donor-Served OBs'!A:N,4,0),0)</f>
        <v>0</v>
      </c>
      <c r="O41" s="20">
        <f>ROUNDUP(IF(A41=0,0,IFERROR(VLOOKUP($A41,'[1]Donor''s Assigned Kilos'!A:O,4,0),0)),0)</f>
        <v>0</v>
      </c>
      <c r="P41" s="20">
        <f>IF(A41=0,0,IFERROR(SUMIFS([1]Population!N:N,[1]Population!J:J,'MASTER-2025'!A41),0))</f>
        <v>0</v>
      </c>
      <c r="Q41" s="18">
        <f>IFERROR(VLOOKUP($A41,'[1]Donor-Served OBs'!A:N,2,0),0)</f>
        <v>0</v>
      </c>
      <c r="R41" s="18">
        <f>ROUNDUP(ROUND(IF(A41=0,0,IFERROR(VLOOKUP($A41,'[1]Donor''s Assigned Kilos'!A:O,9,0),0)),1),0)</f>
        <v>0</v>
      </c>
      <c r="S41" s="18">
        <f>IF(A41=0,0,IFERROR(SUMIFS([1]Population!S:S,[1]Population!J:J,'MASTER-2025'!A41),0))</f>
        <v>0</v>
      </c>
      <c r="T41" s="19">
        <f>IFERROR(VLOOKUP($A41,'[1]Donor-Served OBs'!A:N,12,0),0)</f>
        <v>0</v>
      </c>
      <c r="U41" s="19">
        <f>ROUNDUP(IF(A41=0,0,IF(A41=0,0,IFERROR(VLOOKUP($A41,'[1]Donor''s Assigned Kilos'!A:O,7,0),0))),0)</f>
        <v>0</v>
      </c>
      <c r="V41" s="19">
        <f>IF(A41=0,0,IFERROR(SUMIFS([1]Population!Q:Q,[1]Population!J:J,'MASTER-2025'!A41),0))</f>
        <v>0</v>
      </c>
      <c r="W41" s="20">
        <f>IFERROR(VLOOKUP($A41,'[1]Donor-Served OBs'!A:N,10,0),0)</f>
        <v>0</v>
      </c>
      <c r="X41" s="20">
        <f>ROUNDUP(IF(A41=0,0,IFERROR(VLOOKUP($A41,'[1]Donor''s Assigned Kilos'!A:N,5,0),0)),0)</f>
        <v>0</v>
      </c>
      <c r="Y41" s="20">
        <f>IF(A41=0,0,IFERROR(SUMIFS([1]Population!O:O,[1]Population!J:J,'MASTER-2025'!A41),0))</f>
        <v>0</v>
      </c>
      <c r="Z41" s="18">
        <f>IFERROR(VLOOKUP($A41,'[1]Donor-Served OBs'!A:N,6,0),0)</f>
        <v>0</v>
      </c>
      <c r="AA41" s="18">
        <f>ROUNDUP(IF(A41=0,0,IFERROR(VLOOKUP($A41,'[1]Donor''s Assigned Kilos'!A:N,11,0),0)),0)</f>
        <v>0</v>
      </c>
      <c r="AB41" s="18">
        <f>IF(A41=0,0,IFERROR(SUMIFS([1]Population!U:U,[1]Population!J:J,'MASTER-2025'!A41),0))</f>
        <v>0</v>
      </c>
      <c r="AC41" s="19">
        <f>IFERROR(VLOOKUP($A41,'[1]Donor-Served OBs'!A:N,7,0),0)</f>
        <v>0</v>
      </c>
      <c r="AD41" s="19">
        <f>ROUNDUP(IF(A41=0,0,IFERROR(VLOOKUP($A41,'[1]Donor''s Assigned Kilos'!A:N,8,0),0)),0)</f>
        <v>0</v>
      </c>
      <c r="AE41" s="19">
        <f>IF(A41=0,0,IFERROR(SUMIFS([1]Population!R:R,[1]Population!J:J,'MASTER-2025'!A41),0))</f>
        <v>0</v>
      </c>
      <c r="AF41" s="20">
        <f>IFERROR(VLOOKUP($A41,'[1]Donor-Served OBs'!A:N,8,0),0)</f>
        <v>0</v>
      </c>
      <c r="AG41" s="20">
        <f>ROUNDUP(IF(A41=0,0,IFERROR(VLOOKUP($A41,'[1]Donor''s Assigned Kilos'!A:N,6,0),0)),0)</f>
        <v>0</v>
      </c>
      <c r="AH41" s="20">
        <f>IF(A41=0,0,IFERROR(SUMIFS([1]Population!P:P,[1]Population!J:J,'MASTER-2025'!A41),0))</f>
        <v>0</v>
      </c>
      <c r="AI41" s="18">
        <f>IFERROR(VLOOKUP($A41,'[1]Donor-Served OBs'!A:N,9,0),0)</f>
        <v>0</v>
      </c>
      <c r="AJ41" s="18">
        <f>ROUNDUP(IF(A41=0,0,IFERROR(VLOOKUP($A41,'[1]Donor''s Assigned Kilos'!A:N,12,0),0)),0)</f>
        <v>0</v>
      </c>
      <c r="AK41" s="18">
        <f>IF(A41=0,0,IFERROR(SUMIFS([1]Population!V:V,[1]Population!J:J,'MASTER-2025'!A41),0))</f>
        <v>0</v>
      </c>
      <c r="AL41" s="19">
        <f>IFERROR(VLOOKUP($A41,'[1]Donor-Served OBs'!A:N,16,0),0)</f>
        <v>0</v>
      </c>
      <c r="AM41" s="19">
        <f>ROUNDUP(IF(A41=0,0,IFERROR(VLOOKUP($A41,'[1]Donor''s Assigned Kilos'!A:O,16,0),0)),0)</f>
        <v>0</v>
      </c>
      <c r="AN41" s="19">
        <f>IF(A41=0,0,IFERROR(SUMIFS([1]Population!Z:Z,[1]Population!J:J,'MASTER-2025'!A41),0))</f>
        <v>0</v>
      </c>
      <c r="AO41" s="20">
        <f>IFERROR(VLOOKUP($A41,'[1]Donor-Served OBs'!A:N,11,0),0)</f>
        <v>0</v>
      </c>
      <c r="AP41" s="20">
        <f>ROUNDUP(IF(A41=0,0,IFERROR(VLOOKUP($A41,'[1]Donor''s Assigned Kilos'!A:N,13,0),0)),0)</f>
        <v>0</v>
      </c>
      <c r="AQ41" s="20">
        <f>IF(A41=0,0,IFERROR(SUMIFS([1]Population!W:W,[1]Population!J:J,'MASTER-2025'!A41),0))</f>
        <v>0</v>
      </c>
      <c r="AR41" s="18">
        <f>IFERROR(VLOOKUP($A41,'[1]Donor-Served OBs'!A:N,5,0),0)</f>
        <v>0</v>
      </c>
      <c r="AS41" s="18">
        <f>ROUNDUP(IF(A41=0,0,IFERROR(VLOOKUP($A41,'[1]Donor''s Assigned Kilos'!A:N,10,0),0)),0)</f>
        <v>0</v>
      </c>
      <c r="AT41" s="18">
        <f>IF(A41=0,0,IFERROR(SUMIFS([1]Population!T:T,[1]Population!J:J,'MASTER-2025'!A41),0))</f>
        <v>0</v>
      </c>
      <c r="AU41" s="19">
        <f>IFERROR(VLOOKUP($A41,'[1]Donor-Served OBs'!A:N,13,0),0)</f>
        <v>0</v>
      </c>
      <c r="AV41" s="19">
        <f>ROUNDUP(IF(A41=0,0,IFERROR(VLOOKUP($A41,'[1]Donor''s Assigned Kilos'!A:N,14,0),0)),0)</f>
        <v>0</v>
      </c>
      <c r="AW41" s="19">
        <f>IF(A41=0,0,IFERROR(SUMIFS([1]Population!X:X,[1]Population!J:J,'MASTER-2025'!A41),0))</f>
        <v>0</v>
      </c>
      <c r="AX41" s="20">
        <f>IFERROR(VLOOKUP($A41,'[1]Donor-Served OBs'!A:N,16,0),0)</f>
        <v>0</v>
      </c>
      <c r="AY41" s="20">
        <f>ROUNDUP(IF(A41=0,0,IFERROR(VLOOKUP($A41,'[1]Donor''s Assigned Kilos'!A:O,16,0),0)),0)</f>
        <v>0</v>
      </c>
      <c r="AZ41" s="20">
        <f>IF(A41=0,0,IFERROR(SUMIFS([1]Population!Y:Y,[1]Population!J:J,'MASTER-2025'!A41),0))</f>
        <v>0</v>
      </c>
      <c r="BA41" s="21">
        <f t="shared" si="15"/>
        <v>0</v>
      </c>
      <c r="BB41" s="21">
        <f t="shared" si="23"/>
        <v>0</v>
      </c>
      <c r="BC41" s="21">
        <f t="shared" si="24"/>
        <v>0</v>
      </c>
      <c r="BD41" s="21">
        <f t="shared" si="26"/>
        <v>0</v>
      </c>
      <c r="BE41" s="22" t="e">
        <f>IF(A41=0,0,SUMIFS([1]Population!C:C,[1]Population!A:A,'MASTER-2025'!A41))</f>
        <v>#VALUE!</v>
      </c>
      <c r="BF41" s="22" t="e">
        <f>IF(A41=0,0,SUMIFS([1]Population!D:D,[1]Population!A:A,'MASTER-2025'!A41))</f>
        <v>#VALUE!</v>
      </c>
      <c r="BG41" s="22" t="e">
        <f>IF(A41=0,0,SUMIFS([1]Population!E:E,[1]Population!A:A,'MASTER-2025'!A41))</f>
        <v>#VALUE!</v>
      </c>
      <c r="BH41" s="22" t="e">
        <f>IF(A41=0,0,SUMIFS([1]Population!F:F,[1]Population!A:A,'MASTER-2025'!A41))</f>
        <v>#VALUE!</v>
      </c>
      <c r="BI41" s="22" t="e">
        <f t="shared" si="18"/>
        <v>#VALUE!</v>
      </c>
      <c r="BJ41" s="23" t="e">
        <f t="shared" si="6"/>
        <v>#VALUE!</v>
      </c>
      <c r="BK41" s="22" t="e">
        <f>IF(A41=0,0,SUMIFS([1]Population!G:G,[1]Population!A:A,'MASTER-2025'!A41))</f>
        <v>#VALUE!</v>
      </c>
      <c r="BL41" s="24" cm="1">
        <f t="array" ref="BL41:BW41">IFERROR(VLOOKUP(A41,'[1]Now-OB-kg-POB-25'!A:AQ,{3,4,5,6,7,8,9,10,11,12,13,14},0),0)</f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BX41" s="24">
        <f t="shared" si="7"/>
        <v>0</v>
      </c>
      <c r="BY41" s="25" cm="1">
        <f t="array" ref="BY41:CJ41">IFERROR(VLOOKUP(A41,'[1]Now-OB-kg-POB-25'!A:AQ,{17,18,19,20,21,22,23,24,25,26,27,28},0),0)</f>
        <v>0</v>
      </c>
      <c r="BZ41" s="25">
        <v>0</v>
      </c>
      <c r="CA41" s="25">
        <v>0</v>
      </c>
      <c r="CB41" s="25">
        <v>0</v>
      </c>
      <c r="CC41" s="25">
        <v>0</v>
      </c>
      <c r="CD41" s="25">
        <v>0</v>
      </c>
      <c r="CE41" s="25">
        <v>0</v>
      </c>
      <c r="CF41" s="25">
        <v>0</v>
      </c>
      <c r="CG41" s="25">
        <v>0</v>
      </c>
      <c r="CH41" s="25">
        <v>0</v>
      </c>
      <c r="CI41" s="25">
        <v>0</v>
      </c>
      <c r="CJ41" s="25">
        <v>0</v>
      </c>
      <c r="CK41" s="25">
        <f t="shared" si="8"/>
        <v>0</v>
      </c>
      <c r="CL41" s="26" cm="1">
        <f t="array" ref="CL41:CW41">IFERROR(VLOOKUP(A41,'[1]Now-OB-kg-POB-25'!A:AQ,{31,32,33,34,35,36,37,38,39,40,41,42},0),0)</f>
        <v>0</v>
      </c>
      <c r="CM41" s="26">
        <v>0</v>
      </c>
      <c r="CN41" s="26">
        <v>0</v>
      </c>
      <c r="CO41" s="26">
        <v>0</v>
      </c>
      <c r="CP41" s="26">
        <v>0</v>
      </c>
      <c r="CQ41" s="26">
        <v>0</v>
      </c>
      <c r="CR41" s="26">
        <v>0</v>
      </c>
      <c r="CS41" s="26">
        <v>0</v>
      </c>
      <c r="CT41" s="26">
        <v>0</v>
      </c>
      <c r="CU41" s="26">
        <v>0</v>
      </c>
      <c r="CV41" s="26">
        <v>0</v>
      </c>
      <c r="CW41" s="26">
        <v>0</v>
      </c>
      <c r="CX41" s="26">
        <f t="shared" si="9"/>
        <v>0</v>
      </c>
      <c r="CY41" s="14" t="str">
        <f>IF(A41=0,0,IFERROR(VLOOKUP(A41,'[1]Info Donantes'!C:F,2,0),"Sin Contacto"))</f>
        <v>Sin Contacto</v>
      </c>
      <c r="CZ41" s="14" t="str">
        <f>IF(A41=0,0,IFERROR(VLOOKUP(A41,'[1]Info Donantes'!C:F,3,0),"Sin Correo"))</f>
        <v>Sin Correo</v>
      </c>
      <c r="DA41" s="14" t="str">
        <f>IF(A41=0,0,IFERROR(VLOOKUP(A41,'[1]Info Donantes'!C:F,4,0),"Sin Telefono"))</f>
        <v>Sin Telefono</v>
      </c>
      <c r="DB41" s="14" t="s">
        <v>185</v>
      </c>
    </row>
    <row r="42" spans="1:106" x14ac:dyDescent="0.55000000000000004">
      <c r="A42" s="14" t="s">
        <v>186</v>
      </c>
      <c r="B42" s="15">
        <f>INT(IFERROR(VLOOKUP(A42,'[1]Donor Summary'!C:F,3,0),0))</f>
        <v>0</v>
      </c>
      <c r="C42" s="15">
        <f>INT(ROUND(IFERROR(VLOOKUP(A42,'[1]Donor Summary'!C:F,4,0),0),1))</f>
        <v>0</v>
      </c>
      <c r="D42" s="16">
        <f t="shared" si="19"/>
        <v>0</v>
      </c>
      <c r="E42" s="17" t="str">
        <f t="shared" si="20"/>
        <v>0.00%</v>
      </c>
      <c r="F42" s="17" t="str">
        <f t="shared" si="21"/>
        <v>0.0%</v>
      </c>
      <c r="G42" s="15">
        <f t="shared" si="25"/>
        <v>0</v>
      </c>
      <c r="H42" s="18"/>
      <c r="I42" s="18">
        <f>IFERROR(VLOOKUP(A42,'[1]Lot All by Part'!T:Y,6,0),0)</f>
        <v>0</v>
      </c>
      <c r="J42" s="18"/>
      <c r="K42" s="19">
        <f>IFERROR(VLOOKUP($A42,'[1]Donor-Served OBs'!A:N,3,0),0)</f>
        <v>0</v>
      </c>
      <c r="L42" s="19">
        <f>ROUNDUP(IF(A42=0,0,IFERROR(VLOOKUP($A42,'[1]Donor''s Assigned Kilos'!A:O,3,0),0)),0)</f>
        <v>0</v>
      </c>
      <c r="M42" s="19">
        <f>IF(A42=0,0,IFERROR(SUMIFS([1]Population!M:M,[1]Population!J:J,'MASTER-2025'!A42),0))</f>
        <v>0</v>
      </c>
      <c r="N42" s="20">
        <f>IFERROR(VLOOKUP($A42,'[1]Donor-Served OBs'!A:N,4,0),0)</f>
        <v>0</v>
      </c>
      <c r="O42" s="20">
        <f>ROUNDUP(IF(A42=0,0,IFERROR(VLOOKUP($A42,'[1]Donor''s Assigned Kilos'!A:O,4,0),0)),0)</f>
        <v>0</v>
      </c>
      <c r="P42" s="20">
        <f>IF(A42=0,0,IFERROR(SUMIFS([1]Population!N:N,[1]Population!J:J,'MASTER-2025'!A42),0))</f>
        <v>0</v>
      </c>
      <c r="Q42" s="18">
        <f>IFERROR(VLOOKUP($A42,'[1]Donor-Served OBs'!A:N,2,0),0)</f>
        <v>0</v>
      </c>
      <c r="R42" s="18">
        <f>ROUNDUP(ROUND(IF(A42=0,0,IFERROR(VLOOKUP($A42,'[1]Donor''s Assigned Kilos'!A:O,9,0),0)),1),0)</f>
        <v>0</v>
      </c>
      <c r="S42" s="18">
        <f>IF(A42=0,0,IFERROR(SUMIFS([1]Population!S:S,[1]Population!J:J,'MASTER-2025'!A42),0))</f>
        <v>0</v>
      </c>
      <c r="T42" s="19">
        <f>IFERROR(VLOOKUP($A42,'[1]Donor-Served OBs'!A:N,12,0),0)</f>
        <v>0</v>
      </c>
      <c r="U42" s="19">
        <f>ROUNDUP(IF(A42=0,0,IF(A42=0,0,IFERROR(VLOOKUP($A42,'[1]Donor''s Assigned Kilos'!A:O,7,0),0))),0)</f>
        <v>0</v>
      </c>
      <c r="V42" s="19">
        <f>IF(A42=0,0,IFERROR(SUMIFS([1]Population!Q:Q,[1]Population!J:J,'MASTER-2025'!A42),0))</f>
        <v>0</v>
      </c>
      <c r="W42" s="20">
        <f>IFERROR(VLOOKUP($A42,'[1]Donor-Served OBs'!A:N,10,0),0)</f>
        <v>0</v>
      </c>
      <c r="X42" s="20">
        <f>ROUNDUP(IF(A42=0,0,IFERROR(VLOOKUP($A42,'[1]Donor''s Assigned Kilos'!A:N,5,0),0)),0)</f>
        <v>0</v>
      </c>
      <c r="Y42" s="20">
        <f>IF(A42=0,0,IFERROR(SUMIFS([1]Population!O:O,[1]Population!J:J,'MASTER-2025'!A42),0))</f>
        <v>0</v>
      </c>
      <c r="Z42" s="18">
        <f>IFERROR(VLOOKUP($A42,'[1]Donor-Served OBs'!A:N,6,0),0)</f>
        <v>0</v>
      </c>
      <c r="AA42" s="18">
        <f>ROUNDUP(IF(A42=0,0,IFERROR(VLOOKUP($A42,'[1]Donor''s Assigned Kilos'!A:N,11,0),0)),0)</f>
        <v>0</v>
      </c>
      <c r="AB42" s="18">
        <f>IF(A42=0,0,IFERROR(SUMIFS([1]Population!U:U,[1]Population!J:J,'MASTER-2025'!A42),0))</f>
        <v>0</v>
      </c>
      <c r="AC42" s="19">
        <f>IFERROR(VLOOKUP($A42,'[1]Donor-Served OBs'!A:N,7,0),0)</f>
        <v>0</v>
      </c>
      <c r="AD42" s="19">
        <f>ROUNDUP(IF(A42=0,0,IFERROR(VLOOKUP($A42,'[1]Donor''s Assigned Kilos'!A:N,8,0),0)),0)</f>
        <v>0</v>
      </c>
      <c r="AE42" s="19">
        <f>IF(A42=0,0,IFERROR(SUMIFS([1]Population!R:R,[1]Population!J:J,'MASTER-2025'!A42),0))</f>
        <v>0</v>
      </c>
      <c r="AF42" s="20">
        <f>IFERROR(VLOOKUP($A42,'[1]Donor-Served OBs'!A:N,8,0),0)</f>
        <v>0</v>
      </c>
      <c r="AG42" s="20">
        <f>ROUNDUP(IF(A42=0,0,IFERROR(VLOOKUP($A42,'[1]Donor''s Assigned Kilos'!A:N,6,0),0)),0)</f>
        <v>0</v>
      </c>
      <c r="AH42" s="20">
        <f>IF(A42=0,0,IFERROR(SUMIFS([1]Population!P:P,[1]Population!J:J,'MASTER-2025'!A42),0))</f>
        <v>0</v>
      </c>
      <c r="AI42" s="18">
        <f>IFERROR(VLOOKUP($A42,'[1]Donor-Served OBs'!A:N,9,0),0)</f>
        <v>0</v>
      </c>
      <c r="AJ42" s="18">
        <f>ROUNDUP(IF(A42=0,0,IFERROR(VLOOKUP($A42,'[1]Donor''s Assigned Kilos'!A:N,12,0),0)),0)</f>
        <v>0</v>
      </c>
      <c r="AK42" s="18">
        <f>IF(A42=0,0,IFERROR(SUMIFS([1]Population!V:V,[1]Population!J:J,'MASTER-2025'!A42),0))</f>
        <v>0</v>
      </c>
      <c r="AL42" s="19">
        <f>IFERROR(VLOOKUP($A42,'[1]Donor-Served OBs'!A:N,16,0),0)</f>
        <v>0</v>
      </c>
      <c r="AM42" s="19">
        <f>ROUNDUP(IF(A42=0,0,IFERROR(VLOOKUP($A42,'[1]Donor''s Assigned Kilos'!A:O,16,0),0)),0)</f>
        <v>0</v>
      </c>
      <c r="AN42" s="19">
        <f>IF(A42=0,0,IFERROR(SUMIFS([1]Population!Z:Z,[1]Population!J:J,'MASTER-2025'!A42),0))</f>
        <v>0</v>
      </c>
      <c r="AO42" s="20">
        <f>IFERROR(VLOOKUP($A42,'[1]Donor-Served OBs'!A:N,11,0),0)</f>
        <v>0</v>
      </c>
      <c r="AP42" s="20">
        <f>ROUNDUP(IF(A42=0,0,IFERROR(VLOOKUP($A42,'[1]Donor''s Assigned Kilos'!A:N,13,0),0)),0)</f>
        <v>0</v>
      </c>
      <c r="AQ42" s="20">
        <f>IF(A42=0,0,IFERROR(SUMIFS([1]Population!W:W,[1]Population!J:J,'MASTER-2025'!A42),0))</f>
        <v>0</v>
      </c>
      <c r="AR42" s="18">
        <f>IFERROR(VLOOKUP($A42,'[1]Donor-Served OBs'!A:N,5,0),0)</f>
        <v>0</v>
      </c>
      <c r="AS42" s="18">
        <f>ROUNDUP(IF(A42=0,0,IFERROR(VLOOKUP($A42,'[1]Donor''s Assigned Kilos'!A:N,10,0),0)),0)</f>
        <v>0</v>
      </c>
      <c r="AT42" s="18">
        <f>IF(A42=0,0,IFERROR(SUMIFS([1]Population!T:T,[1]Population!J:J,'MASTER-2025'!A42),0))</f>
        <v>0</v>
      </c>
      <c r="AU42" s="19">
        <f>IFERROR(VLOOKUP($A42,'[1]Donor-Served OBs'!A:N,13,0),0)</f>
        <v>0</v>
      </c>
      <c r="AV42" s="19">
        <f>ROUNDUP(IF(A42=0,0,IFERROR(VLOOKUP($A42,'[1]Donor''s Assigned Kilos'!A:N,14,0),0)),0)</f>
        <v>0</v>
      </c>
      <c r="AW42" s="19">
        <f>IF(A42=0,0,IFERROR(SUMIFS([1]Population!X:X,[1]Population!J:J,'MASTER-2025'!A42),0))</f>
        <v>0</v>
      </c>
      <c r="AX42" s="20">
        <f>IFERROR(VLOOKUP($A42,'[1]Donor-Served OBs'!A:N,16,0),0)</f>
        <v>0</v>
      </c>
      <c r="AY42" s="20">
        <f>ROUNDUP(IF(A42=0,0,IFERROR(VLOOKUP($A42,'[1]Donor''s Assigned Kilos'!A:O,16,0),0)),0)</f>
        <v>0</v>
      </c>
      <c r="AZ42" s="20">
        <f>IF(A42=0,0,IFERROR(SUMIFS([1]Population!Y:Y,[1]Population!J:J,'MASTER-2025'!A42),0))</f>
        <v>0</v>
      </c>
      <c r="BA42" s="21">
        <f t="shared" si="15"/>
        <v>0</v>
      </c>
      <c r="BB42" s="21">
        <f t="shared" si="23"/>
        <v>0</v>
      </c>
      <c r="BC42" s="21">
        <f t="shared" si="24"/>
        <v>0</v>
      </c>
      <c r="BD42" s="21">
        <f t="shared" si="26"/>
        <v>0</v>
      </c>
      <c r="BE42" s="22" t="e">
        <f>IF(A42=0,0,SUMIFS([1]Population!C:C,[1]Population!A:A,'MASTER-2025'!A42))</f>
        <v>#VALUE!</v>
      </c>
      <c r="BF42" s="22" t="e">
        <f>IF(A42=0,0,SUMIFS([1]Population!D:D,[1]Population!A:A,'MASTER-2025'!A42))</f>
        <v>#VALUE!</v>
      </c>
      <c r="BG42" s="22" t="e">
        <f>IF(A42=0,0,SUMIFS([1]Population!E:E,[1]Population!A:A,'MASTER-2025'!A42))</f>
        <v>#VALUE!</v>
      </c>
      <c r="BH42" s="22" t="e">
        <f>IF(A42=0,0,SUMIFS([1]Population!F:F,[1]Population!A:A,'MASTER-2025'!A42))</f>
        <v>#VALUE!</v>
      </c>
      <c r="BI42" s="22" t="e">
        <f t="shared" si="18"/>
        <v>#VALUE!</v>
      </c>
      <c r="BJ42" s="23" t="e">
        <f t="shared" si="6"/>
        <v>#VALUE!</v>
      </c>
      <c r="BK42" s="22" t="e">
        <f>IF(A42=0,0,SUMIFS([1]Population!G:G,[1]Population!A:A,'MASTER-2025'!A42))</f>
        <v>#VALUE!</v>
      </c>
      <c r="BL42" s="24" cm="1">
        <f t="array" ref="BL42:BW42">IFERROR(VLOOKUP(A42,'[1]Now-OB-kg-POB-25'!A:AQ,{3,4,5,6,7,8,9,10,11,12,13,14},0),0)</f>
        <v>27</v>
      </c>
      <c r="BM42" s="24">
        <v>32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BX42" s="24">
        <f t="shared" si="7"/>
        <v>59</v>
      </c>
      <c r="BY42" s="25" cm="1">
        <f t="array" ref="BY42:CJ42">IFERROR(VLOOKUP(A42,'[1]Now-OB-kg-POB-25'!A:AQ,{17,18,19,20,21,22,23,24,25,26,27,28},0),0)</f>
        <v>1198</v>
      </c>
      <c r="BZ42" s="25">
        <v>0</v>
      </c>
      <c r="CA42" s="25">
        <v>0</v>
      </c>
      <c r="CB42" s="25">
        <v>0</v>
      </c>
      <c r="CC42" s="25">
        <v>0</v>
      </c>
      <c r="CD42" s="25">
        <v>0</v>
      </c>
      <c r="CE42" s="25">
        <v>0</v>
      </c>
      <c r="CF42" s="25">
        <v>0</v>
      </c>
      <c r="CG42" s="25">
        <v>0</v>
      </c>
      <c r="CH42" s="25">
        <v>0</v>
      </c>
      <c r="CI42" s="25">
        <v>0</v>
      </c>
      <c r="CJ42" s="25">
        <v>0</v>
      </c>
      <c r="CK42" s="25">
        <f t="shared" si="8"/>
        <v>1198</v>
      </c>
      <c r="CL42" s="26" cm="1">
        <f t="array" ref="CL42:CW42">IFERROR(VLOOKUP(A42,'[1]Now-OB-kg-POB-25'!A:AQ,{31,32,33,34,35,36,37,38,39,40,41,42},0),0)</f>
        <v>7518</v>
      </c>
      <c r="CM42" s="26">
        <v>6534</v>
      </c>
      <c r="CN42" s="26">
        <v>0</v>
      </c>
      <c r="CO42" s="26">
        <v>0</v>
      </c>
      <c r="CP42" s="26">
        <v>0</v>
      </c>
      <c r="CQ42" s="26">
        <v>0</v>
      </c>
      <c r="CR42" s="26">
        <v>0</v>
      </c>
      <c r="CS42" s="26">
        <v>0</v>
      </c>
      <c r="CT42" s="26">
        <v>0</v>
      </c>
      <c r="CU42" s="26">
        <v>0</v>
      </c>
      <c r="CV42" s="26">
        <v>0</v>
      </c>
      <c r="CW42" s="26">
        <v>0</v>
      </c>
      <c r="CX42" s="26">
        <f t="shared" si="9"/>
        <v>14052</v>
      </c>
      <c r="CY42" s="14" t="str">
        <f>IF(A42=0,0,IFERROR(VLOOKUP(A42,'[1]Info Donantes'!C:F,2,0),"Sin Contacto"))</f>
        <v>Sin Contacto</v>
      </c>
      <c r="CZ42" s="14" t="str">
        <f>IF(A42=0,0,IFERROR(VLOOKUP(A42,'[1]Info Donantes'!C:F,3,0),"Sin Correo"))</f>
        <v>Sin Correo</v>
      </c>
      <c r="DA42" s="14" t="str">
        <f>IF(A42=0,0,IFERROR(VLOOKUP(A42,'[1]Info Donantes'!C:F,4,0),"Sin Telefono"))</f>
        <v>Sin Telefono</v>
      </c>
      <c r="DB42" s="14" t="s">
        <v>187</v>
      </c>
    </row>
    <row r="43" spans="1:106" x14ac:dyDescent="0.55000000000000004">
      <c r="A43" s="14" t="s">
        <v>188</v>
      </c>
      <c r="B43" s="15">
        <f>INT(IFERROR(VLOOKUP(A43,'[1]Donor Summary'!C:F,3,0),0))</f>
        <v>0</v>
      </c>
      <c r="C43" s="15">
        <f>INT(ROUND(IFERROR(VLOOKUP(A43,'[1]Donor Summary'!C:F,4,0),0),1))</f>
        <v>0</v>
      </c>
      <c r="D43" s="16">
        <f t="shared" si="19"/>
        <v>0</v>
      </c>
      <c r="E43" s="17" t="str">
        <f t="shared" si="20"/>
        <v>0.00%</v>
      </c>
      <c r="F43" s="17" t="str">
        <f t="shared" si="21"/>
        <v>0.0%</v>
      </c>
      <c r="G43" s="15">
        <f t="shared" si="25"/>
        <v>0</v>
      </c>
      <c r="H43" s="18"/>
      <c r="I43" s="18">
        <f>IFERROR(VLOOKUP(A43,'[1]Lot All by Part'!T:Y,6,0),0)</f>
        <v>0</v>
      </c>
      <c r="J43" s="18"/>
      <c r="K43" s="19">
        <f>IFERROR(VLOOKUP($A43,'[1]Donor-Served OBs'!A:N,3,0),0)</f>
        <v>0</v>
      </c>
      <c r="L43" s="19">
        <f>ROUNDUP(IF(A43=0,0,IFERROR(VLOOKUP($A43,'[1]Donor''s Assigned Kilos'!A:O,3,0),0)),0)</f>
        <v>0</v>
      </c>
      <c r="M43" s="19">
        <f>IF(A43=0,0,IFERROR(SUMIFS([1]Population!M:M,[1]Population!J:J,'MASTER-2025'!A43),0))</f>
        <v>0</v>
      </c>
      <c r="N43" s="20">
        <f>IFERROR(VLOOKUP($A43,'[1]Donor-Served OBs'!A:N,4,0),0)</f>
        <v>0</v>
      </c>
      <c r="O43" s="20">
        <f>ROUNDUP(IF(A43=0,0,IFERROR(VLOOKUP($A43,'[1]Donor''s Assigned Kilos'!A:O,4,0),0)),0)</f>
        <v>0</v>
      </c>
      <c r="P43" s="20">
        <f>IF(A43=0,0,IFERROR(SUMIFS([1]Population!N:N,[1]Population!J:J,'MASTER-2025'!A43),0))</f>
        <v>0</v>
      </c>
      <c r="Q43" s="18">
        <f>IFERROR(VLOOKUP($A43,'[1]Donor-Served OBs'!A:N,2,0),0)</f>
        <v>0</v>
      </c>
      <c r="R43" s="18">
        <f>ROUNDUP(ROUND(IF(A43=0,0,IFERROR(VLOOKUP($A43,'[1]Donor''s Assigned Kilos'!A:O,9,0),0)),1),0)</f>
        <v>0</v>
      </c>
      <c r="S43" s="18">
        <f>IF(A43=0,0,IFERROR(SUMIFS([1]Population!S:S,[1]Population!J:J,'MASTER-2025'!A43),0))</f>
        <v>0</v>
      </c>
      <c r="T43" s="19">
        <f>IFERROR(VLOOKUP($A43,'[1]Donor-Served OBs'!A:N,12,0),0)</f>
        <v>0</v>
      </c>
      <c r="U43" s="19">
        <f>ROUNDUP(IF(A43=0,0,IF(A43=0,0,IFERROR(VLOOKUP($A43,'[1]Donor''s Assigned Kilos'!A:O,7,0),0))),0)</f>
        <v>0</v>
      </c>
      <c r="V43" s="19">
        <f>IF(A43=0,0,IFERROR(SUMIFS([1]Population!Q:Q,[1]Population!J:J,'MASTER-2025'!A43),0))</f>
        <v>0</v>
      </c>
      <c r="W43" s="20">
        <f>IFERROR(VLOOKUP($A43,'[1]Donor-Served OBs'!A:N,10,0),0)</f>
        <v>0</v>
      </c>
      <c r="X43" s="20">
        <f>ROUNDUP(IF(A43=0,0,IFERROR(VLOOKUP($A43,'[1]Donor''s Assigned Kilos'!A:N,5,0),0)),0)</f>
        <v>0</v>
      </c>
      <c r="Y43" s="20">
        <f>IF(A43=0,0,IFERROR(SUMIFS([1]Population!O:O,[1]Population!J:J,'MASTER-2025'!A43),0))</f>
        <v>0</v>
      </c>
      <c r="Z43" s="18">
        <f>IFERROR(VLOOKUP($A43,'[1]Donor-Served OBs'!A:N,6,0),0)</f>
        <v>0</v>
      </c>
      <c r="AA43" s="18">
        <f>ROUNDUP(IF(A43=0,0,IFERROR(VLOOKUP($A43,'[1]Donor''s Assigned Kilos'!A:N,11,0),0)),0)</f>
        <v>0</v>
      </c>
      <c r="AB43" s="18">
        <f>IF(A43=0,0,IFERROR(SUMIFS([1]Population!U:U,[1]Population!J:J,'MASTER-2025'!A43),0))</f>
        <v>0</v>
      </c>
      <c r="AC43" s="19">
        <f>IFERROR(VLOOKUP($A43,'[1]Donor-Served OBs'!A:N,7,0),0)</f>
        <v>0</v>
      </c>
      <c r="AD43" s="19">
        <f>ROUNDUP(IF(A43=0,0,IFERROR(VLOOKUP($A43,'[1]Donor''s Assigned Kilos'!A:N,8,0),0)),0)</f>
        <v>0</v>
      </c>
      <c r="AE43" s="19">
        <f>IF(A43=0,0,IFERROR(SUMIFS([1]Population!R:R,[1]Population!J:J,'MASTER-2025'!A43),0))</f>
        <v>0</v>
      </c>
      <c r="AF43" s="20">
        <f>IFERROR(VLOOKUP($A43,'[1]Donor-Served OBs'!A:N,8,0),0)</f>
        <v>0</v>
      </c>
      <c r="AG43" s="20">
        <f>ROUNDUP(IF(A43=0,0,IFERROR(VLOOKUP($A43,'[1]Donor''s Assigned Kilos'!A:N,6,0),0)),0)</f>
        <v>0</v>
      </c>
      <c r="AH43" s="20">
        <f>IF(A43=0,0,IFERROR(SUMIFS([1]Population!P:P,[1]Population!J:J,'MASTER-2025'!A43),0))</f>
        <v>0</v>
      </c>
      <c r="AI43" s="18">
        <f>IFERROR(VLOOKUP($A43,'[1]Donor-Served OBs'!A:N,9,0),0)</f>
        <v>0</v>
      </c>
      <c r="AJ43" s="18">
        <f>ROUNDUP(IF(A43=0,0,IFERROR(VLOOKUP($A43,'[1]Donor''s Assigned Kilos'!A:N,12,0),0)),0)</f>
        <v>0</v>
      </c>
      <c r="AK43" s="18">
        <f>IF(A43=0,0,IFERROR(SUMIFS([1]Population!V:V,[1]Population!J:J,'MASTER-2025'!A43),0))</f>
        <v>0</v>
      </c>
      <c r="AL43" s="19">
        <f>IFERROR(VLOOKUP($A43,'[1]Donor-Served OBs'!A:N,16,0),0)</f>
        <v>0</v>
      </c>
      <c r="AM43" s="19">
        <f>ROUNDUP(IF(A43=0,0,IFERROR(VLOOKUP($A43,'[1]Donor''s Assigned Kilos'!A:O,16,0),0)),0)</f>
        <v>0</v>
      </c>
      <c r="AN43" s="19">
        <f>IF(A43=0,0,IFERROR(SUMIFS([1]Population!Z:Z,[1]Population!J:J,'MASTER-2025'!A43),0))</f>
        <v>0</v>
      </c>
      <c r="AO43" s="20">
        <f>IFERROR(VLOOKUP($A43,'[1]Donor-Served OBs'!A:N,11,0),0)</f>
        <v>0</v>
      </c>
      <c r="AP43" s="20">
        <f>ROUNDUP(IF(A43=0,0,IFERROR(VLOOKUP($A43,'[1]Donor''s Assigned Kilos'!A:N,13,0),0)),0)</f>
        <v>0</v>
      </c>
      <c r="AQ43" s="20">
        <f>IF(A43=0,0,IFERROR(SUMIFS([1]Population!W:W,[1]Population!J:J,'MASTER-2025'!A43),0))</f>
        <v>0</v>
      </c>
      <c r="AR43" s="18">
        <f>IFERROR(VLOOKUP($A43,'[1]Donor-Served OBs'!A:N,5,0),0)</f>
        <v>0</v>
      </c>
      <c r="AS43" s="18">
        <f>ROUNDUP(IF(A43=0,0,IFERROR(VLOOKUP($A43,'[1]Donor''s Assigned Kilos'!A:N,10,0),0)),0)</f>
        <v>0</v>
      </c>
      <c r="AT43" s="18">
        <f>IF(A43=0,0,IFERROR(SUMIFS([1]Population!T:T,[1]Population!J:J,'MASTER-2025'!A43),0))</f>
        <v>0</v>
      </c>
      <c r="AU43" s="19">
        <f>IFERROR(VLOOKUP($A43,'[1]Donor-Served OBs'!A:N,13,0),0)</f>
        <v>0</v>
      </c>
      <c r="AV43" s="19">
        <f>ROUNDUP(IF(A43=0,0,IFERROR(VLOOKUP($A43,'[1]Donor''s Assigned Kilos'!A:N,14,0),0)),0)</f>
        <v>0</v>
      </c>
      <c r="AW43" s="19">
        <f>IF(A43=0,0,IFERROR(SUMIFS([1]Population!X:X,[1]Population!J:J,'MASTER-2025'!A43),0))</f>
        <v>0</v>
      </c>
      <c r="AX43" s="20">
        <f>IFERROR(VLOOKUP($A43,'[1]Donor-Served OBs'!A:N,16,0),0)</f>
        <v>0</v>
      </c>
      <c r="AY43" s="20">
        <f>ROUNDUP(IF(A43=0,0,IFERROR(VLOOKUP($A43,'[1]Donor''s Assigned Kilos'!A:O,16,0),0)),0)</f>
        <v>0</v>
      </c>
      <c r="AZ43" s="20">
        <f>IF(A43=0,0,IFERROR(SUMIFS([1]Population!Y:Y,[1]Population!J:J,'MASTER-2025'!A43),0))</f>
        <v>0</v>
      </c>
      <c r="BA43" s="21">
        <f t="shared" si="15"/>
        <v>0</v>
      </c>
      <c r="BB43" s="21">
        <f t="shared" si="23"/>
        <v>0</v>
      </c>
      <c r="BC43" s="21">
        <f t="shared" si="24"/>
        <v>0</v>
      </c>
      <c r="BD43" s="21">
        <f t="shared" si="26"/>
        <v>0</v>
      </c>
      <c r="BE43" s="22" t="e">
        <f>IF(A43=0,0,SUMIFS([1]Population!C:C,[1]Population!A:A,'MASTER-2025'!A43))</f>
        <v>#VALUE!</v>
      </c>
      <c r="BF43" s="22" t="e">
        <f>IF(A43=0,0,SUMIFS([1]Population!D:D,[1]Population!A:A,'MASTER-2025'!A43))</f>
        <v>#VALUE!</v>
      </c>
      <c r="BG43" s="22" t="e">
        <f>IF(A43=0,0,SUMIFS([1]Population!E:E,[1]Population!A:A,'MASTER-2025'!A43))</f>
        <v>#VALUE!</v>
      </c>
      <c r="BH43" s="22" t="e">
        <f>IF(A43=0,0,SUMIFS([1]Population!F:F,[1]Population!A:A,'MASTER-2025'!A43))</f>
        <v>#VALUE!</v>
      </c>
      <c r="BI43" s="22" t="e">
        <f t="shared" si="18"/>
        <v>#VALUE!</v>
      </c>
      <c r="BJ43" s="23" t="e">
        <f t="shared" si="6"/>
        <v>#VALUE!</v>
      </c>
      <c r="BK43" s="22" t="e">
        <f>IF(A43=0,0,SUMIFS([1]Population!G:G,[1]Population!A:A,'MASTER-2025'!A43))</f>
        <v>#VALUE!</v>
      </c>
      <c r="BL43" s="24" cm="1">
        <f t="array" ref="BL43:BW43">IFERROR(VLOOKUP(A43,'[1]Now-OB-kg-POB-25'!A:AQ,{3,4,5,6,7,8,9,10,11,12,13,14},0),0)</f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4">
        <v>0</v>
      </c>
      <c r="BX43" s="24">
        <f t="shared" si="7"/>
        <v>0</v>
      </c>
      <c r="BY43" s="25" cm="1">
        <f t="array" ref="BY43:CJ43">IFERROR(VLOOKUP(A43,'[1]Now-OB-kg-POB-25'!A:AQ,{17,18,19,20,21,22,23,24,25,26,27,28},0),0)</f>
        <v>0</v>
      </c>
      <c r="BZ43" s="25">
        <v>0</v>
      </c>
      <c r="CA43" s="25">
        <v>0</v>
      </c>
      <c r="CB43" s="25">
        <v>0</v>
      </c>
      <c r="CC43" s="25">
        <v>0</v>
      </c>
      <c r="CD43" s="25">
        <v>0</v>
      </c>
      <c r="CE43" s="25">
        <v>0</v>
      </c>
      <c r="CF43" s="25">
        <v>0</v>
      </c>
      <c r="CG43" s="25">
        <v>0</v>
      </c>
      <c r="CH43" s="25">
        <v>0</v>
      </c>
      <c r="CI43" s="25">
        <v>0</v>
      </c>
      <c r="CJ43" s="25">
        <v>0</v>
      </c>
      <c r="CK43" s="25">
        <f t="shared" si="8"/>
        <v>0</v>
      </c>
      <c r="CL43" s="26" cm="1">
        <f t="array" ref="CL43:CW43">IFERROR(VLOOKUP(A43,'[1]Now-OB-kg-POB-25'!A:AQ,{31,32,33,34,35,36,37,38,39,40,41,42},0),0)</f>
        <v>0</v>
      </c>
      <c r="CM43" s="26">
        <v>0</v>
      </c>
      <c r="CN43" s="26">
        <v>0</v>
      </c>
      <c r="CO43" s="26">
        <v>0</v>
      </c>
      <c r="CP43" s="26">
        <v>0</v>
      </c>
      <c r="CQ43" s="26">
        <v>0</v>
      </c>
      <c r="CR43" s="26">
        <v>0</v>
      </c>
      <c r="CS43" s="26">
        <v>0</v>
      </c>
      <c r="CT43" s="26">
        <v>0</v>
      </c>
      <c r="CU43" s="26">
        <v>0</v>
      </c>
      <c r="CV43" s="26">
        <v>0</v>
      </c>
      <c r="CW43" s="26">
        <v>0</v>
      </c>
      <c r="CX43" s="26">
        <f t="shared" si="9"/>
        <v>0</v>
      </c>
      <c r="CY43" s="14" t="str">
        <f>IF(A43=0,0,IFERROR(VLOOKUP(A43,'[1]Info Donantes'!C:F,2,0),"Sin Contacto"))</f>
        <v>Sin Contacto</v>
      </c>
      <c r="CZ43" s="14" t="str">
        <f>IF(A43=0,0,IFERROR(VLOOKUP(A43,'[1]Info Donantes'!C:F,3,0),"Sin Correo"))</f>
        <v>Sin Correo</v>
      </c>
      <c r="DA43" s="14" t="str">
        <f>IF(A43=0,0,IFERROR(VLOOKUP(A43,'[1]Info Donantes'!C:F,4,0),"Sin Telefono"))</f>
        <v>Sin Telefono</v>
      </c>
      <c r="DB43" s="14" t="s">
        <v>189</v>
      </c>
    </row>
    <row r="44" spans="1:106" x14ac:dyDescent="0.55000000000000004">
      <c r="A44" s="14" t="s">
        <v>190</v>
      </c>
      <c r="B44" s="15">
        <f>INT(IFERROR(VLOOKUP(A44,'[1]Donor Summary'!C:F,3,0),0))</f>
        <v>0</v>
      </c>
      <c r="C44" s="15">
        <f>INT(ROUND(IFERROR(VLOOKUP(A44,'[1]Donor Summary'!C:F,4,0),0),1))</f>
        <v>0</v>
      </c>
      <c r="D44" s="16">
        <f t="shared" si="19"/>
        <v>0</v>
      </c>
      <c r="E44" s="17" t="str">
        <f t="shared" si="20"/>
        <v>0.00%</v>
      </c>
      <c r="F44" s="17" t="str">
        <f t="shared" si="21"/>
        <v>0.0%</v>
      </c>
      <c r="G44" s="15">
        <f t="shared" si="25"/>
        <v>0</v>
      </c>
      <c r="H44" s="18"/>
      <c r="I44" s="18">
        <f>IFERROR(VLOOKUP(A44,'[1]Lot All by Part'!T:Y,6,0),0)</f>
        <v>0</v>
      </c>
      <c r="J44" s="18"/>
      <c r="K44" s="19">
        <f>IFERROR(VLOOKUP($A44,'[1]Donor-Served OBs'!A:N,3,0),0)</f>
        <v>0</v>
      </c>
      <c r="L44" s="19">
        <f>ROUNDUP(IF(A44=0,0,IFERROR(VLOOKUP($A44,'[1]Donor''s Assigned Kilos'!A:O,3,0),0)),0)</f>
        <v>0</v>
      </c>
      <c r="M44" s="19">
        <f>IF(A44=0,0,IFERROR(SUMIFS([1]Population!M:M,[1]Population!J:J,'MASTER-2025'!A44),0))</f>
        <v>0</v>
      </c>
      <c r="N44" s="20">
        <f>IFERROR(VLOOKUP($A44,'[1]Donor-Served OBs'!A:N,4,0),0)</f>
        <v>0</v>
      </c>
      <c r="O44" s="20">
        <f>ROUNDUP(IF(A44=0,0,IFERROR(VLOOKUP($A44,'[1]Donor''s Assigned Kilos'!A:O,4,0),0)),0)</f>
        <v>0</v>
      </c>
      <c r="P44" s="20">
        <f>IF(A44=0,0,IFERROR(SUMIFS([1]Population!N:N,[1]Population!J:J,'MASTER-2025'!A44),0))</f>
        <v>0</v>
      </c>
      <c r="Q44" s="18">
        <f>IFERROR(VLOOKUP($A44,'[1]Donor-Served OBs'!A:N,2,0),0)</f>
        <v>0</v>
      </c>
      <c r="R44" s="18">
        <f>ROUNDUP(ROUND(IF(A44=0,0,IFERROR(VLOOKUP($A44,'[1]Donor''s Assigned Kilos'!A:O,9,0),0)),1),0)</f>
        <v>0</v>
      </c>
      <c r="S44" s="18">
        <f>IF(A44=0,0,IFERROR(SUMIFS([1]Population!S:S,[1]Population!J:J,'MASTER-2025'!A44),0))</f>
        <v>0</v>
      </c>
      <c r="T44" s="19">
        <f>IFERROR(VLOOKUP($A44,'[1]Donor-Served OBs'!A:N,12,0),0)</f>
        <v>0</v>
      </c>
      <c r="U44" s="19">
        <f>ROUNDUP(IF(A44=0,0,IF(A44=0,0,IFERROR(VLOOKUP($A44,'[1]Donor''s Assigned Kilos'!A:O,7,0),0))),0)</f>
        <v>0</v>
      </c>
      <c r="V44" s="19">
        <f>IF(A44=0,0,IFERROR(SUMIFS([1]Population!Q:Q,[1]Population!J:J,'MASTER-2025'!A44),0))</f>
        <v>0</v>
      </c>
      <c r="W44" s="20">
        <f>IFERROR(VLOOKUP($A44,'[1]Donor-Served OBs'!A:N,10,0),0)</f>
        <v>0</v>
      </c>
      <c r="X44" s="20">
        <f>ROUNDUP(IF(A44=0,0,IFERROR(VLOOKUP($A44,'[1]Donor''s Assigned Kilos'!A:N,5,0),0)),0)</f>
        <v>0</v>
      </c>
      <c r="Y44" s="20">
        <f>IF(A44=0,0,IFERROR(SUMIFS([1]Population!O:O,[1]Population!J:J,'MASTER-2025'!A44),0))</f>
        <v>0</v>
      </c>
      <c r="Z44" s="18">
        <f>IFERROR(VLOOKUP($A44,'[1]Donor-Served OBs'!A:N,6,0),0)</f>
        <v>0</v>
      </c>
      <c r="AA44" s="18">
        <f>ROUNDUP(IF(A44=0,0,IFERROR(VLOOKUP($A44,'[1]Donor''s Assigned Kilos'!A:N,11,0),0)),0)</f>
        <v>0</v>
      </c>
      <c r="AB44" s="18">
        <f>IF(A44=0,0,IFERROR(SUMIFS([1]Population!U:U,[1]Population!J:J,'MASTER-2025'!A44),0))</f>
        <v>0</v>
      </c>
      <c r="AC44" s="19">
        <f>IFERROR(VLOOKUP($A44,'[1]Donor-Served OBs'!A:N,7,0),0)</f>
        <v>0</v>
      </c>
      <c r="AD44" s="19">
        <f>ROUNDUP(IF(A44=0,0,IFERROR(VLOOKUP($A44,'[1]Donor''s Assigned Kilos'!A:N,8,0),0)),0)</f>
        <v>0</v>
      </c>
      <c r="AE44" s="19">
        <f>IF(A44=0,0,IFERROR(SUMIFS([1]Population!R:R,[1]Population!J:J,'MASTER-2025'!A44),0))</f>
        <v>0</v>
      </c>
      <c r="AF44" s="20">
        <f>IFERROR(VLOOKUP($A44,'[1]Donor-Served OBs'!A:N,8,0),0)</f>
        <v>0</v>
      </c>
      <c r="AG44" s="20">
        <f>ROUNDUP(IF(A44=0,0,IFERROR(VLOOKUP($A44,'[1]Donor''s Assigned Kilos'!A:N,6,0),0)),0)</f>
        <v>0</v>
      </c>
      <c r="AH44" s="20">
        <f>IF(A44=0,0,IFERROR(SUMIFS([1]Population!P:P,[1]Population!J:J,'MASTER-2025'!A44),0))</f>
        <v>0</v>
      </c>
      <c r="AI44" s="18">
        <f>IFERROR(VLOOKUP($A44,'[1]Donor-Served OBs'!A:N,9,0),0)</f>
        <v>0</v>
      </c>
      <c r="AJ44" s="18">
        <f>ROUNDUP(IF(A44=0,0,IFERROR(VLOOKUP($A44,'[1]Donor''s Assigned Kilos'!A:N,12,0),0)),0)</f>
        <v>0</v>
      </c>
      <c r="AK44" s="18">
        <f>IF(A44=0,0,IFERROR(SUMIFS([1]Population!V:V,[1]Population!J:J,'MASTER-2025'!A44),0))</f>
        <v>0</v>
      </c>
      <c r="AL44" s="19">
        <f>IFERROR(VLOOKUP($A44,'[1]Donor-Served OBs'!A:N,16,0),0)</f>
        <v>0</v>
      </c>
      <c r="AM44" s="19">
        <f>ROUNDUP(IF(A44=0,0,IFERROR(VLOOKUP($A44,'[1]Donor''s Assigned Kilos'!A:O,16,0),0)),0)</f>
        <v>0</v>
      </c>
      <c r="AN44" s="19">
        <f>IF(A44=0,0,IFERROR(SUMIFS([1]Population!Z:Z,[1]Population!J:J,'MASTER-2025'!A44),0))</f>
        <v>0</v>
      </c>
      <c r="AO44" s="20">
        <f>IFERROR(VLOOKUP($A44,'[1]Donor-Served OBs'!A:N,11,0),0)</f>
        <v>0</v>
      </c>
      <c r="AP44" s="20">
        <f>ROUNDUP(IF(A44=0,0,IFERROR(VLOOKUP($A44,'[1]Donor''s Assigned Kilos'!A:N,13,0),0)),0)</f>
        <v>0</v>
      </c>
      <c r="AQ44" s="20">
        <f>IF(A44=0,0,IFERROR(SUMIFS([1]Population!W:W,[1]Population!J:J,'MASTER-2025'!A44),0))</f>
        <v>0</v>
      </c>
      <c r="AR44" s="18">
        <f>IFERROR(VLOOKUP($A44,'[1]Donor-Served OBs'!A:N,5,0),0)</f>
        <v>0</v>
      </c>
      <c r="AS44" s="18">
        <f>ROUNDUP(IF(A44=0,0,IFERROR(VLOOKUP($A44,'[1]Donor''s Assigned Kilos'!A:N,10,0),0)),0)</f>
        <v>0</v>
      </c>
      <c r="AT44" s="18">
        <f>IF(A44=0,0,IFERROR(SUMIFS([1]Population!T:T,[1]Population!J:J,'MASTER-2025'!A44),0))</f>
        <v>0</v>
      </c>
      <c r="AU44" s="19">
        <f>IFERROR(VLOOKUP($A44,'[1]Donor-Served OBs'!A:N,13,0),0)</f>
        <v>0</v>
      </c>
      <c r="AV44" s="19">
        <f>ROUNDUP(IF(A44=0,0,IFERROR(VLOOKUP($A44,'[1]Donor''s Assigned Kilos'!A:N,14,0),0)),0)</f>
        <v>0</v>
      </c>
      <c r="AW44" s="19">
        <f>IF(A44=0,0,IFERROR(SUMIFS([1]Population!X:X,[1]Population!J:J,'MASTER-2025'!A44),0))</f>
        <v>0</v>
      </c>
      <c r="AX44" s="20">
        <f>IFERROR(VLOOKUP($A44,'[1]Donor-Served OBs'!A:N,16,0),0)</f>
        <v>0</v>
      </c>
      <c r="AY44" s="20">
        <f>ROUNDUP(IF(A44=0,0,IFERROR(VLOOKUP($A44,'[1]Donor''s Assigned Kilos'!A:O,16,0),0)),0)</f>
        <v>0</v>
      </c>
      <c r="AZ44" s="20">
        <f>IF(A44=0,0,IFERROR(SUMIFS([1]Population!Y:Y,[1]Population!J:J,'MASTER-2025'!A44),0))</f>
        <v>0</v>
      </c>
      <c r="BA44" s="21">
        <f t="shared" si="15"/>
        <v>0</v>
      </c>
      <c r="BB44" s="21">
        <f t="shared" si="23"/>
        <v>0</v>
      </c>
      <c r="BC44" s="21">
        <f t="shared" si="24"/>
        <v>0</v>
      </c>
      <c r="BD44" s="21">
        <f t="shared" si="26"/>
        <v>0</v>
      </c>
      <c r="BE44" s="22" t="e">
        <f>IF(A44=0,0,SUMIFS([1]Population!C:C,[1]Population!A:A,'MASTER-2025'!A44))</f>
        <v>#VALUE!</v>
      </c>
      <c r="BF44" s="22" t="e">
        <f>IF(A44=0,0,SUMIFS([1]Population!D:D,[1]Population!A:A,'MASTER-2025'!A44))</f>
        <v>#VALUE!</v>
      </c>
      <c r="BG44" s="22" t="e">
        <f>IF(A44=0,0,SUMIFS([1]Population!E:E,[1]Population!A:A,'MASTER-2025'!A44))</f>
        <v>#VALUE!</v>
      </c>
      <c r="BH44" s="22" t="e">
        <f>IF(A44=0,0,SUMIFS([1]Population!F:F,[1]Population!A:A,'MASTER-2025'!A44))</f>
        <v>#VALUE!</v>
      </c>
      <c r="BI44" s="22" t="e">
        <f t="shared" si="18"/>
        <v>#VALUE!</v>
      </c>
      <c r="BJ44" s="23" t="e">
        <f t="shared" si="6"/>
        <v>#VALUE!</v>
      </c>
      <c r="BK44" s="22" t="e">
        <f>IF(A44=0,0,SUMIFS([1]Population!G:G,[1]Population!A:A,'MASTER-2025'!A44))</f>
        <v>#VALUE!</v>
      </c>
      <c r="BL44" s="24" cm="1">
        <f t="array" ref="BL44:BW44">IFERROR(VLOOKUP(A44,'[1]Now-OB-kg-POB-25'!A:AQ,{3,4,5,6,7,8,9,10,11,12,13,14},0),0)</f>
        <v>0</v>
      </c>
      <c r="BM44" s="24">
        <v>43</v>
      </c>
      <c r="BN44" s="24">
        <v>19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BX44" s="24">
        <f t="shared" si="7"/>
        <v>62</v>
      </c>
      <c r="BY44" s="25" cm="1">
        <f t="array" ref="BY44:CJ44">IFERROR(VLOOKUP(A44,'[1]Now-OB-kg-POB-25'!A:AQ,{17,18,19,20,21,22,23,24,25,26,27,28},0),0)</f>
        <v>600</v>
      </c>
      <c r="BZ44" s="25">
        <v>0</v>
      </c>
      <c r="CA44" s="25">
        <v>39</v>
      </c>
      <c r="CB44" s="25">
        <v>0</v>
      </c>
      <c r="CC44" s="25">
        <v>0</v>
      </c>
      <c r="CD44" s="25">
        <v>0</v>
      </c>
      <c r="CE44" s="25">
        <v>0</v>
      </c>
      <c r="CF44" s="25">
        <v>0</v>
      </c>
      <c r="CG44" s="25">
        <v>0</v>
      </c>
      <c r="CH44" s="25">
        <v>0</v>
      </c>
      <c r="CI44" s="25">
        <v>0</v>
      </c>
      <c r="CJ44" s="25">
        <v>0</v>
      </c>
      <c r="CK44" s="25">
        <f t="shared" si="8"/>
        <v>639</v>
      </c>
      <c r="CL44" s="26" cm="1">
        <f t="array" ref="CL44:CW44">IFERROR(VLOOKUP(A44,'[1]Now-OB-kg-POB-25'!A:AQ,{31,32,33,34,35,36,37,38,39,40,41,42},0),0)</f>
        <v>0</v>
      </c>
      <c r="CM44" s="26">
        <v>17158</v>
      </c>
      <c r="CN44" s="26">
        <v>4968</v>
      </c>
      <c r="CO44" s="26">
        <v>0</v>
      </c>
      <c r="CP44" s="26">
        <v>0</v>
      </c>
      <c r="CQ44" s="26">
        <v>0</v>
      </c>
      <c r="CR44" s="26">
        <v>0</v>
      </c>
      <c r="CS44" s="26">
        <v>0</v>
      </c>
      <c r="CT44" s="26">
        <v>0</v>
      </c>
      <c r="CU44" s="26">
        <v>0</v>
      </c>
      <c r="CV44" s="26">
        <v>0</v>
      </c>
      <c r="CW44" s="26">
        <v>0</v>
      </c>
      <c r="CX44" s="26">
        <f t="shared" si="9"/>
        <v>22126</v>
      </c>
      <c r="CY44" s="14" t="str">
        <f>IF(A44=0,0,IFERROR(VLOOKUP(A44,'[1]Info Donantes'!C:F,2,0),"Sin Contacto"))</f>
        <v>Sin Contacto</v>
      </c>
      <c r="CZ44" s="14" t="str">
        <f>IF(A44=0,0,IFERROR(VLOOKUP(A44,'[1]Info Donantes'!C:F,3,0),"Sin Correo"))</f>
        <v>Sin Correo</v>
      </c>
      <c r="DA44" s="14" t="str">
        <f>IF(A44=0,0,IFERROR(VLOOKUP(A44,'[1]Info Donantes'!C:F,4,0),"Sin Telefono"))</f>
        <v>Sin Telefono</v>
      </c>
      <c r="DB44" s="14" t="s">
        <v>191</v>
      </c>
    </row>
    <row r="45" spans="1:106" x14ac:dyDescent="0.55000000000000004">
      <c r="A45" s="14" t="s">
        <v>192</v>
      </c>
      <c r="B45" s="15">
        <f>INT(IFERROR(VLOOKUP(A45,'[1]Donor Summary'!C:F,3,0),0))</f>
        <v>0</v>
      </c>
      <c r="C45" s="15">
        <f>INT(ROUND(IFERROR(VLOOKUP(A45,'[1]Donor Summary'!C:F,4,0),0),1))</f>
        <v>0</v>
      </c>
      <c r="D45" s="16">
        <f t="shared" si="19"/>
        <v>0</v>
      </c>
      <c r="E45" s="17" t="str">
        <f t="shared" si="20"/>
        <v>0.00%</v>
      </c>
      <c r="F45" s="17" t="str">
        <f t="shared" si="21"/>
        <v>0.0%</v>
      </c>
      <c r="G45" s="15">
        <f t="shared" si="25"/>
        <v>0</v>
      </c>
      <c r="H45" s="18"/>
      <c r="I45" s="18">
        <f>IFERROR(VLOOKUP(A45,'[1]Lot All by Part'!T:Y,6,0),0)</f>
        <v>0</v>
      </c>
      <c r="J45" s="18"/>
      <c r="K45" s="19">
        <f>IFERROR(VLOOKUP($A45,'[1]Donor-Served OBs'!A:N,3,0),0)</f>
        <v>0</v>
      </c>
      <c r="L45" s="19">
        <f>ROUNDUP(IF(A45=0,0,IFERROR(VLOOKUP($A45,'[1]Donor''s Assigned Kilos'!A:O,3,0),0)),0)</f>
        <v>0</v>
      </c>
      <c r="M45" s="19">
        <f>IF(A45=0,0,IFERROR(SUMIFS([1]Population!M:M,[1]Population!J:J,'MASTER-2025'!A45),0))</f>
        <v>0</v>
      </c>
      <c r="N45" s="20">
        <f>IFERROR(VLOOKUP($A45,'[1]Donor-Served OBs'!A:N,4,0),0)</f>
        <v>0</v>
      </c>
      <c r="O45" s="20">
        <f>ROUNDUP(IF(A45=0,0,IFERROR(VLOOKUP($A45,'[1]Donor''s Assigned Kilos'!A:O,4,0),0)),0)</f>
        <v>0</v>
      </c>
      <c r="P45" s="20">
        <f>IF(A45=0,0,IFERROR(SUMIFS([1]Population!N:N,[1]Population!J:J,'MASTER-2025'!A45),0))</f>
        <v>0</v>
      </c>
      <c r="Q45" s="18">
        <f>IFERROR(VLOOKUP($A45,'[1]Donor-Served OBs'!A:N,2,0),0)</f>
        <v>0</v>
      </c>
      <c r="R45" s="18">
        <f>ROUNDUP(ROUND(IF(A45=0,0,IFERROR(VLOOKUP($A45,'[1]Donor''s Assigned Kilos'!A:O,9,0),0)),1),0)</f>
        <v>0</v>
      </c>
      <c r="S45" s="18">
        <f>IF(A45=0,0,IFERROR(SUMIFS([1]Population!S:S,[1]Population!J:J,'MASTER-2025'!A45),0))</f>
        <v>0</v>
      </c>
      <c r="T45" s="19">
        <f>IFERROR(VLOOKUP($A45,'[1]Donor-Served OBs'!A:N,12,0),0)</f>
        <v>0</v>
      </c>
      <c r="U45" s="19">
        <f>ROUNDUP(IF(A45=0,0,IF(A45=0,0,IFERROR(VLOOKUP($A45,'[1]Donor''s Assigned Kilos'!A:O,7,0),0))),0)</f>
        <v>0</v>
      </c>
      <c r="V45" s="19">
        <f>IF(A45=0,0,IFERROR(SUMIFS([1]Population!Q:Q,[1]Population!J:J,'MASTER-2025'!A45),0))</f>
        <v>0</v>
      </c>
      <c r="W45" s="20">
        <f>IFERROR(VLOOKUP($A45,'[1]Donor-Served OBs'!A:N,10,0),0)</f>
        <v>0</v>
      </c>
      <c r="X45" s="20">
        <f>ROUNDUP(IF(A45=0,0,IFERROR(VLOOKUP($A45,'[1]Donor''s Assigned Kilos'!A:N,5,0),0)),0)</f>
        <v>0</v>
      </c>
      <c r="Y45" s="20">
        <f>IF(A45=0,0,IFERROR(SUMIFS([1]Population!O:O,[1]Population!J:J,'MASTER-2025'!A45),0))</f>
        <v>0</v>
      </c>
      <c r="Z45" s="18">
        <f>IFERROR(VLOOKUP($A45,'[1]Donor-Served OBs'!A:N,6,0),0)</f>
        <v>0</v>
      </c>
      <c r="AA45" s="18">
        <f>ROUNDUP(IF(A45=0,0,IFERROR(VLOOKUP($A45,'[1]Donor''s Assigned Kilos'!A:N,11,0),0)),0)</f>
        <v>0</v>
      </c>
      <c r="AB45" s="18">
        <f>IF(A45=0,0,IFERROR(SUMIFS([1]Population!U:U,[1]Population!J:J,'MASTER-2025'!A45),0))</f>
        <v>0</v>
      </c>
      <c r="AC45" s="19">
        <f>IFERROR(VLOOKUP($A45,'[1]Donor-Served OBs'!A:N,7,0),0)</f>
        <v>0</v>
      </c>
      <c r="AD45" s="19">
        <f>ROUNDUP(IF(A45=0,0,IFERROR(VLOOKUP($A45,'[1]Donor''s Assigned Kilos'!A:N,8,0),0)),0)</f>
        <v>0</v>
      </c>
      <c r="AE45" s="19">
        <f>IF(A45=0,0,IFERROR(SUMIFS([1]Population!R:R,[1]Population!J:J,'MASTER-2025'!A45),0))</f>
        <v>0</v>
      </c>
      <c r="AF45" s="20">
        <f>IFERROR(VLOOKUP($A45,'[1]Donor-Served OBs'!A:N,8,0),0)</f>
        <v>0</v>
      </c>
      <c r="AG45" s="20">
        <f>ROUNDUP(IF(A45=0,0,IFERROR(VLOOKUP($A45,'[1]Donor''s Assigned Kilos'!A:N,6,0),0)),0)</f>
        <v>0</v>
      </c>
      <c r="AH45" s="20">
        <f>IF(A45=0,0,IFERROR(SUMIFS([1]Population!P:P,[1]Population!J:J,'MASTER-2025'!A45),0))</f>
        <v>0</v>
      </c>
      <c r="AI45" s="18">
        <f>IFERROR(VLOOKUP($A45,'[1]Donor-Served OBs'!A:N,9,0),0)</f>
        <v>0</v>
      </c>
      <c r="AJ45" s="18">
        <f>ROUNDUP(IF(A45=0,0,IFERROR(VLOOKUP($A45,'[1]Donor''s Assigned Kilos'!A:N,12,0),0)),0)</f>
        <v>0</v>
      </c>
      <c r="AK45" s="18">
        <f>IF(A45=0,0,IFERROR(SUMIFS([1]Population!V:V,[1]Population!J:J,'MASTER-2025'!A45),0))</f>
        <v>0</v>
      </c>
      <c r="AL45" s="19">
        <f>IFERROR(VLOOKUP($A45,'[1]Donor-Served OBs'!A:N,16,0),0)</f>
        <v>0</v>
      </c>
      <c r="AM45" s="19">
        <f>ROUNDUP(IF(A45=0,0,IFERROR(VLOOKUP($A45,'[1]Donor''s Assigned Kilos'!A:O,16,0),0)),0)</f>
        <v>0</v>
      </c>
      <c r="AN45" s="19">
        <f>IF(A45=0,0,IFERROR(SUMIFS([1]Population!Z:Z,[1]Population!J:J,'MASTER-2025'!A45),0))</f>
        <v>0</v>
      </c>
      <c r="AO45" s="20">
        <f>IFERROR(VLOOKUP($A45,'[1]Donor-Served OBs'!A:N,11,0),0)</f>
        <v>0</v>
      </c>
      <c r="AP45" s="20">
        <f>ROUNDUP(IF(A45=0,0,IFERROR(VLOOKUP($A45,'[1]Donor''s Assigned Kilos'!A:N,13,0),0)),0)</f>
        <v>0</v>
      </c>
      <c r="AQ45" s="20">
        <f>IF(A45=0,0,IFERROR(SUMIFS([1]Population!W:W,[1]Population!J:J,'MASTER-2025'!A45),0))</f>
        <v>0</v>
      </c>
      <c r="AR45" s="18">
        <f>IFERROR(VLOOKUP($A45,'[1]Donor-Served OBs'!A:N,5,0),0)</f>
        <v>0</v>
      </c>
      <c r="AS45" s="18">
        <f>ROUNDUP(IF(A45=0,0,IFERROR(VLOOKUP($A45,'[1]Donor''s Assigned Kilos'!A:N,10,0),0)),0)</f>
        <v>0</v>
      </c>
      <c r="AT45" s="18">
        <f>IF(A45=0,0,IFERROR(SUMIFS([1]Population!T:T,[1]Population!J:J,'MASTER-2025'!A45),0))</f>
        <v>0</v>
      </c>
      <c r="AU45" s="19">
        <f>IFERROR(VLOOKUP($A45,'[1]Donor-Served OBs'!A:N,13,0),0)</f>
        <v>0</v>
      </c>
      <c r="AV45" s="19">
        <f>ROUNDUP(IF(A45=0,0,IFERROR(VLOOKUP($A45,'[1]Donor''s Assigned Kilos'!A:N,14,0),0)),0)</f>
        <v>0</v>
      </c>
      <c r="AW45" s="19">
        <f>IF(A45=0,0,IFERROR(SUMIFS([1]Population!X:X,[1]Population!J:J,'MASTER-2025'!A45),0))</f>
        <v>0</v>
      </c>
      <c r="AX45" s="20">
        <f>IFERROR(VLOOKUP($A45,'[1]Donor-Served OBs'!A:N,16,0),0)</f>
        <v>0</v>
      </c>
      <c r="AY45" s="20">
        <f>ROUNDUP(IF(A45=0,0,IFERROR(VLOOKUP($A45,'[1]Donor''s Assigned Kilos'!A:O,16,0),0)),0)</f>
        <v>0</v>
      </c>
      <c r="AZ45" s="20">
        <f>IF(A45=0,0,IFERROR(SUMIFS([1]Population!Y:Y,[1]Population!J:J,'MASTER-2025'!A45),0))</f>
        <v>0</v>
      </c>
      <c r="BA45" s="21">
        <f t="shared" si="15"/>
        <v>0</v>
      </c>
      <c r="BB45" s="21">
        <f t="shared" si="23"/>
        <v>0</v>
      </c>
      <c r="BC45" s="21">
        <f t="shared" si="24"/>
        <v>0</v>
      </c>
      <c r="BD45" s="21">
        <f t="shared" si="26"/>
        <v>0</v>
      </c>
      <c r="BE45" s="22" t="e">
        <f>IF(A45=0,0,SUMIFS([1]Population!C:C,[1]Population!A:A,'MASTER-2025'!A45))</f>
        <v>#VALUE!</v>
      </c>
      <c r="BF45" s="22" t="e">
        <f>IF(A45=0,0,SUMIFS([1]Population!D:D,[1]Population!A:A,'MASTER-2025'!A45))</f>
        <v>#VALUE!</v>
      </c>
      <c r="BG45" s="22" t="e">
        <f>IF(A45=0,0,SUMIFS([1]Population!E:E,[1]Population!A:A,'MASTER-2025'!A45))</f>
        <v>#VALUE!</v>
      </c>
      <c r="BH45" s="22" t="e">
        <f>IF(A45=0,0,SUMIFS([1]Population!F:F,[1]Population!A:A,'MASTER-2025'!A45))</f>
        <v>#VALUE!</v>
      </c>
      <c r="BI45" s="22" t="e">
        <f t="shared" si="18"/>
        <v>#VALUE!</v>
      </c>
      <c r="BJ45" s="23" t="e">
        <f t="shared" si="6"/>
        <v>#VALUE!</v>
      </c>
      <c r="BK45" s="22" t="e">
        <f>IF(A45=0,0,SUMIFS([1]Population!G:G,[1]Population!A:A,'MASTER-2025'!A45))</f>
        <v>#VALUE!</v>
      </c>
      <c r="BL45" s="24" cm="1">
        <f t="array" ref="BL45:BW45">IFERROR(VLOOKUP(A45,'[1]Now-OB-kg-POB-25'!A:AQ,{3,4,5,6,7,8,9,10,11,12,13,14},0),0)</f>
        <v>0</v>
      </c>
      <c r="BM45" s="24">
        <v>45</v>
      </c>
      <c r="BN45" s="24">
        <v>60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f t="shared" si="7"/>
        <v>105</v>
      </c>
      <c r="BY45" s="25" cm="1">
        <f t="array" ref="BY45:CJ45">IFERROR(VLOOKUP(A45,'[1]Now-OB-kg-POB-25'!A:AQ,{17,18,19,20,21,22,23,24,25,26,27,28},0),0)</f>
        <v>1409</v>
      </c>
      <c r="BZ45" s="25">
        <v>987</v>
      </c>
      <c r="CA45" s="25">
        <v>818</v>
      </c>
      <c r="CB45" s="25">
        <v>0</v>
      </c>
      <c r="CC45" s="25">
        <v>0</v>
      </c>
      <c r="CD45" s="25">
        <v>0</v>
      </c>
      <c r="CE45" s="25">
        <v>0</v>
      </c>
      <c r="CF45" s="25">
        <v>0</v>
      </c>
      <c r="CG45" s="25">
        <v>0</v>
      </c>
      <c r="CH45" s="25">
        <v>0</v>
      </c>
      <c r="CI45" s="25">
        <v>0</v>
      </c>
      <c r="CJ45" s="25">
        <v>0</v>
      </c>
      <c r="CK45" s="25">
        <f t="shared" si="8"/>
        <v>3214</v>
      </c>
      <c r="CL45" s="26" cm="1">
        <f t="array" ref="CL45:CW45">IFERROR(VLOOKUP(A45,'[1]Now-OB-kg-POB-25'!A:AQ,{31,32,33,34,35,36,37,38,39,40,41,42},0),0)</f>
        <v>0</v>
      </c>
      <c r="CM45" s="26">
        <v>12662</v>
      </c>
      <c r="CN45" s="26">
        <v>15214</v>
      </c>
      <c r="CO45" s="26">
        <v>0</v>
      </c>
      <c r="CP45" s="26">
        <v>0</v>
      </c>
      <c r="CQ45" s="26">
        <v>0</v>
      </c>
      <c r="CR45" s="26">
        <v>0</v>
      </c>
      <c r="CS45" s="26">
        <v>0</v>
      </c>
      <c r="CT45" s="26">
        <v>0</v>
      </c>
      <c r="CU45" s="26">
        <v>0</v>
      </c>
      <c r="CV45" s="26">
        <v>0</v>
      </c>
      <c r="CW45" s="26">
        <v>0</v>
      </c>
      <c r="CX45" s="26">
        <f t="shared" si="9"/>
        <v>27876</v>
      </c>
      <c r="CY45" s="14" t="str">
        <f>IF(A45=0,0,IFERROR(VLOOKUP(A45,'[1]Info Donantes'!C:F,2,0),"Sin Contacto"))</f>
        <v>Sin Contacto</v>
      </c>
      <c r="CZ45" s="14" t="str">
        <f>IF(A45=0,0,IFERROR(VLOOKUP(A45,'[1]Info Donantes'!C:F,3,0),"Sin Correo"))</f>
        <v>Sin Correo</v>
      </c>
      <c r="DA45" s="14" t="str">
        <f>IF(A45=0,0,IFERROR(VLOOKUP(A45,'[1]Info Donantes'!C:F,4,0),"Sin Telefono"))</f>
        <v>Sin Telefono</v>
      </c>
      <c r="DB45" s="14" t="s">
        <v>193</v>
      </c>
    </row>
    <row r="46" spans="1:106" x14ac:dyDescent="0.55000000000000004">
      <c r="A46" s="14" t="s">
        <v>194</v>
      </c>
      <c r="B46" s="15">
        <f>INT(IFERROR(VLOOKUP(A46,'[1]Donor Summary'!C:F,3,0),0))</f>
        <v>0</v>
      </c>
      <c r="C46" s="15">
        <f>INT(ROUND(IFERROR(VLOOKUP(A46,'[1]Donor Summary'!C:F,4,0),0),1))</f>
        <v>826</v>
      </c>
      <c r="D46" s="16">
        <f t="shared" si="19"/>
        <v>826</v>
      </c>
      <c r="E46" s="17" t="str">
        <f t="shared" si="20"/>
        <v>100.00%</v>
      </c>
      <c r="F46" s="17" t="str">
        <f t="shared" si="21"/>
        <v>0.0%</v>
      </c>
      <c r="G46" s="15">
        <f t="shared" si="25"/>
        <v>2478</v>
      </c>
      <c r="H46" s="18"/>
      <c r="I46" s="18">
        <f>IFERROR(VLOOKUP(A46,'[1]Lot All by Part'!T:Y,6,0),0)</f>
        <v>0</v>
      </c>
      <c r="J46" s="18"/>
      <c r="K46" s="19">
        <f>IFERROR(VLOOKUP($A46,'[1]Donor-Served OBs'!A:N,3,0),0)</f>
        <v>13</v>
      </c>
      <c r="L46" s="19">
        <f>ROUNDUP(IF(A46=0,0,IFERROR(VLOOKUP($A46,'[1]Donor''s Assigned Kilos'!A:O,3,0),0)),0)</f>
        <v>146</v>
      </c>
      <c r="M46" s="19">
        <f>IF(A46=0,0,IFERROR(SUMIFS([1]Population!M:M,[1]Population!J:J,'MASTER-2025'!A46),0))</f>
        <v>0</v>
      </c>
      <c r="N46" s="20">
        <f>IFERROR(VLOOKUP($A46,'[1]Donor-Served OBs'!A:N,4,0),0)</f>
        <v>27</v>
      </c>
      <c r="O46" s="20">
        <f>ROUNDUP(IF(A46=0,0,IFERROR(VLOOKUP($A46,'[1]Donor''s Assigned Kilos'!A:O,4,0),0)),0)</f>
        <v>241</v>
      </c>
      <c r="P46" s="20">
        <f>IF(A46=0,0,IFERROR(SUMIFS([1]Population!N:N,[1]Population!J:J,'MASTER-2025'!A46),0))</f>
        <v>0</v>
      </c>
      <c r="Q46" s="18">
        <f>IFERROR(VLOOKUP($A46,'[1]Donor-Served OBs'!A:N,2,0),0)</f>
        <v>3</v>
      </c>
      <c r="R46" s="18">
        <f>ROUNDUP(ROUND(IF(A46=0,0,IFERROR(VLOOKUP($A46,'[1]Donor''s Assigned Kilos'!A:O,9,0),0)),1),0)</f>
        <v>18</v>
      </c>
      <c r="S46" s="18">
        <f>IF(A46=0,0,IFERROR(SUMIFS([1]Population!S:S,[1]Population!J:J,'MASTER-2025'!A46),0))</f>
        <v>0</v>
      </c>
      <c r="T46" s="19">
        <f>IFERROR(VLOOKUP($A46,'[1]Donor-Served OBs'!A:N,12,0),0)</f>
        <v>5</v>
      </c>
      <c r="U46" s="19">
        <f>ROUNDUP(IF(A46=0,0,IF(A46=0,0,IFERROR(VLOOKUP($A46,'[1]Donor''s Assigned Kilos'!A:O,7,0),0))),0)</f>
        <v>49</v>
      </c>
      <c r="V46" s="19">
        <f>IF(A46=0,0,IFERROR(SUMIFS([1]Population!Q:Q,[1]Population!J:J,'MASTER-2025'!A46),0))</f>
        <v>0</v>
      </c>
      <c r="W46" s="20">
        <f>IFERROR(VLOOKUP($A46,'[1]Donor-Served OBs'!A:N,10,0),0)</f>
        <v>7</v>
      </c>
      <c r="X46" s="20">
        <f>ROUNDUP(IF(A46=0,0,IFERROR(VLOOKUP($A46,'[1]Donor''s Assigned Kilos'!A:N,5,0),0)),0)</f>
        <v>42</v>
      </c>
      <c r="Y46" s="20">
        <f>IF(A46=0,0,IFERROR(SUMIFS([1]Population!O:O,[1]Population!J:J,'MASTER-2025'!A46),0))</f>
        <v>0</v>
      </c>
      <c r="Z46" s="18">
        <f>IFERROR(VLOOKUP($A46,'[1]Donor-Served OBs'!A:N,6,0),0)</f>
        <v>0</v>
      </c>
      <c r="AA46" s="18">
        <f>ROUNDUP(IF(A46=0,0,IFERROR(VLOOKUP($A46,'[1]Donor''s Assigned Kilos'!A:N,11,0),0)),0)</f>
        <v>0</v>
      </c>
      <c r="AB46" s="18">
        <f>IF(A46=0,0,IFERROR(SUMIFS([1]Population!U:U,[1]Population!J:J,'MASTER-2025'!A46),0))</f>
        <v>0</v>
      </c>
      <c r="AC46" s="19">
        <f>IFERROR(VLOOKUP($A46,'[1]Donor-Served OBs'!A:N,7,0),0)</f>
        <v>3</v>
      </c>
      <c r="AD46" s="19">
        <f>ROUNDUP(IF(A46=0,0,IFERROR(VLOOKUP($A46,'[1]Donor''s Assigned Kilos'!A:N,8,0),0)),0)</f>
        <v>18</v>
      </c>
      <c r="AE46" s="19">
        <f>IF(A46=0,0,IFERROR(SUMIFS([1]Population!R:R,[1]Population!J:J,'MASTER-2025'!A46),0))</f>
        <v>0</v>
      </c>
      <c r="AF46" s="20">
        <f>IFERROR(VLOOKUP($A46,'[1]Donor-Served OBs'!A:N,8,0),0)</f>
        <v>1</v>
      </c>
      <c r="AG46" s="20">
        <f>ROUNDUP(IF(A46=0,0,IFERROR(VLOOKUP($A46,'[1]Donor''s Assigned Kilos'!A:N,6,0),0)),0)</f>
        <v>8</v>
      </c>
      <c r="AH46" s="20">
        <f>IF(A46=0,0,IFERROR(SUMIFS([1]Population!P:P,[1]Population!J:J,'MASTER-2025'!A46),0))</f>
        <v>0</v>
      </c>
      <c r="AI46" s="18">
        <f>IFERROR(VLOOKUP($A46,'[1]Donor-Served OBs'!A:N,9,0),0)</f>
        <v>1</v>
      </c>
      <c r="AJ46" s="18">
        <f>ROUNDUP(IF(A46=0,0,IFERROR(VLOOKUP($A46,'[1]Donor''s Assigned Kilos'!A:N,12,0),0)),0)</f>
        <v>6</v>
      </c>
      <c r="AK46" s="18">
        <f>IF(A46=0,0,IFERROR(SUMIFS([1]Population!V:V,[1]Population!J:J,'MASTER-2025'!A46),0))</f>
        <v>0</v>
      </c>
      <c r="AL46" s="19">
        <f>IFERROR(VLOOKUP($A46,'[1]Donor-Served OBs'!A:N,16,0),0)</f>
        <v>0</v>
      </c>
      <c r="AM46" s="19">
        <f>ROUNDUP(IF(A46=0,0,IFERROR(VLOOKUP($A46,'[1]Donor''s Assigned Kilos'!A:O,16,0),0)),0)</f>
        <v>0</v>
      </c>
      <c r="AN46" s="19">
        <f>IF(A46=0,0,IFERROR(SUMIFS([1]Population!Z:Z,[1]Population!J:J,'MASTER-2025'!A46),0))</f>
        <v>0</v>
      </c>
      <c r="AO46" s="20">
        <f>IFERROR(VLOOKUP($A46,'[1]Donor-Served OBs'!A:N,11,0),0)</f>
        <v>0</v>
      </c>
      <c r="AP46" s="20">
        <f>ROUNDUP(IF(A46=0,0,IFERROR(VLOOKUP($A46,'[1]Donor''s Assigned Kilos'!A:N,13,0),0)),0)</f>
        <v>0</v>
      </c>
      <c r="AQ46" s="20">
        <f>IF(A46=0,0,IFERROR(SUMIFS([1]Population!W:W,[1]Population!J:J,'MASTER-2025'!A46),0))</f>
        <v>0</v>
      </c>
      <c r="AR46" s="18">
        <f>IFERROR(VLOOKUP($A46,'[1]Donor-Served OBs'!A:N,5,0),0)</f>
        <v>0</v>
      </c>
      <c r="AS46" s="18">
        <f>ROUNDUP(IF(A46=0,0,IFERROR(VLOOKUP($A46,'[1]Donor''s Assigned Kilos'!A:N,10,0),0)),0)</f>
        <v>0</v>
      </c>
      <c r="AT46" s="18">
        <f>IF(A46=0,0,IFERROR(SUMIFS([1]Population!T:T,[1]Population!J:J,'MASTER-2025'!A46),0))</f>
        <v>0</v>
      </c>
      <c r="AU46" s="19">
        <f>IFERROR(VLOOKUP($A46,'[1]Donor-Served OBs'!A:N,13,0),0)</f>
        <v>0</v>
      </c>
      <c r="AV46" s="19">
        <f>ROUNDUP(IF(A46=0,0,IFERROR(VLOOKUP($A46,'[1]Donor''s Assigned Kilos'!A:N,14,0),0)),0)</f>
        <v>0</v>
      </c>
      <c r="AW46" s="19">
        <f>IF(A46=0,0,IFERROR(SUMIFS([1]Population!X:X,[1]Population!J:J,'MASTER-2025'!A46),0))</f>
        <v>0</v>
      </c>
      <c r="AX46" s="20">
        <f>IFERROR(VLOOKUP($A46,'[1]Donor-Served OBs'!A:N,16,0),0)</f>
        <v>0</v>
      </c>
      <c r="AY46" s="20">
        <f>ROUNDUP(IF(A46=0,0,IFERROR(VLOOKUP($A46,'[1]Donor''s Assigned Kilos'!A:O,16,0),0)),0)</f>
        <v>0</v>
      </c>
      <c r="AZ46" s="20">
        <f>IF(A46=0,0,IFERROR(SUMIFS([1]Population!Y:Y,[1]Population!J:J,'MASTER-2025'!A46),0))</f>
        <v>0</v>
      </c>
      <c r="BA46" s="21">
        <f t="shared" si="15"/>
        <v>60</v>
      </c>
      <c r="BB46" s="21">
        <f t="shared" si="23"/>
        <v>528</v>
      </c>
      <c r="BC46" s="21">
        <f t="shared" si="24"/>
        <v>454</v>
      </c>
      <c r="BD46" s="21">
        <f t="shared" si="26"/>
        <v>0</v>
      </c>
      <c r="BE46" s="22" t="e">
        <f>IF(A46=0,0,SUMIFS([1]Population!C:C,[1]Population!A:A,'MASTER-2025'!A46))</f>
        <v>#VALUE!</v>
      </c>
      <c r="BF46" s="22" t="e">
        <f>IF(A46=0,0,SUMIFS([1]Population!D:D,[1]Population!A:A,'MASTER-2025'!A46))</f>
        <v>#VALUE!</v>
      </c>
      <c r="BG46" s="22" t="e">
        <f>IF(A46=0,0,SUMIFS([1]Population!E:E,[1]Population!A:A,'MASTER-2025'!A46))</f>
        <v>#VALUE!</v>
      </c>
      <c r="BH46" s="22" t="e">
        <f>IF(A46=0,0,SUMIFS([1]Population!F:F,[1]Population!A:A,'MASTER-2025'!A46))</f>
        <v>#VALUE!</v>
      </c>
      <c r="BI46" s="22" t="e">
        <f t="shared" si="18"/>
        <v>#VALUE!</v>
      </c>
      <c r="BJ46" s="23" t="e">
        <f t="shared" si="6"/>
        <v>#VALUE!</v>
      </c>
      <c r="BK46" s="22" t="e">
        <f>IF(A46=0,0,SUMIFS([1]Population!G:G,[1]Population!A:A,'MASTER-2025'!A46))</f>
        <v>#VALUE!</v>
      </c>
      <c r="BL46" s="24" cm="1">
        <f t="array" ref="BL46:BW46">IFERROR(VLOOKUP(A46,'[1]Now-OB-kg-POB-25'!A:AQ,{3,4,5,6,7,8,9,10,11,12,13,14},0),0)</f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f t="shared" si="7"/>
        <v>0</v>
      </c>
      <c r="BY46" s="25" cm="1">
        <f t="array" ref="BY46:CJ46">IFERROR(VLOOKUP(A46,'[1]Now-OB-kg-POB-25'!A:AQ,{17,18,19,20,21,22,23,24,25,26,27,28},0),0)</f>
        <v>0</v>
      </c>
      <c r="BZ46" s="25">
        <v>0</v>
      </c>
      <c r="CA46" s="25">
        <v>0</v>
      </c>
      <c r="CB46" s="25">
        <v>0</v>
      </c>
      <c r="CC46" s="25">
        <v>0</v>
      </c>
      <c r="CD46" s="25">
        <v>0</v>
      </c>
      <c r="CE46" s="25">
        <v>0</v>
      </c>
      <c r="CF46" s="25">
        <v>0</v>
      </c>
      <c r="CG46" s="25">
        <v>0</v>
      </c>
      <c r="CH46" s="25">
        <v>0</v>
      </c>
      <c r="CI46" s="25">
        <v>0</v>
      </c>
      <c r="CJ46" s="25">
        <v>0</v>
      </c>
      <c r="CK46" s="25">
        <f t="shared" si="8"/>
        <v>0</v>
      </c>
      <c r="CL46" s="26" cm="1">
        <f t="array" ref="CL46:CW46">IFERROR(VLOOKUP(A46,'[1]Now-OB-kg-POB-25'!A:AQ,{31,32,33,34,35,36,37,38,39,40,41,42},0),0)</f>
        <v>0</v>
      </c>
      <c r="CM46" s="26">
        <v>0</v>
      </c>
      <c r="CN46" s="26">
        <v>0</v>
      </c>
      <c r="CO46" s="26">
        <v>0</v>
      </c>
      <c r="CP46" s="26">
        <v>0</v>
      </c>
      <c r="CQ46" s="26">
        <v>0</v>
      </c>
      <c r="CR46" s="26">
        <v>0</v>
      </c>
      <c r="CS46" s="26">
        <v>0</v>
      </c>
      <c r="CT46" s="26">
        <v>0</v>
      </c>
      <c r="CU46" s="26">
        <v>0</v>
      </c>
      <c r="CV46" s="26">
        <v>0</v>
      </c>
      <c r="CW46" s="26">
        <v>0</v>
      </c>
      <c r="CX46" s="26">
        <f t="shared" si="9"/>
        <v>0</v>
      </c>
      <c r="CY46" s="14" t="str">
        <f>IF(A46=0,0,IFERROR(VLOOKUP(A46,'[1]Info Donantes'!C:F,2,0),"Sin Contacto"))</f>
        <v>Sin Contacto</v>
      </c>
      <c r="CZ46" s="14" t="str">
        <f>IF(A46=0,0,IFERROR(VLOOKUP(A46,'[1]Info Donantes'!C:F,3,0),"Sin Correo"))</f>
        <v>Sin Correo</v>
      </c>
      <c r="DA46" s="14" t="str">
        <f>IF(A46=0,0,IFERROR(VLOOKUP(A46,'[1]Info Donantes'!C:F,4,0),"Sin Telefono"))</f>
        <v>Sin Telefono</v>
      </c>
      <c r="DB46" s="14" t="s">
        <v>195</v>
      </c>
    </row>
    <row r="47" spans="1:106" x14ac:dyDescent="0.55000000000000004">
      <c r="A47" s="14" t="s">
        <v>196</v>
      </c>
      <c r="B47" s="15">
        <f>INT(IFERROR(VLOOKUP(A47,'[1]Donor Summary'!C:F,3,0),0))</f>
        <v>0</v>
      </c>
      <c r="C47" s="15">
        <f>INT(ROUND(IFERROR(VLOOKUP(A47,'[1]Donor Summary'!C:F,4,0),0),1))</f>
        <v>0</v>
      </c>
      <c r="D47" s="16">
        <f t="shared" si="19"/>
        <v>0</v>
      </c>
      <c r="E47" s="17" t="str">
        <f t="shared" si="20"/>
        <v>0.00%</v>
      </c>
      <c r="F47" s="17" t="str">
        <f t="shared" si="21"/>
        <v>0.0%</v>
      </c>
      <c r="G47" s="15">
        <f t="shared" si="25"/>
        <v>0</v>
      </c>
      <c r="H47" s="18"/>
      <c r="I47" s="18">
        <f>IFERROR(VLOOKUP(A47,'[1]Lot All by Part'!T:Y,6,0),0)</f>
        <v>0</v>
      </c>
      <c r="J47" s="18"/>
      <c r="K47" s="19">
        <f>IFERROR(VLOOKUP($A47,'[1]Donor-Served OBs'!A:N,3,0),0)</f>
        <v>0</v>
      </c>
      <c r="L47" s="19">
        <f>ROUNDUP(IF(A47=0,0,IFERROR(VLOOKUP($A47,'[1]Donor''s Assigned Kilos'!A:O,3,0),0)),0)</f>
        <v>0</v>
      </c>
      <c r="M47" s="19">
        <f>IF(A47=0,0,IFERROR(SUMIFS([1]Population!M:M,[1]Population!J:J,'MASTER-2025'!A47),0))</f>
        <v>0</v>
      </c>
      <c r="N47" s="20">
        <f>IFERROR(VLOOKUP($A47,'[1]Donor-Served OBs'!A:N,4,0),0)</f>
        <v>0</v>
      </c>
      <c r="O47" s="20">
        <f>ROUNDUP(IF(A47=0,0,IFERROR(VLOOKUP($A47,'[1]Donor''s Assigned Kilos'!A:O,4,0),0)),0)</f>
        <v>0</v>
      </c>
      <c r="P47" s="20">
        <f>IF(A47=0,0,IFERROR(SUMIFS([1]Population!N:N,[1]Population!J:J,'MASTER-2025'!A47),0))</f>
        <v>0</v>
      </c>
      <c r="Q47" s="18">
        <f>IFERROR(VLOOKUP($A47,'[1]Donor-Served OBs'!A:N,2,0),0)</f>
        <v>0</v>
      </c>
      <c r="R47" s="18">
        <f>ROUNDUP(ROUND(IF(A47=0,0,IFERROR(VLOOKUP($A47,'[1]Donor''s Assigned Kilos'!A:O,9,0),0)),1),0)</f>
        <v>0</v>
      </c>
      <c r="S47" s="18">
        <f>IF(A47=0,0,IFERROR(SUMIFS([1]Population!S:S,[1]Population!J:J,'MASTER-2025'!A47),0))</f>
        <v>0</v>
      </c>
      <c r="T47" s="19">
        <f>IFERROR(VLOOKUP($A47,'[1]Donor-Served OBs'!A:N,12,0),0)</f>
        <v>0</v>
      </c>
      <c r="U47" s="19">
        <f>ROUNDUP(IF(A47=0,0,IF(A47=0,0,IFERROR(VLOOKUP($A47,'[1]Donor''s Assigned Kilos'!A:O,7,0),0))),0)</f>
        <v>0</v>
      </c>
      <c r="V47" s="19">
        <f>IF(A47=0,0,IFERROR(SUMIFS([1]Population!Q:Q,[1]Population!J:J,'MASTER-2025'!A47),0))</f>
        <v>0</v>
      </c>
      <c r="W47" s="20">
        <f>IFERROR(VLOOKUP($A47,'[1]Donor-Served OBs'!A:N,10,0),0)</f>
        <v>0</v>
      </c>
      <c r="X47" s="20">
        <f>ROUNDUP(IF(A47=0,0,IFERROR(VLOOKUP($A47,'[1]Donor''s Assigned Kilos'!A:N,5,0),0)),0)</f>
        <v>0</v>
      </c>
      <c r="Y47" s="20">
        <f>IF(A47=0,0,IFERROR(SUMIFS([1]Population!O:O,[1]Population!J:J,'MASTER-2025'!A47),0))</f>
        <v>0</v>
      </c>
      <c r="Z47" s="18">
        <f>IFERROR(VLOOKUP($A47,'[1]Donor-Served OBs'!A:N,6,0),0)</f>
        <v>0</v>
      </c>
      <c r="AA47" s="18">
        <f>ROUNDUP(IF(A47=0,0,IFERROR(VLOOKUP($A47,'[1]Donor''s Assigned Kilos'!A:N,11,0),0)),0)</f>
        <v>0</v>
      </c>
      <c r="AB47" s="18">
        <f>IF(A47=0,0,IFERROR(SUMIFS([1]Population!U:U,[1]Population!J:J,'MASTER-2025'!A47),0))</f>
        <v>0</v>
      </c>
      <c r="AC47" s="19">
        <f>IFERROR(VLOOKUP($A47,'[1]Donor-Served OBs'!A:N,7,0),0)</f>
        <v>0</v>
      </c>
      <c r="AD47" s="19">
        <f>ROUNDUP(IF(A47=0,0,IFERROR(VLOOKUP($A47,'[1]Donor''s Assigned Kilos'!A:N,8,0),0)),0)</f>
        <v>0</v>
      </c>
      <c r="AE47" s="19">
        <f>IF(A47=0,0,IFERROR(SUMIFS([1]Population!R:R,[1]Population!J:J,'MASTER-2025'!A47),0))</f>
        <v>0</v>
      </c>
      <c r="AF47" s="20">
        <f>IFERROR(VLOOKUP($A47,'[1]Donor-Served OBs'!A:N,8,0),0)</f>
        <v>0</v>
      </c>
      <c r="AG47" s="20">
        <f>ROUNDUP(IF(A47=0,0,IFERROR(VLOOKUP($A47,'[1]Donor''s Assigned Kilos'!A:N,6,0),0)),0)</f>
        <v>0</v>
      </c>
      <c r="AH47" s="20">
        <f>IF(A47=0,0,IFERROR(SUMIFS([1]Population!P:P,[1]Population!J:J,'MASTER-2025'!A47),0))</f>
        <v>0</v>
      </c>
      <c r="AI47" s="18">
        <f>IFERROR(VLOOKUP($A47,'[1]Donor-Served OBs'!A:N,9,0),0)</f>
        <v>0</v>
      </c>
      <c r="AJ47" s="18">
        <f>ROUNDUP(IF(A47=0,0,IFERROR(VLOOKUP($A47,'[1]Donor''s Assigned Kilos'!A:N,12,0),0)),0)</f>
        <v>0</v>
      </c>
      <c r="AK47" s="18">
        <f>IF(A47=0,0,IFERROR(SUMIFS([1]Population!V:V,[1]Population!J:J,'MASTER-2025'!A47),0))</f>
        <v>0</v>
      </c>
      <c r="AL47" s="19">
        <f>IFERROR(VLOOKUP($A47,'[1]Donor-Served OBs'!A:N,16,0),0)</f>
        <v>0</v>
      </c>
      <c r="AM47" s="19">
        <f>ROUNDUP(IF(A47=0,0,IFERROR(VLOOKUP($A47,'[1]Donor''s Assigned Kilos'!A:O,16,0),0)),0)</f>
        <v>0</v>
      </c>
      <c r="AN47" s="19">
        <f>IF(A47=0,0,IFERROR(SUMIFS([1]Population!Z:Z,[1]Population!J:J,'MASTER-2025'!A47),0))</f>
        <v>0</v>
      </c>
      <c r="AO47" s="20">
        <f>IFERROR(VLOOKUP($A47,'[1]Donor-Served OBs'!A:N,11,0),0)</f>
        <v>0</v>
      </c>
      <c r="AP47" s="20">
        <f>ROUNDUP(IF(A47=0,0,IFERROR(VLOOKUP($A47,'[1]Donor''s Assigned Kilos'!A:N,13,0),0)),0)</f>
        <v>0</v>
      </c>
      <c r="AQ47" s="20">
        <f>IF(A47=0,0,IFERROR(SUMIFS([1]Population!W:W,[1]Population!J:J,'MASTER-2025'!A47),0))</f>
        <v>0</v>
      </c>
      <c r="AR47" s="18">
        <f>IFERROR(VLOOKUP($A47,'[1]Donor-Served OBs'!A:N,5,0),0)</f>
        <v>0</v>
      </c>
      <c r="AS47" s="18">
        <f>ROUNDUP(IF(A47=0,0,IFERROR(VLOOKUP($A47,'[1]Donor''s Assigned Kilos'!A:N,10,0),0)),0)</f>
        <v>0</v>
      </c>
      <c r="AT47" s="18">
        <f>IF(A47=0,0,IFERROR(SUMIFS([1]Population!T:T,[1]Population!J:J,'MASTER-2025'!A47),0))</f>
        <v>0</v>
      </c>
      <c r="AU47" s="19">
        <f>IFERROR(VLOOKUP($A47,'[1]Donor-Served OBs'!A:N,13,0),0)</f>
        <v>0</v>
      </c>
      <c r="AV47" s="19">
        <f>ROUNDUP(IF(A47=0,0,IFERROR(VLOOKUP($A47,'[1]Donor''s Assigned Kilos'!A:N,14,0),0)),0)</f>
        <v>0</v>
      </c>
      <c r="AW47" s="19">
        <f>IF(A47=0,0,IFERROR(SUMIFS([1]Population!X:X,[1]Population!J:J,'MASTER-2025'!A47),0))</f>
        <v>0</v>
      </c>
      <c r="AX47" s="20">
        <f>IFERROR(VLOOKUP($A47,'[1]Donor-Served OBs'!A:N,16,0),0)</f>
        <v>0</v>
      </c>
      <c r="AY47" s="20">
        <f>ROUNDUP(IF(A47=0,0,IFERROR(VLOOKUP($A47,'[1]Donor''s Assigned Kilos'!A:O,16,0),0)),0)</f>
        <v>0</v>
      </c>
      <c r="AZ47" s="20">
        <f>IF(A47=0,0,IFERROR(SUMIFS([1]Population!Y:Y,[1]Population!J:J,'MASTER-2025'!A47),0))</f>
        <v>0</v>
      </c>
      <c r="BA47" s="21">
        <f t="shared" si="15"/>
        <v>0</v>
      </c>
      <c r="BB47" s="21">
        <f t="shared" si="23"/>
        <v>0</v>
      </c>
      <c r="BC47" s="21">
        <f t="shared" si="24"/>
        <v>0</v>
      </c>
      <c r="BD47" s="21">
        <f t="shared" si="26"/>
        <v>0</v>
      </c>
      <c r="BE47" s="22" t="e">
        <f>IF(A47=0,0,SUMIFS([1]Population!C:C,[1]Population!A:A,'MASTER-2025'!A47))</f>
        <v>#VALUE!</v>
      </c>
      <c r="BF47" s="22" t="e">
        <f>IF(A47=0,0,SUMIFS([1]Population!D:D,[1]Population!A:A,'MASTER-2025'!A47))</f>
        <v>#VALUE!</v>
      </c>
      <c r="BG47" s="22" t="e">
        <f>IF(A47=0,0,SUMIFS([1]Population!E:E,[1]Population!A:A,'MASTER-2025'!A47))</f>
        <v>#VALUE!</v>
      </c>
      <c r="BH47" s="22" t="e">
        <f>IF(A47=0,0,SUMIFS([1]Population!F:F,[1]Population!A:A,'MASTER-2025'!A47))</f>
        <v>#VALUE!</v>
      </c>
      <c r="BI47" s="22" t="e">
        <f t="shared" si="18"/>
        <v>#VALUE!</v>
      </c>
      <c r="BJ47" s="23" t="e">
        <f t="shared" si="6"/>
        <v>#VALUE!</v>
      </c>
      <c r="BK47" s="22" t="e">
        <f>IF(A47=0,0,SUMIFS([1]Population!G:G,[1]Population!A:A,'MASTER-2025'!A47))</f>
        <v>#VALUE!</v>
      </c>
      <c r="BL47" s="24" cm="1">
        <f t="array" ref="BL47:BW47">IFERROR(VLOOKUP(A47,'[1]Now-OB-kg-POB-25'!A:AQ,{3,4,5,6,7,8,9,10,11,12,13,14},0),0)</f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BX47" s="24">
        <f t="shared" si="7"/>
        <v>0</v>
      </c>
      <c r="BY47" s="25" cm="1">
        <f t="array" ref="BY47:CJ47">IFERROR(VLOOKUP(A47,'[1]Now-OB-kg-POB-25'!A:AQ,{17,18,19,20,21,22,23,24,25,26,27,28},0),0)</f>
        <v>0</v>
      </c>
      <c r="BZ47" s="25">
        <v>0</v>
      </c>
      <c r="CA47" s="25">
        <v>0</v>
      </c>
      <c r="CB47" s="25">
        <v>0</v>
      </c>
      <c r="CC47" s="25">
        <v>0</v>
      </c>
      <c r="CD47" s="25">
        <v>0</v>
      </c>
      <c r="CE47" s="25">
        <v>0</v>
      </c>
      <c r="CF47" s="25">
        <v>0</v>
      </c>
      <c r="CG47" s="25">
        <v>0</v>
      </c>
      <c r="CH47" s="25">
        <v>0</v>
      </c>
      <c r="CI47" s="25">
        <v>0</v>
      </c>
      <c r="CJ47" s="25">
        <v>0</v>
      </c>
      <c r="CK47" s="25">
        <f t="shared" si="8"/>
        <v>0</v>
      </c>
      <c r="CL47" s="26" cm="1">
        <f t="array" ref="CL47:CW47">IFERROR(VLOOKUP(A47,'[1]Now-OB-kg-POB-25'!A:AQ,{31,32,33,34,35,36,37,38,39,40,41,42},0),0)</f>
        <v>0</v>
      </c>
      <c r="CM47" s="26">
        <v>0</v>
      </c>
      <c r="CN47" s="26">
        <v>0</v>
      </c>
      <c r="CO47" s="26">
        <v>0</v>
      </c>
      <c r="CP47" s="26">
        <v>0</v>
      </c>
      <c r="CQ47" s="26">
        <v>0</v>
      </c>
      <c r="CR47" s="26">
        <v>0</v>
      </c>
      <c r="CS47" s="26">
        <v>0</v>
      </c>
      <c r="CT47" s="26">
        <v>0</v>
      </c>
      <c r="CU47" s="26">
        <v>0</v>
      </c>
      <c r="CV47" s="26">
        <v>0</v>
      </c>
      <c r="CW47" s="26">
        <v>0</v>
      </c>
      <c r="CX47" s="26">
        <f t="shared" si="9"/>
        <v>0</v>
      </c>
      <c r="CY47" s="14">
        <f>IF(A47=0,0,IFERROR(VLOOKUP(A47,'[1]Info Donantes'!C:F,2,0),"Sin Contacto"))</f>
        <v>0</v>
      </c>
      <c r="CZ47" s="14" t="str">
        <f>IF(A47=0,0,IFERROR(VLOOKUP(A47,'[1]Info Donantes'!C:F,3,0),"Sin Correo"))</f>
        <v>andreina.carrizo@nutriservipanama.net</v>
      </c>
      <c r="DA47" s="14" t="str">
        <f>IF(A47=0,0,IFERROR(VLOOKUP(A47,'[1]Info Donantes'!C:F,4,0),"Sin Telefono"))</f>
        <v>6319-9134</v>
      </c>
      <c r="DB47" s="14" t="s">
        <v>197</v>
      </c>
    </row>
    <row r="48" spans="1:106" x14ac:dyDescent="0.55000000000000004">
      <c r="A48" s="14" t="s">
        <v>198</v>
      </c>
      <c r="B48" s="15">
        <f>INT(IFERROR(VLOOKUP(A48,'[1]Donor Summary'!C:F,3,0),0))</f>
        <v>102</v>
      </c>
      <c r="C48" s="15">
        <f>INT(ROUND(IFERROR(VLOOKUP(A48,'[1]Donor Summary'!C:F,4,0),0),1))</f>
        <v>602</v>
      </c>
      <c r="D48" s="16">
        <f t="shared" si="19"/>
        <v>500</v>
      </c>
      <c r="E48" s="17" t="str">
        <f t="shared" si="20"/>
        <v>83.06%</v>
      </c>
      <c r="F48" s="17" t="str">
        <f t="shared" si="21"/>
        <v>16.9%</v>
      </c>
      <c r="G48" s="15">
        <f t="shared" si="25"/>
        <v>1500</v>
      </c>
      <c r="H48" s="18"/>
      <c r="I48" s="18">
        <f>IFERROR(VLOOKUP(A48,'[1]Lot All by Part'!T:Y,6,0),0)</f>
        <v>0</v>
      </c>
      <c r="J48" s="18"/>
      <c r="K48" s="19">
        <f>IFERROR(VLOOKUP($A48,'[1]Donor-Served OBs'!A:N,3,0),0)</f>
        <v>11</v>
      </c>
      <c r="L48" s="19">
        <f>ROUNDUP(IF(A48=0,0,IFERROR(VLOOKUP($A48,'[1]Donor''s Assigned Kilos'!A:O,3,0),0)),0)</f>
        <v>88</v>
      </c>
      <c r="M48" s="19">
        <f>IF(A48=0,0,IFERROR(SUMIFS([1]Population!M:M,[1]Population!J:J,'MASTER-2025'!A48),0))</f>
        <v>0</v>
      </c>
      <c r="N48" s="20">
        <f>IFERROR(VLOOKUP($A48,'[1]Donor-Served OBs'!A:N,4,0),0)</f>
        <v>20</v>
      </c>
      <c r="O48" s="20">
        <f>ROUNDUP(IF(A48=0,0,IFERROR(VLOOKUP($A48,'[1]Donor''s Assigned Kilos'!A:O,4,0),0)),0)</f>
        <v>134</v>
      </c>
      <c r="P48" s="20">
        <f>IF(A48=0,0,IFERROR(SUMIFS([1]Population!N:N,[1]Population!J:J,'MASTER-2025'!A48),0))</f>
        <v>0</v>
      </c>
      <c r="Q48" s="18">
        <f>IFERROR(VLOOKUP($A48,'[1]Donor-Served OBs'!A:N,2,0),0)</f>
        <v>5</v>
      </c>
      <c r="R48" s="18">
        <f>ROUNDUP(ROUND(IF(A48=0,0,IFERROR(VLOOKUP($A48,'[1]Donor''s Assigned Kilos'!A:O,9,0),0)),1),0)</f>
        <v>41</v>
      </c>
      <c r="S48" s="18">
        <f>IF(A48=0,0,IFERROR(SUMIFS([1]Population!S:S,[1]Population!J:J,'MASTER-2025'!A48),0))</f>
        <v>0</v>
      </c>
      <c r="T48" s="19">
        <f>IFERROR(VLOOKUP($A48,'[1]Donor-Served OBs'!A:N,12,0),0)</f>
        <v>3</v>
      </c>
      <c r="U48" s="19">
        <f>ROUNDUP(IF(A48=0,0,IF(A48=0,0,IFERROR(VLOOKUP($A48,'[1]Donor''s Assigned Kilos'!A:O,7,0),0))),0)</f>
        <v>4</v>
      </c>
      <c r="V48" s="19">
        <f>IF(A48=0,0,IFERROR(SUMIFS([1]Population!Q:Q,[1]Population!J:J,'MASTER-2025'!A48),0))</f>
        <v>0</v>
      </c>
      <c r="W48" s="20">
        <f>IFERROR(VLOOKUP($A48,'[1]Donor-Served OBs'!A:N,10,0),0)</f>
        <v>8</v>
      </c>
      <c r="X48" s="20">
        <f>ROUNDUP(IF(A48=0,0,IFERROR(VLOOKUP($A48,'[1]Donor''s Assigned Kilos'!A:N,5,0),0)),0)</f>
        <v>108</v>
      </c>
      <c r="Y48" s="20">
        <f>IF(A48=0,0,IFERROR(SUMIFS([1]Population!O:O,[1]Population!J:J,'MASTER-2025'!A48),0))</f>
        <v>0</v>
      </c>
      <c r="Z48" s="18">
        <f>IFERROR(VLOOKUP($A48,'[1]Donor-Served OBs'!A:N,6,0),0)</f>
        <v>0</v>
      </c>
      <c r="AA48" s="18">
        <f>ROUNDUP(IF(A48=0,0,IFERROR(VLOOKUP($A48,'[1]Donor''s Assigned Kilos'!A:N,11,0),0)),0)</f>
        <v>0</v>
      </c>
      <c r="AB48" s="18">
        <f>IF(A48=0,0,IFERROR(SUMIFS([1]Population!U:U,[1]Population!J:J,'MASTER-2025'!A48),0))</f>
        <v>0</v>
      </c>
      <c r="AC48" s="19">
        <f>IFERROR(VLOOKUP($A48,'[1]Donor-Served OBs'!A:N,7,0),0)</f>
        <v>2</v>
      </c>
      <c r="AD48" s="19">
        <f>ROUNDUP(IF(A48=0,0,IFERROR(VLOOKUP($A48,'[1]Donor''s Assigned Kilos'!A:N,8,0),0)),0)</f>
        <v>6</v>
      </c>
      <c r="AE48" s="19">
        <f>IF(A48=0,0,IFERROR(SUMIFS([1]Population!R:R,[1]Population!J:J,'MASTER-2025'!A48),0))</f>
        <v>0</v>
      </c>
      <c r="AF48" s="20">
        <f>IFERROR(VLOOKUP($A48,'[1]Donor-Served OBs'!A:N,8,0),0)</f>
        <v>2</v>
      </c>
      <c r="AG48" s="20">
        <f>ROUNDUP(IF(A48=0,0,IFERROR(VLOOKUP($A48,'[1]Donor''s Assigned Kilos'!A:N,6,0),0)),0)</f>
        <v>17</v>
      </c>
      <c r="AH48" s="20">
        <f>IF(A48=0,0,IFERROR(SUMIFS([1]Population!P:P,[1]Population!J:J,'MASTER-2025'!A48),0))</f>
        <v>0</v>
      </c>
      <c r="AI48" s="18">
        <f>IFERROR(VLOOKUP($A48,'[1]Donor-Served OBs'!A:N,9,0),0)</f>
        <v>0</v>
      </c>
      <c r="AJ48" s="18">
        <f>ROUNDUP(IF(A48=0,0,IFERROR(VLOOKUP($A48,'[1]Donor''s Assigned Kilos'!A:N,12,0),0)),0)</f>
        <v>0</v>
      </c>
      <c r="AK48" s="18">
        <f>IF(A48=0,0,IFERROR(SUMIFS([1]Population!V:V,[1]Population!J:J,'MASTER-2025'!A48),0))</f>
        <v>0</v>
      </c>
      <c r="AL48" s="19">
        <f>IFERROR(VLOOKUP($A48,'[1]Donor-Served OBs'!A:N,16,0),0)</f>
        <v>0</v>
      </c>
      <c r="AM48" s="19">
        <f>ROUNDUP(IF(A48=0,0,IFERROR(VLOOKUP($A48,'[1]Donor''s Assigned Kilos'!A:O,16,0),0)),0)</f>
        <v>0</v>
      </c>
      <c r="AN48" s="19">
        <f>IF(A48=0,0,IFERROR(SUMIFS([1]Population!Z:Z,[1]Population!J:J,'MASTER-2025'!A48),0))</f>
        <v>0</v>
      </c>
      <c r="AO48" s="20">
        <f>IFERROR(VLOOKUP($A48,'[1]Donor-Served OBs'!A:N,11,0),0)</f>
        <v>0</v>
      </c>
      <c r="AP48" s="20">
        <f>ROUNDUP(IF(A48=0,0,IFERROR(VLOOKUP($A48,'[1]Donor''s Assigned Kilos'!A:N,13,0),0)),0)</f>
        <v>0</v>
      </c>
      <c r="AQ48" s="20">
        <f>IF(A48=0,0,IFERROR(SUMIFS([1]Population!W:W,[1]Population!J:J,'MASTER-2025'!A48),0))</f>
        <v>0</v>
      </c>
      <c r="AR48" s="18">
        <f>IFERROR(VLOOKUP($A48,'[1]Donor-Served OBs'!A:N,5,0),0)</f>
        <v>0</v>
      </c>
      <c r="AS48" s="18">
        <f>ROUNDUP(IF(A48=0,0,IFERROR(VLOOKUP($A48,'[1]Donor''s Assigned Kilos'!A:N,10,0),0)),0)</f>
        <v>0</v>
      </c>
      <c r="AT48" s="18">
        <f>IF(A48=0,0,IFERROR(SUMIFS([1]Population!T:T,[1]Population!J:J,'MASTER-2025'!A48),0))</f>
        <v>0</v>
      </c>
      <c r="AU48" s="19">
        <f>IFERROR(VLOOKUP($A48,'[1]Donor-Served OBs'!A:N,13,0),0)</f>
        <v>0</v>
      </c>
      <c r="AV48" s="19">
        <f>ROUNDUP(IF(A48=0,0,IFERROR(VLOOKUP($A48,'[1]Donor''s Assigned Kilos'!A:N,14,0),0)),0)</f>
        <v>0</v>
      </c>
      <c r="AW48" s="19">
        <f>IF(A48=0,0,IFERROR(SUMIFS([1]Population!X:X,[1]Population!J:J,'MASTER-2025'!A48),0))</f>
        <v>0</v>
      </c>
      <c r="AX48" s="20">
        <f>IFERROR(VLOOKUP($A48,'[1]Donor-Served OBs'!A:N,16,0),0)</f>
        <v>0</v>
      </c>
      <c r="AY48" s="20">
        <f>ROUNDUP(IF(A48=0,0,IFERROR(VLOOKUP($A48,'[1]Donor''s Assigned Kilos'!A:O,16,0),0)),0)</f>
        <v>0</v>
      </c>
      <c r="AZ48" s="20">
        <f>IF(A48=0,0,IFERROR(SUMIFS([1]Population!Y:Y,[1]Population!J:J,'MASTER-2025'!A48),0))</f>
        <v>0</v>
      </c>
      <c r="BA48" s="21">
        <f t="shared" si="15"/>
        <v>51</v>
      </c>
      <c r="BB48" s="21">
        <f>INT(I48+L48+O48+R48+U48+X48+AA48+AD48+AG48+AJ48+AM48+AP48+AS48+AV48+AY48)</f>
        <v>398</v>
      </c>
      <c r="BC48" s="21">
        <f t="shared" si="24"/>
        <v>267</v>
      </c>
      <c r="BD48" s="21">
        <f t="shared" si="26"/>
        <v>0</v>
      </c>
      <c r="BE48" s="22" t="e">
        <f>IF(A48=0,0,SUMIFS([1]Population!C:C,[1]Population!A:A,'MASTER-2025'!A48))</f>
        <v>#VALUE!</v>
      </c>
      <c r="BF48" s="22" t="e">
        <f>IF(A48=0,0,SUMIFS([1]Population!D:D,[1]Population!A:A,'MASTER-2025'!A48))</f>
        <v>#VALUE!</v>
      </c>
      <c r="BG48" s="22" t="e">
        <f>IF(A48=0,0,SUMIFS([1]Population!E:E,[1]Population!A:A,'MASTER-2025'!A48))</f>
        <v>#VALUE!</v>
      </c>
      <c r="BH48" s="22" t="e">
        <f>IF(A48=0,0,SUMIFS([1]Population!F:F,[1]Population!A:A,'MASTER-2025'!A48))</f>
        <v>#VALUE!</v>
      </c>
      <c r="BI48" s="22" t="e">
        <f t="shared" si="18"/>
        <v>#VALUE!</v>
      </c>
      <c r="BJ48" s="23" t="e">
        <f t="shared" si="6"/>
        <v>#VALUE!</v>
      </c>
      <c r="BK48" s="22" t="e">
        <f>IF(A48=0,0,SUMIFS([1]Population!G:G,[1]Population!A:A,'MASTER-2025'!A48))</f>
        <v>#VALUE!</v>
      </c>
      <c r="BL48" s="24" cm="1">
        <f t="array" ref="BL48:BW48">IFERROR(VLOOKUP(A48,'[1]Now-OB-kg-POB-25'!A:AQ,{3,4,5,6,7,8,9,10,11,12,13,14},0),0)</f>
        <v>20</v>
      </c>
      <c r="BM48" s="24">
        <v>30</v>
      </c>
      <c r="BN48" s="24">
        <v>51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BX48" s="24">
        <f t="shared" si="7"/>
        <v>101</v>
      </c>
      <c r="BY48" s="25" cm="1">
        <f t="array" ref="BY48:CJ48">IFERROR(VLOOKUP(A48,'[1]Now-OB-kg-POB-25'!A:AQ,{17,18,19,20,21,22,23,24,25,26,27,28},0),0)</f>
        <v>865</v>
      </c>
      <c r="BZ48" s="25">
        <v>0</v>
      </c>
      <c r="CA48" s="25">
        <v>602</v>
      </c>
      <c r="CB48" s="25">
        <v>0</v>
      </c>
      <c r="CC48" s="25">
        <v>0</v>
      </c>
      <c r="CD48" s="25">
        <v>0</v>
      </c>
      <c r="CE48" s="25">
        <v>0</v>
      </c>
      <c r="CF48" s="25">
        <v>0</v>
      </c>
      <c r="CG48" s="25">
        <v>0</v>
      </c>
      <c r="CH48" s="25">
        <v>0</v>
      </c>
      <c r="CI48" s="25">
        <v>0</v>
      </c>
      <c r="CJ48" s="25">
        <v>0</v>
      </c>
      <c r="CK48" s="25">
        <f t="shared" si="8"/>
        <v>1467</v>
      </c>
      <c r="CL48" s="26" cm="1">
        <f t="array" ref="CL48:CW48">IFERROR(VLOOKUP(A48,'[1]Now-OB-kg-POB-25'!A:AQ,{31,32,33,34,35,36,37,38,39,40,41,42},0),0)</f>
        <v>8064</v>
      </c>
      <c r="CM48" s="26">
        <v>7023</v>
      </c>
      <c r="CN48" s="26">
        <v>13370</v>
      </c>
      <c r="CO48" s="26">
        <v>0</v>
      </c>
      <c r="CP48" s="26">
        <v>0</v>
      </c>
      <c r="CQ48" s="26">
        <v>0</v>
      </c>
      <c r="CR48" s="26">
        <v>0</v>
      </c>
      <c r="CS48" s="26">
        <v>0</v>
      </c>
      <c r="CT48" s="26">
        <v>0</v>
      </c>
      <c r="CU48" s="26">
        <v>0</v>
      </c>
      <c r="CV48" s="26">
        <v>0</v>
      </c>
      <c r="CW48" s="26">
        <v>0</v>
      </c>
      <c r="CX48" s="26">
        <f t="shared" si="9"/>
        <v>28457</v>
      </c>
      <c r="CY48" s="14" t="str">
        <f>IF(A48=0,0,IFERROR(VLOOKUP(A48,'[1]Info Donantes'!C:F,2,0),"Sin Contacto"))</f>
        <v>Joel Rivera</v>
      </c>
      <c r="CZ48" s="14" t="str">
        <f>IF(A48=0,0,IFERROR(VLOOKUP(A48,'[1]Info Donantes'!C:F,3,0),"Sin Correo"))</f>
        <v>joel.rivera@rimith.com</v>
      </c>
      <c r="DA48" s="14" t="str">
        <f>IF(A48=0,0,IFERROR(VLOOKUP(A48,'[1]Info Donantes'!C:F,4,0),"Sin Telefono"))</f>
        <v>309-5335</v>
      </c>
      <c r="DB48" s="14" t="s">
        <v>199</v>
      </c>
    </row>
    <row r="49" spans="1:106" x14ac:dyDescent="0.55000000000000004">
      <c r="A49" s="14" t="s">
        <v>200</v>
      </c>
      <c r="B49" s="15">
        <f>INT(IFERROR(VLOOKUP(A49,'[1]Donor Summary'!C:F,3,0),0))</f>
        <v>0</v>
      </c>
      <c r="C49" s="15">
        <f>INT(ROUND(IFERROR(VLOOKUP(A49,'[1]Donor Summary'!C:F,4,0),0),1))</f>
        <v>0</v>
      </c>
      <c r="D49" s="16">
        <f t="shared" si="19"/>
        <v>0</v>
      </c>
      <c r="E49" s="17" t="str">
        <f t="shared" si="20"/>
        <v>0.00%</v>
      </c>
      <c r="F49" s="17" t="str">
        <f t="shared" si="21"/>
        <v>0.0%</v>
      </c>
      <c r="G49" s="15">
        <f t="shared" si="25"/>
        <v>0</v>
      </c>
      <c r="H49" s="18"/>
      <c r="I49" s="18">
        <f>IFERROR(VLOOKUP(A49,'[1]Lot All by Part'!T:Y,6,0),0)</f>
        <v>0</v>
      </c>
      <c r="J49" s="18"/>
      <c r="K49" s="19">
        <f>IFERROR(VLOOKUP($A49,'[1]Donor-Served OBs'!A:N,3,0),0)</f>
        <v>0</v>
      </c>
      <c r="L49" s="19">
        <f>ROUNDUP(IF(A49=0,0,IFERROR(VLOOKUP($A49,'[1]Donor''s Assigned Kilos'!A:O,3,0),0)),0)</f>
        <v>0</v>
      </c>
      <c r="M49" s="19">
        <f>IF(A49=0,0,IFERROR(SUMIFS([1]Population!M:M,[1]Population!J:J,'MASTER-2025'!A49),0))</f>
        <v>0</v>
      </c>
      <c r="N49" s="20">
        <f>IFERROR(VLOOKUP($A49,'[1]Donor-Served OBs'!A:N,4,0),0)</f>
        <v>0</v>
      </c>
      <c r="O49" s="20">
        <f>ROUNDUP(IF(A49=0,0,IFERROR(VLOOKUP($A49,'[1]Donor''s Assigned Kilos'!A:O,4,0),0)),0)</f>
        <v>0</v>
      </c>
      <c r="P49" s="20">
        <f>IF(A49=0,0,IFERROR(SUMIFS([1]Population!N:N,[1]Population!J:J,'MASTER-2025'!A49),0))</f>
        <v>0</v>
      </c>
      <c r="Q49" s="18">
        <f>IFERROR(VLOOKUP($A49,'[1]Donor-Served OBs'!A:N,2,0),0)</f>
        <v>0</v>
      </c>
      <c r="R49" s="18">
        <f>ROUNDUP(ROUND(IF(A49=0,0,IFERROR(VLOOKUP($A49,'[1]Donor''s Assigned Kilos'!A:O,9,0),0)),1),0)</f>
        <v>0</v>
      </c>
      <c r="S49" s="18">
        <f>IF(A49=0,0,IFERROR(SUMIFS([1]Population!S:S,[1]Population!J:J,'MASTER-2025'!A49),0))</f>
        <v>0</v>
      </c>
      <c r="T49" s="19">
        <f>IFERROR(VLOOKUP($A49,'[1]Donor-Served OBs'!A:N,12,0),0)</f>
        <v>0</v>
      </c>
      <c r="U49" s="19">
        <f>ROUNDUP(IF(A49=0,0,IF(A49=0,0,IFERROR(VLOOKUP($A49,'[1]Donor''s Assigned Kilos'!A:O,7,0),0))),0)</f>
        <v>0</v>
      </c>
      <c r="V49" s="19">
        <f>IF(A49=0,0,IFERROR(SUMIFS([1]Population!Q:Q,[1]Population!J:J,'MASTER-2025'!A49),0))</f>
        <v>0</v>
      </c>
      <c r="W49" s="20">
        <f>IFERROR(VLOOKUP($A49,'[1]Donor-Served OBs'!A:N,10,0),0)</f>
        <v>0</v>
      </c>
      <c r="X49" s="20">
        <f>ROUNDUP(IF(A49=0,0,IFERROR(VLOOKUP($A49,'[1]Donor''s Assigned Kilos'!A:N,5,0),0)),0)</f>
        <v>0</v>
      </c>
      <c r="Y49" s="20">
        <f>IF(A49=0,0,IFERROR(SUMIFS([1]Population!O:O,[1]Population!J:J,'MASTER-2025'!A49),0))</f>
        <v>0</v>
      </c>
      <c r="Z49" s="18">
        <f>IFERROR(VLOOKUP($A49,'[1]Donor-Served OBs'!A:N,6,0),0)</f>
        <v>0</v>
      </c>
      <c r="AA49" s="18">
        <f>ROUNDUP(IF(A49=0,0,IFERROR(VLOOKUP($A49,'[1]Donor''s Assigned Kilos'!A:N,11,0),0)),0)</f>
        <v>0</v>
      </c>
      <c r="AB49" s="18">
        <f>IF(A49=0,0,IFERROR(SUMIFS([1]Population!U:U,[1]Population!J:J,'MASTER-2025'!A49),0))</f>
        <v>0</v>
      </c>
      <c r="AC49" s="19">
        <f>IFERROR(VLOOKUP($A49,'[1]Donor-Served OBs'!A:N,7,0),0)</f>
        <v>0</v>
      </c>
      <c r="AD49" s="19">
        <f>ROUNDUP(IF(A49=0,0,IFERROR(VLOOKUP($A49,'[1]Donor''s Assigned Kilos'!A:N,8,0),0)),0)</f>
        <v>0</v>
      </c>
      <c r="AE49" s="19">
        <f>IF(A49=0,0,IFERROR(SUMIFS([1]Population!R:R,[1]Population!J:J,'MASTER-2025'!A49),0))</f>
        <v>0</v>
      </c>
      <c r="AF49" s="20">
        <f>IFERROR(VLOOKUP($A49,'[1]Donor-Served OBs'!A:N,8,0),0)</f>
        <v>0</v>
      </c>
      <c r="AG49" s="20">
        <f>ROUNDUP(IF(A49=0,0,IFERROR(VLOOKUP($A49,'[1]Donor''s Assigned Kilos'!A:N,6,0),0)),0)</f>
        <v>0</v>
      </c>
      <c r="AH49" s="20">
        <f>IF(A49=0,0,IFERROR(SUMIFS([1]Population!P:P,[1]Population!J:J,'MASTER-2025'!A49),0))</f>
        <v>0</v>
      </c>
      <c r="AI49" s="18">
        <f>IFERROR(VLOOKUP($A49,'[1]Donor-Served OBs'!A:N,9,0),0)</f>
        <v>0</v>
      </c>
      <c r="AJ49" s="18">
        <f>ROUNDUP(IF(A49=0,0,IFERROR(VLOOKUP($A49,'[1]Donor''s Assigned Kilos'!A:N,12,0),0)),0)</f>
        <v>0</v>
      </c>
      <c r="AK49" s="18">
        <f>IF(A49=0,0,IFERROR(SUMIFS([1]Population!V:V,[1]Population!J:J,'MASTER-2025'!A49),0))</f>
        <v>0</v>
      </c>
      <c r="AL49" s="19">
        <f>IFERROR(VLOOKUP($A49,'[1]Donor-Served OBs'!A:N,16,0),0)</f>
        <v>0</v>
      </c>
      <c r="AM49" s="19">
        <f>ROUNDUP(IF(A49=0,0,IFERROR(VLOOKUP($A49,'[1]Donor''s Assigned Kilos'!A:O,16,0),0)),0)</f>
        <v>0</v>
      </c>
      <c r="AN49" s="19">
        <f>IF(A49=0,0,IFERROR(SUMIFS([1]Population!Z:Z,[1]Population!J:J,'MASTER-2025'!A49),0))</f>
        <v>0</v>
      </c>
      <c r="AO49" s="20">
        <f>IFERROR(VLOOKUP($A49,'[1]Donor-Served OBs'!A:N,11,0),0)</f>
        <v>0</v>
      </c>
      <c r="AP49" s="20">
        <f>ROUNDUP(IF(A49=0,0,IFERROR(VLOOKUP($A49,'[1]Donor''s Assigned Kilos'!A:N,13,0),0)),0)</f>
        <v>0</v>
      </c>
      <c r="AQ49" s="20">
        <f>IF(A49=0,0,IFERROR(SUMIFS([1]Population!W:W,[1]Population!J:J,'MASTER-2025'!A49),0))</f>
        <v>0</v>
      </c>
      <c r="AR49" s="18">
        <f>IFERROR(VLOOKUP($A49,'[1]Donor-Served OBs'!A:N,5,0),0)</f>
        <v>0</v>
      </c>
      <c r="AS49" s="18">
        <f>ROUNDUP(IF(A49=0,0,IFERROR(VLOOKUP($A49,'[1]Donor''s Assigned Kilos'!A:N,10,0),0)),0)</f>
        <v>0</v>
      </c>
      <c r="AT49" s="18">
        <f>IF(A49=0,0,IFERROR(SUMIFS([1]Population!T:T,[1]Population!J:J,'MASTER-2025'!A49),0))</f>
        <v>0</v>
      </c>
      <c r="AU49" s="19">
        <f>IFERROR(VLOOKUP($A49,'[1]Donor-Served OBs'!A:N,13,0),0)</f>
        <v>0</v>
      </c>
      <c r="AV49" s="19">
        <f>ROUNDUP(IF(A49=0,0,IFERROR(VLOOKUP($A49,'[1]Donor''s Assigned Kilos'!A:N,14,0),0)),0)</f>
        <v>0</v>
      </c>
      <c r="AW49" s="19">
        <f>IF(A49=0,0,IFERROR(SUMIFS([1]Population!X:X,[1]Population!J:J,'MASTER-2025'!A49),0))</f>
        <v>0</v>
      </c>
      <c r="AX49" s="20">
        <f>IFERROR(VLOOKUP($A49,'[1]Donor-Served OBs'!A:N,16,0),0)</f>
        <v>0</v>
      </c>
      <c r="AY49" s="20">
        <f>ROUNDUP(IF(A49=0,0,IFERROR(VLOOKUP($A49,'[1]Donor''s Assigned Kilos'!A:O,16,0),0)),0)</f>
        <v>0</v>
      </c>
      <c r="AZ49" s="20">
        <f>IF(A49=0,0,IFERROR(SUMIFS([1]Population!Y:Y,[1]Population!J:J,'MASTER-2025'!A49),0))</f>
        <v>0</v>
      </c>
      <c r="BA49" s="21">
        <f t="shared" si="15"/>
        <v>0</v>
      </c>
      <c r="BB49" s="21">
        <f t="shared" ref="BB49:BB51" si="27">INT(I49+L49+O49+R49+U49+X49+AA49+AD49+AG49+AJ49+AM49+AP49+AS49+AV49+AY49)</f>
        <v>0</v>
      </c>
      <c r="BC49" s="21">
        <f t="shared" si="24"/>
        <v>0</v>
      </c>
      <c r="BD49" s="21">
        <f t="shared" si="26"/>
        <v>0</v>
      </c>
      <c r="BE49" s="22" t="e">
        <f>IF(A49=0,0,SUMIFS([1]Population!C:C,[1]Population!A:A,'MASTER-2025'!A49))</f>
        <v>#VALUE!</v>
      </c>
      <c r="BF49" s="22" t="e">
        <f>IF(A49=0,0,SUMIFS([1]Population!D:D,[1]Population!A:A,'MASTER-2025'!A49))</f>
        <v>#VALUE!</v>
      </c>
      <c r="BG49" s="22" t="e">
        <f>IF(A49=0,0,SUMIFS([1]Population!E:E,[1]Population!A:A,'MASTER-2025'!A49))</f>
        <v>#VALUE!</v>
      </c>
      <c r="BH49" s="22" t="e">
        <f>IF(A49=0,0,SUMIFS([1]Population!F:F,[1]Population!A:A,'MASTER-2025'!A49))</f>
        <v>#VALUE!</v>
      </c>
      <c r="BI49" s="22" t="e">
        <f t="shared" si="18"/>
        <v>#VALUE!</v>
      </c>
      <c r="BJ49" s="23" t="e">
        <f t="shared" si="6"/>
        <v>#VALUE!</v>
      </c>
      <c r="BK49" s="22" t="e">
        <f>IF(A49=0,0,SUMIFS([1]Population!G:G,[1]Population!A:A,'MASTER-2025'!A49))</f>
        <v>#VALUE!</v>
      </c>
      <c r="BL49" s="24" cm="1">
        <f t="array" ref="BL49:BW49">IFERROR(VLOOKUP(A49,'[1]Now-OB-kg-POB-25'!A:AQ,{3,4,5,6,7,8,9,10,11,12,13,14},0),0)</f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BX49" s="24">
        <f t="shared" si="7"/>
        <v>0</v>
      </c>
      <c r="BY49" s="25" cm="1">
        <f t="array" ref="BY49:CJ49">IFERROR(VLOOKUP(A49,'[1]Now-OB-kg-POB-25'!A:AQ,{17,18,19,20,21,22,23,24,25,26,27,28},0),0)</f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0</v>
      </c>
      <c r="CH49" s="25">
        <v>0</v>
      </c>
      <c r="CI49" s="25">
        <v>0</v>
      </c>
      <c r="CJ49" s="25">
        <v>0</v>
      </c>
      <c r="CK49" s="25">
        <f t="shared" si="8"/>
        <v>0</v>
      </c>
      <c r="CL49" s="26" cm="1">
        <f t="array" ref="CL49:CW49">IFERROR(VLOOKUP(A49,'[1]Now-OB-kg-POB-25'!A:AQ,{31,32,33,34,35,36,37,38,39,40,41,42},0),0)</f>
        <v>0</v>
      </c>
      <c r="CM49" s="26">
        <v>0</v>
      </c>
      <c r="CN49" s="26">
        <v>0</v>
      </c>
      <c r="CO49" s="26">
        <v>0</v>
      </c>
      <c r="CP49" s="26">
        <v>0</v>
      </c>
      <c r="CQ49" s="26">
        <v>0</v>
      </c>
      <c r="CR49" s="26">
        <v>0</v>
      </c>
      <c r="CS49" s="26">
        <v>0</v>
      </c>
      <c r="CT49" s="26">
        <v>0</v>
      </c>
      <c r="CU49" s="26">
        <v>0</v>
      </c>
      <c r="CV49" s="26">
        <v>0</v>
      </c>
      <c r="CW49" s="26">
        <v>0</v>
      </c>
      <c r="CX49" s="26">
        <f t="shared" si="9"/>
        <v>0</v>
      </c>
      <c r="CY49" s="14" t="str">
        <f>IF(A49=0,0,IFERROR(VLOOKUP(A49,'[1]Info Donantes'!C:F,2,0),"Sin Contacto"))</f>
        <v>Sin Contacto</v>
      </c>
      <c r="CZ49" s="14" t="str">
        <f>IF(A49=0,0,IFERROR(VLOOKUP(A49,'[1]Info Donantes'!C:F,3,0),"Sin Correo"))</f>
        <v>Sin Correo</v>
      </c>
      <c r="DA49" s="14" t="str">
        <f>IF(A49=0,0,IFERROR(VLOOKUP(A49,'[1]Info Donantes'!C:F,4,0),"Sin Telefono"))</f>
        <v>Sin Telefono</v>
      </c>
      <c r="DB49" s="14" t="s">
        <v>201</v>
      </c>
    </row>
    <row r="50" spans="1:106" x14ac:dyDescent="0.55000000000000004">
      <c r="A50" s="14" t="s">
        <v>202</v>
      </c>
      <c r="B50" s="15">
        <f>INT(IFERROR(VLOOKUP(A50,'[1]Donor Summary'!C:F,3,0),0))</f>
        <v>0</v>
      </c>
      <c r="C50" s="15">
        <f>INT(ROUND(IFERROR(VLOOKUP(A50,'[1]Donor Summary'!C:F,4,0),0),1))</f>
        <v>0</v>
      </c>
      <c r="D50" s="16">
        <f t="shared" si="19"/>
        <v>0</v>
      </c>
      <c r="E50" s="17" t="str">
        <f t="shared" si="20"/>
        <v>0.00%</v>
      </c>
      <c r="F50" s="17" t="str">
        <f t="shared" si="21"/>
        <v>0.0%</v>
      </c>
      <c r="G50" s="15">
        <f t="shared" si="25"/>
        <v>0</v>
      </c>
      <c r="H50" s="18"/>
      <c r="I50" s="18">
        <f>IFERROR(VLOOKUP(A50,'[1]Lot All by Part'!T:Y,6,0),0)</f>
        <v>0</v>
      </c>
      <c r="J50" s="18"/>
      <c r="K50" s="19">
        <f>IFERROR(VLOOKUP($A50,'[1]Donor-Served OBs'!A:N,3,0),0)</f>
        <v>0</v>
      </c>
      <c r="L50" s="19">
        <f>ROUNDUP(IF(A50=0,0,IFERROR(VLOOKUP($A50,'[1]Donor''s Assigned Kilos'!A:O,3,0),0)),0)</f>
        <v>0</v>
      </c>
      <c r="M50" s="19">
        <f>IF(A50=0,0,IFERROR(SUMIFS([1]Population!M:M,[1]Population!J:J,'MASTER-2025'!A50),0))</f>
        <v>0</v>
      </c>
      <c r="N50" s="20">
        <f>IFERROR(VLOOKUP($A50,'[1]Donor-Served OBs'!A:N,4,0),0)</f>
        <v>0</v>
      </c>
      <c r="O50" s="20">
        <f>ROUNDUP(IF(A50=0,0,IFERROR(VLOOKUP($A50,'[1]Donor''s Assigned Kilos'!A:O,4,0),0)),0)</f>
        <v>0</v>
      </c>
      <c r="P50" s="20">
        <f>IF(A50=0,0,IFERROR(SUMIFS([1]Population!N:N,[1]Population!J:J,'MASTER-2025'!A50),0))</f>
        <v>0</v>
      </c>
      <c r="Q50" s="18">
        <f>IFERROR(VLOOKUP($A50,'[1]Donor-Served OBs'!A:N,2,0),0)</f>
        <v>0</v>
      </c>
      <c r="R50" s="18">
        <f>ROUNDUP(ROUND(IF(A50=0,0,IFERROR(VLOOKUP($A50,'[1]Donor''s Assigned Kilos'!A:O,9,0),0)),1),0)</f>
        <v>0</v>
      </c>
      <c r="S50" s="18">
        <f>IF(A50=0,0,IFERROR(SUMIFS([1]Population!S:S,[1]Population!J:J,'MASTER-2025'!A50),0))</f>
        <v>0</v>
      </c>
      <c r="T50" s="19">
        <f>IFERROR(VLOOKUP($A50,'[1]Donor-Served OBs'!A:N,12,0),0)</f>
        <v>0</v>
      </c>
      <c r="U50" s="19">
        <f>ROUNDUP(IF(A50=0,0,IF(A50=0,0,IFERROR(VLOOKUP($A50,'[1]Donor''s Assigned Kilos'!A:O,7,0),0))),0)</f>
        <v>0</v>
      </c>
      <c r="V50" s="19">
        <f>IF(A50=0,0,IFERROR(SUMIFS([1]Population!Q:Q,[1]Population!J:J,'MASTER-2025'!A50),0))</f>
        <v>0</v>
      </c>
      <c r="W50" s="20">
        <f>IFERROR(VLOOKUP($A50,'[1]Donor-Served OBs'!A:N,10,0),0)</f>
        <v>0</v>
      </c>
      <c r="X50" s="20">
        <f>ROUNDUP(IF(A50=0,0,IFERROR(VLOOKUP($A50,'[1]Donor''s Assigned Kilos'!A:N,5,0),0)),0)</f>
        <v>0</v>
      </c>
      <c r="Y50" s="20">
        <f>IF(A50=0,0,IFERROR(SUMIFS([1]Population!O:O,[1]Population!J:J,'MASTER-2025'!A50),0))</f>
        <v>0</v>
      </c>
      <c r="Z50" s="18">
        <f>IFERROR(VLOOKUP($A50,'[1]Donor-Served OBs'!A:N,6,0),0)</f>
        <v>0</v>
      </c>
      <c r="AA50" s="18">
        <f>ROUNDUP(IF(A50=0,0,IFERROR(VLOOKUP($A50,'[1]Donor''s Assigned Kilos'!A:N,11,0),0)),0)</f>
        <v>0</v>
      </c>
      <c r="AB50" s="18">
        <f>IF(A50=0,0,IFERROR(SUMIFS([1]Population!U:U,[1]Population!J:J,'MASTER-2025'!A50),0))</f>
        <v>0</v>
      </c>
      <c r="AC50" s="19">
        <f>IFERROR(VLOOKUP($A50,'[1]Donor-Served OBs'!A:N,7,0),0)</f>
        <v>0</v>
      </c>
      <c r="AD50" s="19">
        <f>ROUNDUP(IF(A50=0,0,IFERROR(VLOOKUP($A50,'[1]Donor''s Assigned Kilos'!A:N,8,0),0)),0)</f>
        <v>0</v>
      </c>
      <c r="AE50" s="19">
        <f>IF(A50=0,0,IFERROR(SUMIFS([1]Population!R:R,[1]Population!J:J,'MASTER-2025'!A50),0))</f>
        <v>0</v>
      </c>
      <c r="AF50" s="20">
        <f>IFERROR(VLOOKUP($A50,'[1]Donor-Served OBs'!A:N,8,0),0)</f>
        <v>0</v>
      </c>
      <c r="AG50" s="20">
        <f>ROUNDUP(IF(A50=0,0,IFERROR(VLOOKUP($A50,'[1]Donor''s Assigned Kilos'!A:N,6,0),0)),0)</f>
        <v>0</v>
      </c>
      <c r="AH50" s="20">
        <f>IF(A50=0,0,IFERROR(SUMIFS([1]Population!P:P,[1]Population!J:J,'MASTER-2025'!A50),0))</f>
        <v>0</v>
      </c>
      <c r="AI50" s="18">
        <f>IFERROR(VLOOKUP($A50,'[1]Donor-Served OBs'!A:N,9,0),0)</f>
        <v>0</v>
      </c>
      <c r="AJ50" s="18">
        <f>ROUNDUP(IF(A50=0,0,IFERROR(VLOOKUP($A50,'[1]Donor''s Assigned Kilos'!A:N,12,0),0)),0)</f>
        <v>0</v>
      </c>
      <c r="AK50" s="18">
        <f>IF(A50=0,0,IFERROR(SUMIFS([1]Population!V:V,[1]Population!J:J,'MASTER-2025'!A50),0))</f>
        <v>0</v>
      </c>
      <c r="AL50" s="19">
        <f>IFERROR(VLOOKUP($A50,'[1]Donor-Served OBs'!A:N,16,0),0)</f>
        <v>0</v>
      </c>
      <c r="AM50" s="19">
        <f>ROUNDUP(IF(A50=0,0,IFERROR(VLOOKUP($A50,'[1]Donor''s Assigned Kilos'!A:O,16,0),0)),0)</f>
        <v>0</v>
      </c>
      <c r="AN50" s="19">
        <f>IF(A50=0,0,IFERROR(SUMIFS([1]Population!Z:Z,[1]Population!J:J,'MASTER-2025'!A50),0))</f>
        <v>0</v>
      </c>
      <c r="AO50" s="20">
        <f>IFERROR(VLOOKUP($A50,'[1]Donor-Served OBs'!A:N,11,0),0)</f>
        <v>0</v>
      </c>
      <c r="AP50" s="20">
        <f>ROUNDUP(IF(A50=0,0,IFERROR(VLOOKUP($A50,'[1]Donor''s Assigned Kilos'!A:N,13,0),0)),0)</f>
        <v>0</v>
      </c>
      <c r="AQ50" s="20">
        <f>IF(A50=0,0,IFERROR(SUMIFS([1]Population!W:W,[1]Population!J:J,'MASTER-2025'!A50),0))</f>
        <v>0</v>
      </c>
      <c r="AR50" s="18">
        <f>IFERROR(VLOOKUP($A50,'[1]Donor-Served OBs'!A:N,5,0),0)</f>
        <v>0</v>
      </c>
      <c r="AS50" s="18">
        <f>ROUNDUP(IF(A50=0,0,IFERROR(VLOOKUP($A50,'[1]Donor''s Assigned Kilos'!A:N,10,0),0)),0)</f>
        <v>0</v>
      </c>
      <c r="AT50" s="18">
        <f>IF(A50=0,0,IFERROR(SUMIFS([1]Population!T:T,[1]Population!J:J,'MASTER-2025'!A50),0))</f>
        <v>0</v>
      </c>
      <c r="AU50" s="19">
        <f>IFERROR(VLOOKUP($A50,'[1]Donor-Served OBs'!A:N,13,0),0)</f>
        <v>0</v>
      </c>
      <c r="AV50" s="19">
        <f>ROUNDUP(IF(A50=0,0,IFERROR(VLOOKUP($A50,'[1]Donor''s Assigned Kilos'!A:N,14,0),0)),0)</f>
        <v>0</v>
      </c>
      <c r="AW50" s="19">
        <f>IF(A50=0,0,IFERROR(SUMIFS([1]Population!X:X,[1]Population!J:J,'MASTER-2025'!A50),0))</f>
        <v>0</v>
      </c>
      <c r="AX50" s="20">
        <f>IFERROR(VLOOKUP($A50,'[1]Donor-Served OBs'!A:N,16,0),0)</f>
        <v>0</v>
      </c>
      <c r="AY50" s="20">
        <f>ROUNDUP(IF(A50=0,0,IFERROR(VLOOKUP($A50,'[1]Donor''s Assigned Kilos'!A:O,16,0),0)),0)</f>
        <v>0</v>
      </c>
      <c r="AZ50" s="20">
        <f>IF(A50=0,0,IFERROR(SUMIFS([1]Population!Y:Y,[1]Population!J:J,'MASTER-2025'!A50),0))</f>
        <v>0</v>
      </c>
      <c r="BA50" s="21">
        <f t="shared" si="15"/>
        <v>0</v>
      </c>
      <c r="BB50" s="21">
        <f t="shared" si="27"/>
        <v>0</v>
      </c>
      <c r="BC50" s="21">
        <f t="shared" si="24"/>
        <v>0</v>
      </c>
      <c r="BD50" s="21">
        <f t="shared" si="26"/>
        <v>0</v>
      </c>
      <c r="BE50" s="22" t="e">
        <f>IF(A50=0,0,SUMIFS([1]Population!C:C,[1]Population!A:A,'MASTER-2025'!A50))</f>
        <v>#VALUE!</v>
      </c>
      <c r="BF50" s="22" t="e">
        <f>IF(A50=0,0,SUMIFS([1]Population!D:D,[1]Population!A:A,'MASTER-2025'!A50))</f>
        <v>#VALUE!</v>
      </c>
      <c r="BG50" s="22" t="e">
        <f>IF(A50=0,0,SUMIFS([1]Population!E:E,[1]Population!A:A,'MASTER-2025'!A50))</f>
        <v>#VALUE!</v>
      </c>
      <c r="BH50" s="22" t="e">
        <f>IF(A50=0,0,SUMIFS([1]Population!F:F,[1]Population!A:A,'MASTER-2025'!A50))</f>
        <v>#VALUE!</v>
      </c>
      <c r="BI50" s="22" t="e">
        <f t="shared" si="18"/>
        <v>#VALUE!</v>
      </c>
      <c r="BJ50" s="23" t="e">
        <f t="shared" si="6"/>
        <v>#VALUE!</v>
      </c>
      <c r="BK50" s="22" t="e">
        <f>IF(A50=0,0,SUMIFS([1]Population!G:G,[1]Population!A:A,'MASTER-2025'!A50))</f>
        <v>#VALUE!</v>
      </c>
      <c r="BL50" s="24" cm="1">
        <f t="array" ref="BL50:BW50">IFERROR(VLOOKUP(A50,'[1]Now-OB-kg-POB-25'!A:AQ,{3,4,5,6,7,8,9,10,11,12,13,14},0),0)</f>
        <v>0</v>
      </c>
      <c r="BM50" s="24">
        <v>43</v>
      </c>
      <c r="BN50" s="24">
        <v>34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BX50" s="24">
        <f t="shared" si="7"/>
        <v>77</v>
      </c>
      <c r="BY50" s="25" cm="1">
        <f t="array" ref="BY50:CJ50">IFERROR(VLOOKUP(A50,'[1]Now-OB-kg-POB-25'!A:AQ,{17,18,19,20,21,22,23,24,25,26,27,28},0),0)</f>
        <v>0</v>
      </c>
      <c r="BZ50" s="25">
        <v>335</v>
      </c>
      <c r="CA50" s="25">
        <v>189</v>
      </c>
      <c r="CB50" s="25">
        <v>0</v>
      </c>
      <c r="CC50" s="25">
        <v>0</v>
      </c>
      <c r="CD50" s="25">
        <v>0</v>
      </c>
      <c r="CE50" s="25">
        <v>0</v>
      </c>
      <c r="CF50" s="25">
        <v>0</v>
      </c>
      <c r="CG50" s="25">
        <v>0</v>
      </c>
      <c r="CH50" s="25">
        <v>0</v>
      </c>
      <c r="CI50" s="25">
        <v>0</v>
      </c>
      <c r="CJ50" s="25">
        <v>0</v>
      </c>
      <c r="CK50" s="25">
        <f t="shared" si="8"/>
        <v>524</v>
      </c>
      <c r="CL50" s="26" cm="1">
        <f t="array" ref="CL50:CW50">IFERROR(VLOOKUP(A50,'[1]Now-OB-kg-POB-25'!A:AQ,{31,32,33,34,35,36,37,38,39,40,41,42},0),0)</f>
        <v>0</v>
      </c>
      <c r="CM50" s="26">
        <v>14862</v>
      </c>
      <c r="CN50" s="26">
        <v>9224</v>
      </c>
      <c r="CO50" s="26">
        <v>0</v>
      </c>
      <c r="CP50" s="26">
        <v>0</v>
      </c>
      <c r="CQ50" s="26">
        <v>0</v>
      </c>
      <c r="CR50" s="26">
        <v>0</v>
      </c>
      <c r="CS50" s="26">
        <v>0</v>
      </c>
      <c r="CT50" s="26">
        <v>0</v>
      </c>
      <c r="CU50" s="26">
        <v>0</v>
      </c>
      <c r="CV50" s="26">
        <v>0</v>
      </c>
      <c r="CW50" s="26">
        <v>0</v>
      </c>
      <c r="CX50" s="26">
        <f t="shared" si="9"/>
        <v>24086</v>
      </c>
      <c r="CY50" s="14" t="str">
        <f>IF(A50=0,0,IFERROR(VLOOKUP(A50,'[1]Info Donantes'!C:F,2,0),"Sin Contacto"))</f>
        <v>Sin Contacto</v>
      </c>
      <c r="CZ50" s="14" t="str">
        <f>IF(A50=0,0,IFERROR(VLOOKUP(A50,'[1]Info Donantes'!C:F,3,0),"Sin Correo"))</f>
        <v>Sin Correo</v>
      </c>
      <c r="DA50" s="14" t="str">
        <f>IF(A50=0,0,IFERROR(VLOOKUP(A50,'[1]Info Donantes'!C:F,4,0),"Sin Telefono"))</f>
        <v>Sin Telefono</v>
      </c>
      <c r="DB50" s="14" t="s">
        <v>203</v>
      </c>
    </row>
    <row r="51" spans="1:106" x14ac:dyDescent="0.55000000000000004">
      <c r="A51" s="14" t="s">
        <v>204</v>
      </c>
      <c r="B51" s="15">
        <f>INT(IFERROR(VLOOKUP(A51,'[1]Donor Summary'!C:F,3,0),0))</f>
        <v>0</v>
      </c>
      <c r="C51" s="15">
        <f>INT(ROUND(IFERROR(VLOOKUP(A51,'[1]Donor Summary'!C:F,4,0),0),1))</f>
        <v>0</v>
      </c>
      <c r="D51" s="16">
        <f t="shared" si="19"/>
        <v>0</v>
      </c>
      <c r="E51" s="17" t="str">
        <f t="shared" si="20"/>
        <v>0.00%</v>
      </c>
      <c r="F51" s="17" t="str">
        <f t="shared" si="21"/>
        <v>0.0%</v>
      </c>
      <c r="G51" s="15">
        <f t="shared" si="25"/>
        <v>0</v>
      </c>
      <c r="H51" s="18"/>
      <c r="I51" s="18">
        <f>IFERROR(VLOOKUP(A51,'[1]Lot All by Part'!T:Y,6,0),0)</f>
        <v>0</v>
      </c>
      <c r="J51" s="18"/>
      <c r="K51" s="19">
        <f>IFERROR(VLOOKUP($A51,'[1]Donor-Served OBs'!A:N,3,0),0)</f>
        <v>0</v>
      </c>
      <c r="L51" s="19">
        <f>ROUNDUP(IF(A51=0,0,IFERROR(VLOOKUP($A51,'[1]Donor''s Assigned Kilos'!A:O,3,0),0)),0)</f>
        <v>0</v>
      </c>
      <c r="M51" s="19">
        <f>IF(A51=0,0,IFERROR(SUMIFS([1]Population!M:M,[1]Population!J:J,'MASTER-2025'!A51),0))</f>
        <v>0</v>
      </c>
      <c r="N51" s="20">
        <f>IFERROR(VLOOKUP($A51,'[1]Donor-Served OBs'!A:N,4,0),0)</f>
        <v>0</v>
      </c>
      <c r="O51" s="20">
        <f>ROUNDUP(IF(A51=0,0,IFERROR(VLOOKUP($A51,'[1]Donor''s Assigned Kilos'!A:O,4,0),0)),0)</f>
        <v>0</v>
      </c>
      <c r="P51" s="20">
        <f>IF(A51=0,0,IFERROR(SUMIFS([1]Population!N:N,[1]Population!J:J,'MASTER-2025'!A51),0))</f>
        <v>0</v>
      </c>
      <c r="Q51" s="18">
        <f>IFERROR(VLOOKUP($A51,'[1]Donor-Served OBs'!A:N,2,0),0)</f>
        <v>0</v>
      </c>
      <c r="R51" s="18">
        <f>ROUNDUP(ROUND(IF(A51=0,0,IFERROR(VLOOKUP($A51,'[1]Donor''s Assigned Kilos'!A:O,9,0),0)),1),0)</f>
        <v>0</v>
      </c>
      <c r="S51" s="18">
        <f>IF(A51=0,0,IFERROR(SUMIFS([1]Population!S:S,[1]Population!J:J,'MASTER-2025'!A51),0))</f>
        <v>0</v>
      </c>
      <c r="T51" s="19">
        <f>IFERROR(VLOOKUP($A51,'[1]Donor-Served OBs'!A:N,12,0),0)</f>
        <v>0</v>
      </c>
      <c r="U51" s="19">
        <f>ROUNDUP(IF(A51=0,0,IF(A51=0,0,IFERROR(VLOOKUP($A51,'[1]Donor''s Assigned Kilos'!A:O,7,0),0))),0)</f>
        <v>0</v>
      </c>
      <c r="V51" s="19">
        <f>IF(A51=0,0,IFERROR(SUMIFS([1]Population!Q:Q,[1]Population!J:J,'MASTER-2025'!A51),0))</f>
        <v>0</v>
      </c>
      <c r="W51" s="20">
        <f>IFERROR(VLOOKUP($A51,'[1]Donor-Served OBs'!A:N,10,0),0)</f>
        <v>0</v>
      </c>
      <c r="X51" s="20">
        <f>ROUNDUP(IF(A51=0,0,IFERROR(VLOOKUP($A51,'[1]Donor''s Assigned Kilos'!A:N,5,0),0)),0)</f>
        <v>0</v>
      </c>
      <c r="Y51" s="20">
        <f>IF(A51=0,0,IFERROR(SUMIFS([1]Population!O:O,[1]Population!J:J,'MASTER-2025'!A51),0))</f>
        <v>0</v>
      </c>
      <c r="Z51" s="18">
        <f>IFERROR(VLOOKUP($A51,'[1]Donor-Served OBs'!A:N,6,0),0)</f>
        <v>0</v>
      </c>
      <c r="AA51" s="18">
        <f>ROUNDUP(IF(A51=0,0,IFERROR(VLOOKUP($A51,'[1]Donor''s Assigned Kilos'!A:N,11,0),0)),0)</f>
        <v>0</v>
      </c>
      <c r="AB51" s="18">
        <f>IF(A51=0,0,IFERROR(SUMIFS([1]Population!U:U,[1]Population!J:J,'MASTER-2025'!A51),0))</f>
        <v>0</v>
      </c>
      <c r="AC51" s="19">
        <f>IFERROR(VLOOKUP($A51,'[1]Donor-Served OBs'!A:N,7,0),0)</f>
        <v>0</v>
      </c>
      <c r="AD51" s="19">
        <f>ROUNDUP(IF(A51=0,0,IFERROR(VLOOKUP($A51,'[1]Donor''s Assigned Kilos'!A:N,8,0),0)),0)</f>
        <v>0</v>
      </c>
      <c r="AE51" s="19">
        <f>IF(A51=0,0,IFERROR(SUMIFS([1]Population!R:R,[1]Population!J:J,'MASTER-2025'!A51),0))</f>
        <v>0</v>
      </c>
      <c r="AF51" s="20">
        <f>IFERROR(VLOOKUP($A51,'[1]Donor-Served OBs'!A:N,8,0),0)</f>
        <v>0</v>
      </c>
      <c r="AG51" s="20">
        <f>ROUNDUP(IF(A51=0,0,IFERROR(VLOOKUP($A51,'[1]Donor''s Assigned Kilos'!A:N,6,0),0)),0)</f>
        <v>0</v>
      </c>
      <c r="AH51" s="20">
        <f>IF(A51=0,0,IFERROR(SUMIFS([1]Population!P:P,[1]Population!J:J,'MASTER-2025'!A51),0))</f>
        <v>0</v>
      </c>
      <c r="AI51" s="18">
        <f>IFERROR(VLOOKUP($A51,'[1]Donor-Served OBs'!A:N,9,0),0)</f>
        <v>0</v>
      </c>
      <c r="AJ51" s="18">
        <f>ROUNDUP(IF(A51=0,0,IFERROR(VLOOKUP($A51,'[1]Donor''s Assigned Kilos'!A:N,12,0),0)),0)</f>
        <v>0</v>
      </c>
      <c r="AK51" s="18">
        <f>IF(A51=0,0,IFERROR(SUMIFS([1]Population!V:V,[1]Population!J:J,'MASTER-2025'!A51),0))</f>
        <v>0</v>
      </c>
      <c r="AL51" s="19">
        <f>IFERROR(VLOOKUP($A51,'[1]Donor-Served OBs'!A:N,16,0),0)</f>
        <v>0</v>
      </c>
      <c r="AM51" s="19">
        <f>ROUNDUP(IF(A51=0,0,IFERROR(VLOOKUP($A51,'[1]Donor''s Assigned Kilos'!A:O,16,0),0)),0)</f>
        <v>0</v>
      </c>
      <c r="AN51" s="19">
        <f>IF(A51=0,0,IFERROR(SUMIFS([1]Population!Z:Z,[1]Population!J:J,'MASTER-2025'!A51),0))</f>
        <v>0</v>
      </c>
      <c r="AO51" s="20">
        <f>IFERROR(VLOOKUP($A51,'[1]Donor-Served OBs'!A:N,11,0),0)</f>
        <v>0</v>
      </c>
      <c r="AP51" s="20">
        <f>ROUNDUP(IF(A51=0,0,IFERROR(VLOOKUP($A51,'[1]Donor''s Assigned Kilos'!A:N,13,0),0)),0)</f>
        <v>0</v>
      </c>
      <c r="AQ51" s="20">
        <f>IF(A51=0,0,IFERROR(SUMIFS([1]Population!W:W,[1]Population!J:J,'MASTER-2025'!A51),0))</f>
        <v>0</v>
      </c>
      <c r="AR51" s="18">
        <f>IFERROR(VLOOKUP($A51,'[1]Donor-Served OBs'!A:N,5,0),0)</f>
        <v>0</v>
      </c>
      <c r="AS51" s="18">
        <f>ROUNDUP(IF(A51=0,0,IFERROR(VLOOKUP($A51,'[1]Donor''s Assigned Kilos'!A:N,10,0),0)),0)</f>
        <v>0</v>
      </c>
      <c r="AT51" s="18">
        <f>IF(A51=0,0,IFERROR(SUMIFS([1]Population!T:T,[1]Population!J:J,'MASTER-2025'!A51),0))</f>
        <v>0</v>
      </c>
      <c r="AU51" s="19">
        <f>IFERROR(VLOOKUP($A51,'[1]Donor-Served OBs'!A:N,13,0),0)</f>
        <v>0</v>
      </c>
      <c r="AV51" s="19">
        <f>ROUNDUP(IF(A51=0,0,IFERROR(VLOOKUP($A51,'[1]Donor''s Assigned Kilos'!A:N,14,0),0)),0)</f>
        <v>0</v>
      </c>
      <c r="AW51" s="19">
        <f>IF(A51=0,0,IFERROR(SUMIFS([1]Population!X:X,[1]Population!J:J,'MASTER-2025'!A51),0))</f>
        <v>0</v>
      </c>
      <c r="AX51" s="20">
        <f>IFERROR(VLOOKUP($A51,'[1]Donor-Served OBs'!A:N,16,0),0)</f>
        <v>0</v>
      </c>
      <c r="AY51" s="20">
        <f>ROUNDUP(IF(A51=0,0,IFERROR(VLOOKUP($A51,'[1]Donor''s Assigned Kilos'!A:O,16,0),0)),0)</f>
        <v>0</v>
      </c>
      <c r="AZ51" s="20">
        <f>IF(A51=0,0,IFERROR(SUMIFS([1]Population!Y:Y,[1]Population!J:J,'MASTER-2025'!A51),0))</f>
        <v>0</v>
      </c>
      <c r="BA51" s="21">
        <f t="shared" si="15"/>
        <v>0</v>
      </c>
      <c r="BB51" s="21">
        <f t="shared" si="27"/>
        <v>0</v>
      </c>
      <c r="BC51" s="21">
        <f t="shared" si="24"/>
        <v>0</v>
      </c>
      <c r="BD51" s="21">
        <f t="shared" si="26"/>
        <v>0</v>
      </c>
      <c r="BE51" s="22" t="e">
        <f>IF(A51=0,0,SUMIFS([1]Population!C:C,[1]Population!A:A,'MASTER-2025'!A51))</f>
        <v>#VALUE!</v>
      </c>
      <c r="BF51" s="22" t="e">
        <f>IF(A51=0,0,SUMIFS([1]Population!D:D,[1]Population!A:A,'MASTER-2025'!A51))</f>
        <v>#VALUE!</v>
      </c>
      <c r="BG51" s="22" t="e">
        <f>IF(A51=0,0,SUMIFS([1]Population!E:E,[1]Population!A:A,'MASTER-2025'!A51))</f>
        <v>#VALUE!</v>
      </c>
      <c r="BH51" s="22" t="e">
        <f>IF(A51=0,0,SUMIFS([1]Population!F:F,[1]Population!A:A,'MASTER-2025'!A51))</f>
        <v>#VALUE!</v>
      </c>
      <c r="BI51" s="22" t="e">
        <f t="shared" si="18"/>
        <v>#VALUE!</v>
      </c>
      <c r="BJ51" s="23" t="e">
        <f t="shared" si="6"/>
        <v>#VALUE!</v>
      </c>
      <c r="BK51" s="22" t="e">
        <f>IF(A51=0,0,SUMIFS([1]Population!G:G,[1]Population!A:A,'MASTER-2025'!A51))</f>
        <v>#VALUE!</v>
      </c>
      <c r="BL51" s="24" cm="1">
        <f t="array" ref="BL51:BW51">IFERROR(VLOOKUP(A51,'[1]Now-OB-kg-POB-25'!A:AQ,{3,4,5,6,7,8,9,10,11,12,13,14},0),0)</f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BX51" s="24">
        <f t="shared" si="7"/>
        <v>0</v>
      </c>
      <c r="BY51" s="25" cm="1">
        <f t="array" ref="BY51:CJ51">IFERROR(VLOOKUP(A51,'[1]Now-OB-kg-POB-25'!A:AQ,{17,18,19,20,21,22,23,24,25,26,27,28},0),0)</f>
        <v>0</v>
      </c>
      <c r="BZ51" s="25">
        <v>0</v>
      </c>
      <c r="CA51" s="25">
        <v>0</v>
      </c>
      <c r="CB51" s="25">
        <v>0</v>
      </c>
      <c r="CC51" s="25">
        <v>0</v>
      </c>
      <c r="CD51" s="25">
        <v>0</v>
      </c>
      <c r="CE51" s="25">
        <v>0</v>
      </c>
      <c r="CF51" s="25">
        <v>0</v>
      </c>
      <c r="CG51" s="25">
        <v>0</v>
      </c>
      <c r="CH51" s="25">
        <v>0</v>
      </c>
      <c r="CI51" s="25">
        <v>0</v>
      </c>
      <c r="CJ51" s="25">
        <v>0</v>
      </c>
      <c r="CK51" s="25">
        <f t="shared" si="8"/>
        <v>0</v>
      </c>
      <c r="CL51" s="26" cm="1">
        <f t="array" ref="CL51:CW51">IFERROR(VLOOKUP(A51,'[1]Now-OB-kg-POB-25'!A:AQ,{31,32,33,34,35,36,37,38,39,40,41,42},0),0)</f>
        <v>0</v>
      </c>
      <c r="CM51" s="26">
        <v>0</v>
      </c>
      <c r="CN51" s="26">
        <v>0</v>
      </c>
      <c r="CO51" s="26">
        <v>0</v>
      </c>
      <c r="CP51" s="26">
        <v>0</v>
      </c>
      <c r="CQ51" s="26">
        <v>0</v>
      </c>
      <c r="CR51" s="26">
        <v>0</v>
      </c>
      <c r="CS51" s="26">
        <v>0</v>
      </c>
      <c r="CT51" s="26">
        <v>0</v>
      </c>
      <c r="CU51" s="26">
        <v>0</v>
      </c>
      <c r="CV51" s="26">
        <v>0</v>
      </c>
      <c r="CW51" s="26">
        <v>0</v>
      </c>
      <c r="CX51" s="26">
        <f t="shared" si="9"/>
        <v>0</v>
      </c>
      <c r="CY51" s="14" t="str">
        <f>IF(A51=0,0,IFERROR(VLOOKUP(A51,'[1]Info Donantes'!C:F,2,0),"Sin Contacto"))</f>
        <v>Ricardo Wong</v>
      </c>
      <c r="CZ51" s="14">
        <f>IF(A51=0,0,IFERROR(VLOOKUP(A51,'[1]Info Donantes'!C:F,3,0),"Sin Correo"))</f>
        <v>0</v>
      </c>
      <c r="DA51" s="14" t="str">
        <f>IF(A51=0,0,IFERROR(VLOOKUP(A51,'[1]Info Donantes'!C:F,4,0),"Sin Telefono"))</f>
        <v>6626-7202</v>
      </c>
      <c r="DB51" s="14" t="s">
        <v>205</v>
      </c>
    </row>
    <row r="52" spans="1:106" x14ac:dyDescent="0.55000000000000004">
      <c r="A52" s="31" t="s">
        <v>206</v>
      </c>
      <c r="B52" s="15">
        <f>INT(IFERROR(VLOOKUP(A52,'[1]Donor Summary'!C:F,3,0),0))</f>
        <v>0</v>
      </c>
      <c r="C52" s="15">
        <f>INT(ROUND(IFERROR(VLOOKUP(A52,'[1]Donor Summary'!C:F,4,0),0),1))</f>
        <v>0</v>
      </c>
      <c r="D52" s="16">
        <f t="shared" si="19"/>
        <v>0</v>
      </c>
      <c r="E52" s="17" t="str">
        <f t="shared" si="20"/>
        <v>0.00%</v>
      </c>
      <c r="F52" s="17" t="str">
        <f t="shared" si="21"/>
        <v>0.0%</v>
      </c>
      <c r="G52" s="15">
        <f t="shared" si="25"/>
        <v>0</v>
      </c>
      <c r="H52" s="18"/>
      <c r="I52" s="18">
        <f>IFERROR(VLOOKUP(A52,'[1]Lot All by Part'!T:Y,6,0),0)</f>
        <v>0</v>
      </c>
      <c r="J52" s="18"/>
      <c r="K52" s="19">
        <f>IFERROR(VLOOKUP($A52,'[1]Donor-Served OBs'!A:N,3,0),0)</f>
        <v>0</v>
      </c>
      <c r="L52" s="19">
        <f>ROUNDUP(IF(A52=0,0,IFERROR(VLOOKUP($A52,'[1]Donor''s Assigned Kilos'!A:O,3,0),0)),0)</f>
        <v>0</v>
      </c>
      <c r="M52" s="19">
        <f>IF(A52=0,0,IFERROR(SUMIFS([1]Population!M:M,[1]Population!J:J,'MASTER-2025'!A52),0))</f>
        <v>0</v>
      </c>
      <c r="N52" s="20">
        <f>IFERROR(VLOOKUP($A52,'[1]Donor-Served OBs'!A:N,4,0),0)</f>
        <v>0</v>
      </c>
      <c r="O52" s="20">
        <f>ROUNDUP(IF(A52=0,0,IFERROR(VLOOKUP($A52,'[1]Donor''s Assigned Kilos'!A:O,4,0),0)),0)</f>
        <v>0</v>
      </c>
      <c r="P52" s="20">
        <f>IF(A52=0,0,IFERROR(SUMIFS([1]Population!N:N,[1]Population!J:J,'MASTER-2025'!A52),0))</f>
        <v>0</v>
      </c>
      <c r="Q52" s="18">
        <f>IFERROR(VLOOKUP($A52,'[1]Donor-Served OBs'!A:N,2,0),0)</f>
        <v>0</v>
      </c>
      <c r="R52" s="18">
        <f>ROUNDUP(ROUND(IF(A52=0,0,IFERROR(VLOOKUP($A52,'[1]Donor''s Assigned Kilos'!A:O,9,0),0)),1),0)</f>
        <v>0</v>
      </c>
      <c r="S52" s="18">
        <f>IF(A52=0,0,IFERROR(SUMIFS([1]Population!S:S,[1]Population!J:J,'MASTER-2025'!A52),0))</f>
        <v>0</v>
      </c>
      <c r="T52" s="19">
        <f>IFERROR(VLOOKUP($A52,'[1]Donor-Served OBs'!A:N,12,0),0)</f>
        <v>0</v>
      </c>
      <c r="U52" s="19">
        <f>ROUNDUP(IF(A52=0,0,IF(A52=0,0,IFERROR(VLOOKUP($A52,'[1]Donor''s Assigned Kilos'!A:O,7,0),0))),0)</f>
        <v>0</v>
      </c>
      <c r="V52" s="19">
        <f>IF(A52=0,0,IFERROR(SUMIFS([1]Population!Q:Q,[1]Population!J:J,'MASTER-2025'!A52),0))</f>
        <v>0</v>
      </c>
      <c r="W52" s="20">
        <f>IFERROR(VLOOKUP($A52,'[1]Donor-Served OBs'!A:N,10,0),0)</f>
        <v>0</v>
      </c>
      <c r="X52" s="20">
        <f>ROUNDUP(IF(A52=0,0,IFERROR(VLOOKUP($A52,'[1]Donor''s Assigned Kilos'!A:N,5,0),0)),0)</f>
        <v>0</v>
      </c>
      <c r="Y52" s="20">
        <f>IF(A52=0,0,IFERROR(SUMIFS([1]Population!O:O,[1]Population!J:J,'MASTER-2025'!A52),0))</f>
        <v>0</v>
      </c>
      <c r="Z52" s="18">
        <f>IFERROR(VLOOKUP($A52,'[1]Donor-Served OBs'!A:N,6,0),0)</f>
        <v>0</v>
      </c>
      <c r="AA52" s="18">
        <f>ROUNDUP(IF(A52=0,0,IFERROR(VLOOKUP($A52,'[1]Donor''s Assigned Kilos'!A:N,11,0),0)),0)</f>
        <v>0</v>
      </c>
      <c r="AB52" s="18">
        <f>IF(A52=0,0,IFERROR(SUMIFS([1]Population!U:U,[1]Population!J:J,'MASTER-2025'!A52),0))</f>
        <v>0</v>
      </c>
      <c r="AC52" s="19">
        <f>IFERROR(VLOOKUP($A52,'[1]Donor-Served OBs'!A:N,7,0),0)</f>
        <v>0</v>
      </c>
      <c r="AD52" s="19">
        <f>ROUNDUP(IF(A52=0,0,IFERROR(VLOOKUP($A52,'[1]Donor''s Assigned Kilos'!A:N,8,0),0)),0)</f>
        <v>0</v>
      </c>
      <c r="AE52" s="19">
        <f>IF(A52=0,0,IFERROR(SUMIFS([1]Population!R:R,[1]Population!J:J,'MASTER-2025'!A52),0))</f>
        <v>0</v>
      </c>
      <c r="AF52" s="20">
        <f>IFERROR(VLOOKUP($A52,'[1]Donor-Served OBs'!A:N,8,0),0)</f>
        <v>0</v>
      </c>
      <c r="AG52" s="20">
        <f>ROUNDUP(IF(A52=0,0,IFERROR(VLOOKUP($A52,'[1]Donor''s Assigned Kilos'!A:N,6,0),0)),0)</f>
        <v>0</v>
      </c>
      <c r="AH52" s="20">
        <f>IF(A52=0,0,IFERROR(SUMIFS([1]Population!P:P,[1]Population!J:J,'MASTER-2025'!A52),0))</f>
        <v>0</v>
      </c>
      <c r="AI52" s="18">
        <f>IFERROR(VLOOKUP($A52,'[1]Donor-Served OBs'!A:N,9,0),0)</f>
        <v>0</v>
      </c>
      <c r="AJ52" s="18">
        <f>ROUNDUP(IF(A52=0,0,IFERROR(VLOOKUP($A52,'[1]Donor''s Assigned Kilos'!A:N,12,0),0)),0)</f>
        <v>0</v>
      </c>
      <c r="AK52" s="18">
        <f>IF(A52=0,0,IFERROR(SUMIFS([1]Population!V:V,[1]Population!J:J,'MASTER-2025'!A52),0))</f>
        <v>0</v>
      </c>
      <c r="AL52" s="19">
        <f>IFERROR(VLOOKUP($A52,'[1]Donor-Served OBs'!A:N,16,0),0)</f>
        <v>0</v>
      </c>
      <c r="AM52" s="19">
        <f>ROUNDUP(IF(A52=0,0,IFERROR(VLOOKUP($A52,'[1]Donor''s Assigned Kilos'!A:O,16,0),0)),0)</f>
        <v>0</v>
      </c>
      <c r="AN52" s="19">
        <f>IF(A52=0,0,IFERROR(SUMIFS([1]Population!Z:Z,[1]Population!J:J,'MASTER-2025'!A52),0))</f>
        <v>0</v>
      </c>
      <c r="AO52" s="20">
        <f>IFERROR(VLOOKUP($A52,'[1]Donor-Served OBs'!A:N,11,0),0)</f>
        <v>0</v>
      </c>
      <c r="AP52" s="20">
        <f>ROUNDUP(IF(A52=0,0,IFERROR(VLOOKUP($A52,'[1]Donor''s Assigned Kilos'!A:N,13,0),0)),0)</f>
        <v>0</v>
      </c>
      <c r="AQ52" s="20">
        <f>IF(A52=0,0,IFERROR(SUMIFS([1]Population!W:W,[1]Population!J:J,'MASTER-2025'!A52),0))</f>
        <v>0</v>
      </c>
      <c r="AR52" s="18">
        <f>IFERROR(VLOOKUP($A52,'[1]Donor-Served OBs'!A:N,5,0),0)</f>
        <v>0</v>
      </c>
      <c r="AS52" s="18">
        <f>ROUNDUP(IF(A52=0,0,IFERROR(VLOOKUP($A52,'[1]Donor''s Assigned Kilos'!A:N,10,0),0)),0)</f>
        <v>0</v>
      </c>
      <c r="AT52" s="18">
        <f>IF(A52=0,0,IFERROR(SUMIFS([1]Population!T:T,[1]Population!J:J,'MASTER-2025'!A52),0))</f>
        <v>0</v>
      </c>
      <c r="AU52" s="19">
        <f>IFERROR(VLOOKUP($A52,'[1]Donor-Served OBs'!A:N,13,0),0)</f>
        <v>0</v>
      </c>
      <c r="AV52" s="19">
        <f>ROUNDUP(IF(A52=0,0,IFERROR(VLOOKUP($A52,'[1]Donor''s Assigned Kilos'!A:N,14,0),0)),0)</f>
        <v>0</v>
      </c>
      <c r="AW52" s="19">
        <f>IF(A52=0,0,IFERROR(SUMIFS([1]Population!X:X,[1]Population!J:J,'MASTER-2025'!A52),0))</f>
        <v>0</v>
      </c>
      <c r="AX52" s="20">
        <f>IFERROR(VLOOKUP($A52,'[1]Donor-Served OBs'!A:N,16,0),0)</f>
        <v>0</v>
      </c>
      <c r="AY52" s="20">
        <f>ROUNDUP(IF(A52=0,0,IFERROR(VLOOKUP($A52,'[1]Donor''s Assigned Kilos'!A:O,16,0),0)),0)</f>
        <v>0</v>
      </c>
      <c r="AZ52" s="20">
        <f>IF(A52=0,0,IFERROR(SUMIFS([1]Population!Y:Y,[1]Population!J:J,'MASTER-2025'!A52),0))</f>
        <v>0</v>
      </c>
      <c r="BA52" s="21">
        <f t="shared" si="15"/>
        <v>0</v>
      </c>
      <c r="BB52" s="21">
        <f>INT(I52+L52+O52+R52+U52+X52+AA52+AD52+AG52+AJ52+AM52+AP52+AS52+AV52+AY52)</f>
        <v>0</v>
      </c>
      <c r="BC52" s="21">
        <f t="shared" si="24"/>
        <v>0</v>
      </c>
      <c r="BD52" s="21">
        <f t="shared" si="26"/>
        <v>0</v>
      </c>
      <c r="BE52" s="22" t="e">
        <f>IF(A52=0,0,SUMIFS([1]Population!C:C,[1]Population!A:A,'MASTER-2025'!A52))</f>
        <v>#VALUE!</v>
      </c>
      <c r="BF52" s="22" t="e">
        <f>IF(A52=0,0,SUMIFS([1]Population!D:D,[1]Population!A:A,'MASTER-2025'!A52))</f>
        <v>#VALUE!</v>
      </c>
      <c r="BG52" s="22" t="e">
        <f>IF(A52=0,0,SUMIFS([1]Population!E:E,[1]Population!A:A,'MASTER-2025'!A52))</f>
        <v>#VALUE!</v>
      </c>
      <c r="BH52" s="22" t="e">
        <f>IF(A52=0,0,SUMIFS([1]Population!F:F,[1]Population!A:A,'MASTER-2025'!A52))</f>
        <v>#VALUE!</v>
      </c>
      <c r="BI52" s="22" t="e">
        <f t="shared" si="18"/>
        <v>#VALUE!</v>
      </c>
      <c r="BJ52" s="23" t="e">
        <f t="shared" si="6"/>
        <v>#VALUE!</v>
      </c>
      <c r="BK52" s="22" t="e">
        <f>IF(A52=0,0,SUMIFS([1]Population!G:G,[1]Population!A:A,'MASTER-2025'!A52))</f>
        <v>#VALUE!</v>
      </c>
      <c r="BL52" s="24" cm="1">
        <f t="array" ref="BL52:BW52">IFERROR(VLOOKUP(A52,'[1]Now-OB-kg-POB-25'!A:AQ,{3,4,5,6,7,8,9,10,11,12,13,14},0),0)</f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BX52" s="24">
        <f t="shared" si="7"/>
        <v>0</v>
      </c>
      <c r="BY52" s="25" cm="1">
        <f t="array" ref="BY52:CJ52">IFERROR(VLOOKUP(A52,'[1]Now-OB-kg-POB-25'!A:AQ,{17,18,19,20,21,22,23,24,25,26,27,28},0),0)</f>
        <v>0</v>
      </c>
      <c r="BZ52" s="25">
        <v>0</v>
      </c>
      <c r="CA52" s="25">
        <v>0</v>
      </c>
      <c r="CB52" s="25">
        <v>0</v>
      </c>
      <c r="CC52" s="25">
        <v>0</v>
      </c>
      <c r="CD52" s="25">
        <v>0</v>
      </c>
      <c r="CE52" s="25">
        <v>0</v>
      </c>
      <c r="CF52" s="25">
        <v>0</v>
      </c>
      <c r="CG52" s="25">
        <v>0</v>
      </c>
      <c r="CH52" s="25">
        <v>0</v>
      </c>
      <c r="CI52" s="25">
        <v>0</v>
      </c>
      <c r="CJ52" s="25">
        <v>0</v>
      </c>
      <c r="CK52" s="25">
        <f t="shared" si="8"/>
        <v>0</v>
      </c>
      <c r="CL52" s="26" cm="1">
        <f t="array" ref="CL52:CW52">IFERROR(VLOOKUP(A52,'[1]Now-OB-kg-POB-25'!A:AQ,{31,32,33,34,35,36,37,38,39,40,41,42},0),0)</f>
        <v>0</v>
      </c>
      <c r="CM52" s="26">
        <v>0</v>
      </c>
      <c r="CN52" s="26">
        <v>0</v>
      </c>
      <c r="CO52" s="26">
        <v>0</v>
      </c>
      <c r="CP52" s="26">
        <v>0</v>
      </c>
      <c r="CQ52" s="26">
        <v>0</v>
      </c>
      <c r="CR52" s="26">
        <v>0</v>
      </c>
      <c r="CS52" s="26">
        <v>0</v>
      </c>
      <c r="CT52" s="26">
        <v>0</v>
      </c>
      <c r="CU52" s="26">
        <v>0</v>
      </c>
      <c r="CV52" s="26">
        <v>0</v>
      </c>
      <c r="CW52" s="26">
        <v>0</v>
      </c>
      <c r="CX52" s="26">
        <f t="shared" si="9"/>
        <v>0</v>
      </c>
      <c r="CY52" s="14" t="str">
        <f>IF(A52=0,0,IFERROR(VLOOKUP(A52,'[1]Info Donantes'!C:F,2,0),"Sin Contacto"))</f>
        <v>Yara Martínez</v>
      </c>
      <c r="CZ52" s="14" t="str">
        <f>IF(A52=0,0,IFERROR(VLOOKUP(A52,'[1]Info Donantes'!C:F,3,0),"Sin Correo"))</f>
        <v>creditosycobros@agricolalomita.com</v>
      </c>
      <c r="DA52" s="14" t="str">
        <f>IF(A52=0,0,IFERROR(VLOOKUP(A52,'[1]Info Donantes'!C:F,4,0),"Sin Telefono"))</f>
        <v>6317-6692</v>
      </c>
      <c r="DB52" s="14" t="s">
        <v>207</v>
      </c>
    </row>
    <row r="53" spans="1:106" x14ac:dyDescent="0.55000000000000004">
      <c r="A53" s="31" t="s">
        <v>208</v>
      </c>
      <c r="B53" s="15">
        <f>INT(IFERROR(VLOOKUP(A53,'[1]Donor Summary'!C:F,3,0),0))</f>
        <v>0</v>
      </c>
      <c r="C53" s="15">
        <f>INT(ROUND(IFERROR(VLOOKUP(A53,'[1]Donor Summary'!C:F,4,0),0),1))</f>
        <v>0</v>
      </c>
      <c r="D53" s="16">
        <f t="shared" si="19"/>
        <v>0</v>
      </c>
      <c r="E53" s="17" t="str">
        <f t="shared" si="20"/>
        <v>0.00%</v>
      </c>
      <c r="F53" s="17" t="str">
        <f t="shared" si="21"/>
        <v>0.0%</v>
      </c>
      <c r="G53" s="15">
        <f t="shared" si="25"/>
        <v>0</v>
      </c>
      <c r="H53" s="18"/>
      <c r="I53" s="18">
        <f>IFERROR(VLOOKUP(A53,'[1]Lot All by Part'!T:Y,6,0),0)</f>
        <v>0</v>
      </c>
      <c r="J53" s="18"/>
      <c r="K53" s="19">
        <f>IFERROR(VLOOKUP($A53,'[1]Donor-Served OBs'!A:N,3,0),0)</f>
        <v>0</v>
      </c>
      <c r="L53" s="19">
        <f>ROUNDUP(IF(A53=0,0,IFERROR(VLOOKUP($A53,'[1]Donor''s Assigned Kilos'!A:O,3,0),0)),0)</f>
        <v>0</v>
      </c>
      <c r="M53" s="19">
        <f>IF(A53=0,0,IFERROR(SUMIFS([1]Population!M:M,[1]Population!J:J,'MASTER-2025'!A53),0))</f>
        <v>0</v>
      </c>
      <c r="N53" s="20">
        <f>IFERROR(VLOOKUP($A53,'[1]Donor-Served OBs'!A:N,4,0),0)</f>
        <v>0</v>
      </c>
      <c r="O53" s="20">
        <f>ROUNDUP(IF(A53=0,0,IFERROR(VLOOKUP($A53,'[1]Donor''s Assigned Kilos'!A:O,4,0),0)),0)</f>
        <v>0</v>
      </c>
      <c r="P53" s="20">
        <f>IF(A53=0,0,IFERROR(SUMIFS([1]Population!N:N,[1]Population!J:J,'MASTER-2025'!A53),0))</f>
        <v>0</v>
      </c>
      <c r="Q53" s="18">
        <f>IFERROR(VLOOKUP($A53,'[1]Donor-Served OBs'!A:N,2,0),0)</f>
        <v>0</v>
      </c>
      <c r="R53" s="18">
        <f>ROUNDUP(ROUND(IF(A53=0,0,IFERROR(VLOOKUP($A53,'[1]Donor''s Assigned Kilos'!A:O,9,0),0)),1),0)</f>
        <v>0</v>
      </c>
      <c r="S53" s="18">
        <f>IF(A53=0,0,IFERROR(SUMIFS([1]Population!S:S,[1]Population!J:J,'MASTER-2025'!A53),0))</f>
        <v>0</v>
      </c>
      <c r="T53" s="19">
        <f>IFERROR(VLOOKUP($A53,'[1]Donor-Served OBs'!A:N,12,0),0)</f>
        <v>0</v>
      </c>
      <c r="U53" s="19">
        <f>ROUNDUP(IF(A53=0,0,IF(A53=0,0,IFERROR(VLOOKUP($A53,'[1]Donor''s Assigned Kilos'!A:O,7,0),0))),0)</f>
        <v>0</v>
      </c>
      <c r="V53" s="19">
        <f>IF(A53=0,0,IFERROR(SUMIFS([1]Population!Q:Q,[1]Population!J:J,'MASTER-2025'!A53),0))</f>
        <v>0</v>
      </c>
      <c r="W53" s="20">
        <f>IFERROR(VLOOKUP($A53,'[1]Donor-Served OBs'!A:N,10,0),0)</f>
        <v>0</v>
      </c>
      <c r="X53" s="20">
        <f>ROUNDUP(IF(A53=0,0,IFERROR(VLOOKUP($A53,'[1]Donor''s Assigned Kilos'!A:N,5,0),0)),0)</f>
        <v>0</v>
      </c>
      <c r="Y53" s="20">
        <f>IF(A53=0,0,IFERROR(SUMIFS([1]Population!O:O,[1]Population!J:J,'MASTER-2025'!A53),0))</f>
        <v>0</v>
      </c>
      <c r="Z53" s="18">
        <f>IFERROR(VLOOKUP($A53,'[1]Donor-Served OBs'!A:N,6,0),0)</f>
        <v>0</v>
      </c>
      <c r="AA53" s="18">
        <f>ROUNDUP(IF(A53=0,0,IFERROR(VLOOKUP($A53,'[1]Donor''s Assigned Kilos'!A:N,11,0),0)),0)</f>
        <v>0</v>
      </c>
      <c r="AB53" s="18">
        <f>IF(A53=0,0,IFERROR(SUMIFS([1]Population!U:U,[1]Population!J:J,'MASTER-2025'!A53),0))</f>
        <v>0</v>
      </c>
      <c r="AC53" s="19">
        <f>IFERROR(VLOOKUP($A53,'[1]Donor-Served OBs'!A:N,7,0),0)</f>
        <v>0</v>
      </c>
      <c r="AD53" s="19">
        <f>ROUNDUP(IF(A53=0,0,IFERROR(VLOOKUP($A53,'[1]Donor''s Assigned Kilos'!A:N,8,0),0)),0)</f>
        <v>0</v>
      </c>
      <c r="AE53" s="19">
        <f>IF(A53=0,0,IFERROR(SUMIFS([1]Population!R:R,[1]Population!J:J,'MASTER-2025'!A53),0))</f>
        <v>0</v>
      </c>
      <c r="AF53" s="20">
        <f>IFERROR(VLOOKUP($A53,'[1]Donor-Served OBs'!A:N,8,0),0)</f>
        <v>0</v>
      </c>
      <c r="AG53" s="20">
        <f>ROUNDUP(IF(A53=0,0,IFERROR(VLOOKUP($A53,'[1]Donor''s Assigned Kilos'!A:N,6,0),0)),0)</f>
        <v>0</v>
      </c>
      <c r="AH53" s="20">
        <f>IF(A53=0,0,IFERROR(SUMIFS([1]Population!P:P,[1]Population!J:J,'MASTER-2025'!A53),0))</f>
        <v>0</v>
      </c>
      <c r="AI53" s="18">
        <f>IFERROR(VLOOKUP($A53,'[1]Donor-Served OBs'!A:N,9,0),0)</f>
        <v>0</v>
      </c>
      <c r="AJ53" s="18">
        <f>ROUNDUP(IF(A53=0,0,IFERROR(VLOOKUP($A53,'[1]Donor''s Assigned Kilos'!A:N,12,0),0)),0)</f>
        <v>0</v>
      </c>
      <c r="AK53" s="18">
        <f>IF(A53=0,0,IFERROR(SUMIFS([1]Population!V:V,[1]Population!J:J,'MASTER-2025'!A53),0))</f>
        <v>0</v>
      </c>
      <c r="AL53" s="19">
        <f>IFERROR(VLOOKUP($A53,'[1]Donor-Served OBs'!A:N,16,0),0)</f>
        <v>0</v>
      </c>
      <c r="AM53" s="19">
        <f>ROUNDUP(IF(A53=0,0,IFERROR(VLOOKUP($A53,'[1]Donor''s Assigned Kilos'!A:O,16,0),0)),0)</f>
        <v>0</v>
      </c>
      <c r="AN53" s="19">
        <f>IF(A53=0,0,IFERROR(SUMIFS([1]Population!Z:Z,[1]Population!J:J,'MASTER-2025'!A53),0))</f>
        <v>0</v>
      </c>
      <c r="AO53" s="20">
        <f>IFERROR(VLOOKUP($A53,'[1]Donor-Served OBs'!A:N,11,0),0)</f>
        <v>0</v>
      </c>
      <c r="AP53" s="20">
        <f>ROUNDUP(IF(A53=0,0,IFERROR(VLOOKUP($A53,'[1]Donor''s Assigned Kilos'!A:N,13,0),0)),0)</f>
        <v>0</v>
      </c>
      <c r="AQ53" s="20">
        <f>IF(A53=0,0,IFERROR(SUMIFS([1]Population!W:W,[1]Population!J:J,'MASTER-2025'!A53),0))</f>
        <v>0</v>
      </c>
      <c r="AR53" s="18">
        <f>IFERROR(VLOOKUP($A53,'[1]Donor-Served OBs'!A:N,5,0),0)</f>
        <v>0</v>
      </c>
      <c r="AS53" s="18">
        <f>ROUNDUP(IF(A53=0,0,IFERROR(VLOOKUP($A53,'[1]Donor''s Assigned Kilos'!A:N,10,0),0)),0)</f>
        <v>0</v>
      </c>
      <c r="AT53" s="18">
        <f>IF(A53=0,0,IFERROR(SUMIFS([1]Population!T:T,[1]Population!J:J,'MASTER-2025'!A53),0))</f>
        <v>0</v>
      </c>
      <c r="AU53" s="19">
        <f>IFERROR(VLOOKUP($A53,'[1]Donor-Served OBs'!A:N,13,0),0)</f>
        <v>0</v>
      </c>
      <c r="AV53" s="19">
        <f>ROUNDUP(IF(A53=0,0,IFERROR(VLOOKUP($A53,'[1]Donor''s Assigned Kilos'!A:N,14,0),0)),0)</f>
        <v>0</v>
      </c>
      <c r="AW53" s="19">
        <f>IF(A53=0,0,IFERROR(SUMIFS([1]Population!X:X,[1]Population!J:J,'MASTER-2025'!A53),0))</f>
        <v>0</v>
      </c>
      <c r="AX53" s="20">
        <f>IFERROR(VLOOKUP($A53,'[1]Donor-Served OBs'!A:N,16,0),0)</f>
        <v>0</v>
      </c>
      <c r="AY53" s="20">
        <f>ROUNDUP(IF(A53=0,0,IFERROR(VLOOKUP($A53,'[1]Donor''s Assigned Kilos'!A:O,16,0),0)),0)</f>
        <v>0</v>
      </c>
      <c r="AZ53" s="20">
        <f>IF(A53=0,0,IFERROR(SUMIFS([1]Population!Y:Y,[1]Population!J:J,'MASTER-2025'!A53),0))</f>
        <v>0</v>
      </c>
      <c r="BA53" s="21">
        <f t="shared" si="15"/>
        <v>0</v>
      </c>
      <c r="BB53" s="21">
        <f t="shared" ref="BB53:BB58" si="28">INT(I53+L53+O53+R53+U53+X53+AA53+AD53+AG53+AJ53+AM53+AP53+AS53+AV53+AY53)</f>
        <v>0</v>
      </c>
      <c r="BC53" s="21">
        <f t="shared" si="24"/>
        <v>0</v>
      </c>
      <c r="BD53" s="21">
        <f t="shared" si="26"/>
        <v>0</v>
      </c>
      <c r="BE53" s="22" t="e">
        <f>IF(A53=0,0,SUMIFS([1]Population!C:C,[1]Population!A:A,'MASTER-2025'!A53))</f>
        <v>#VALUE!</v>
      </c>
      <c r="BF53" s="22" t="e">
        <f>IF(A53=0,0,SUMIFS([1]Population!D:D,[1]Population!A:A,'MASTER-2025'!A53))</f>
        <v>#VALUE!</v>
      </c>
      <c r="BG53" s="22" t="e">
        <f>IF(A53=0,0,SUMIFS([1]Population!E:E,[1]Population!A:A,'MASTER-2025'!A53))</f>
        <v>#VALUE!</v>
      </c>
      <c r="BH53" s="22" t="e">
        <f>IF(A53=0,0,SUMIFS([1]Population!F:F,[1]Population!A:A,'MASTER-2025'!A53))</f>
        <v>#VALUE!</v>
      </c>
      <c r="BI53" s="22" t="e">
        <f t="shared" si="18"/>
        <v>#VALUE!</v>
      </c>
      <c r="BJ53" s="23" t="e">
        <f t="shared" si="6"/>
        <v>#VALUE!</v>
      </c>
      <c r="BK53" s="22" t="e">
        <f>IF(A53=0,0,SUMIFS([1]Population!G:G,[1]Population!A:A,'MASTER-2025'!A53))</f>
        <v>#VALUE!</v>
      </c>
      <c r="BL53" s="24" cm="1">
        <f t="array" ref="BL53:BW53">IFERROR(VLOOKUP(A53,'[1]Now-OB-kg-POB-25'!A:AQ,{3,4,5,6,7,8,9,10,11,12,13,14},0),0)</f>
        <v>33</v>
      </c>
      <c r="BM53" s="24">
        <v>34</v>
      </c>
      <c r="BN53" s="24">
        <v>36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f t="shared" si="7"/>
        <v>103</v>
      </c>
      <c r="BY53" s="25" cm="1">
        <f t="array" ref="BY53:CJ53">IFERROR(VLOOKUP(A53,'[1]Now-OB-kg-POB-25'!A:AQ,{17,18,19,20,21,22,23,24,25,26,27,28},0),0)</f>
        <v>0</v>
      </c>
      <c r="BZ53" s="25">
        <v>0</v>
      </c>
      <c r="CA53" s="25">
        <v>0</v>
      </c>
      <c r="CB53" s="25">
        <v>0</v>
      </c>
      <c r="CC53" s="25">
        <v>0</v>
      </c>
      <c r="CD53" s="25">
        <v>0</v>
      </c>
      <c r="CE53" s="25">
        <v>0</v>
      </c>
      <c r="CF53" s="25">
        <v>0</v>
      </c>
      <c r="CG53" s="25">
        <v>0</v>
      </c>
      <c r="CH53" s="25">
        <v>0</v>
      </c>
      <c r="CI53" s="25">
        <v>0</v>
      </c>
      <c r="CJ53" s="25">
        <v>0</v>
      </c>
      <c r="CK53" s="25">
        <f t="shared" si="8"/>
        <v>0</v>
      </c>
      <c r="CL53" s="26" cm="1">
        <f t="array" ref="CL53:CW53">IFERROR(VLOOKUP(A53,'[1]Now-OB-kg-POB-25'!A:AQ,{31,32,33,34,35,36,37,38,39,40,41,42},0),0)</f>
        <v>1635</v>
      </c>
      <c r="CM53" s="26">
        <v>1635</v>
      </c>
      <c r="CN53" s="26">
        <v>1830</v>
      </c>
      <c r="CO53" s="26">
        <v>0</v>
      </c>
      <c r="CP53" s="26">
        <v>0</v>
      </c>
      <c r="CQ53" s="26">
        <v>0</v>
      </c>
      <c r="CR53" s="26">
        <v>0</v>
      </c>
      <c r="CS53" s="26">
        <v>0</v>
      </c>
      <c r="CT53" s="26">
        <v>0</v>
      </c>
      <c r="CU53" s="26">
        <v>0</v>
      </c>
      <c r="CV53" s="26">
        <v>0</v>
      </c>
      <c r="CW53" s="26">
        <v>0</v>
      </c>
      <c r="CX53" s="26">
        <f t="shared" si="9"/>
        <v>5100</v>
      </c>
      <c r="CY53" s="14" t="str">
        <f>IF(A53=0,0,IFERROR(VLOOKUP(A53,'[1]Info Donantes'!C:F,2,0),"Sin Contacto"))</f>
        <v>Sin Contacto</v>
      </c>
      <c r="CZ53" s="14" t="str">
        <f>IF(A53=0,0,IFERROR(VLOOKUP(A53,'[1]Info Donantes'!C:F,3,0),"Sin Correo"))</f>
        <v>Sin Correo</v>
      </c>
      <c r="DA53" s="14" t="str">
        <f>IF(A53=0,0,IFERROR(VLOOKUP(A53,'[1]Info Donantes'!C:F,4,0),"Sin Telefono"))</f>
        <v>Sin Telefono</v>
      </c>
      <c r="DB53" s="14" t="s">
        <v>209</v>
      </c>
    </row>
    <row r="54" spans="1:106" x14ac:dyDescent="0.55000000000000004">
      <c r="A54" s="31" t="s">
        <v>210</v>
      </c>
      <c r="B54" s="15">
        <f>INT(IFERROR(VLOOKUP(A54,'[1]Donor Summary'!C:F,3,0),0))</f>
        <v>8</v>
      </c>
      <c r="C54" s="15">
        <f>INT(ROUND(IFERROR(VLOOKUP(A54,'[1]Donor Summary'!C:F,4,0),0),1))</f>
        <v>738</v>
      </c>
      <c r="D54" s="16">
        <f t="shared" si="19"/>
        <v>730</v>
      </c>
      <c r="E54" s="17" t="str">
        <f t="shared" si="20"/>
        <v>98.92%</v>
      </c>
      <c r="F54" s="17" t="str">
        <f t="shared" si="21"/>
        <v>1.1%</v>
      </c>
      <c r="G54" s="15">
        <f t="shared" si="25"/>
        <v>2190</v>
      </c>
      <c r="H54" s="18"/>
      <c r="I54" s="18">
        <f>IFERROR(VLOOKUP(A54,'[1]Lot All by Part'!T:Y,6,0),0)</f>
        <v>0</v>
      </c>
      <c r="J54" s="18"/>
      <c r="K54" s="19">
        <f>IFERROR(VLOOKUP($A54,'[1]Donor-Served OBs'!A:N,3,0),0)</f>
        <v>5</v>
      </c>
      <c r="L54" s="19">
        <f>ROUNDUP(IF(A54=0,0,IFERROR(VLOOKUP($A54,'[1]Donor''s Assigned Kilos'!A:O,3,0),0)),0)</f>
        <v>210</v>
      </c>
      <c r="M54" s="19">
        <f>IF(A54=0,0,IFERROR(SUMIFS([1]Population!M:M,[1]Population!J:J,'MASTER-2025'!A54),0))</f>
        <v>0</v>
      </c>
      <c r="N54" s="20">
        <f>IFERROR(VLOOKUP($A54,'[1]Donor-Served OBs'!A:N,4,0),0)</f>
        <v>10</v>
      </c>
      <c r="O54" s="20">
        <f>ROUNDUP(IF(A54=0,0,IFERROR(VLOOKUP($A54,'[1]Donor''s Assigned Kilos'!A:O,4,0),0)),0)</f>
        <v>275</v>
      </c>
      <c r="P54" s="20">
        <f>IF(A54=0,0,IFERROR(SUMIFS([1]Population!N:N,[1]Population!J:J,'MASTER-2025'!A54),0))</f>
        <v>0</v>
      </c>
      <c r="Q54" s="18">
        <f>IFERROR(VLOOKUP($A54,'[1]Donor-Served OBs'!A:N,2,0),0)</f>
        <v>2</v>
      </c>
      <c r="R54" s="18">
        <f>ROUNDUP(ROUND(IF(A54=0,0,IFERROR(VLOOKUP($A54,'[1]Donor''s Assigned Kilos'!A:O,9,0),0)),1),0)</f>
        <v>60</v>
      </c>
      <c r="S54" s="18">
        <f>IF(A54=0,0,IFERROR(SUMIFS([1]Population!S:S,[1]Population!J:J,'MASTER-2025'!A54),0))</f>
        <v>0</v>
      </c>
      <c r="T54" s="19">
        <f>IFERROR(VLOOKUP($A54,'[1]Donor-Served OBs'!A:N,12,0),0)</f>
        <v>1</v>
      </c>
      <c r="U54" s="19">
        <f>ROUNDUP(IF(A54=0,0,IF(A54=0,0,IFERROR(VLOOKUP($A54,'[1]Donor''s Assigned Kilos'!A:O,7,0),0))),0)</f>
        <v>60</v>
      </c>
      <c r="V54" s="19">
        <f>IF(A54=0,0,IFERROR(SUMIFS([1]Population!Q:Q,[1]Population!J:J,'MASTER-2025'!A54),0))</f>
        <v>0</v>
      </c>
      <c r="W54" s="20">
        <f>IFERROR(VLOOKUP($A54,'[1]Donor-Served OBs'!A:N,10,0),0)</f>
        <v>5</v>
      </c>
      <c r="X54" s="20">
        <f>ROUNDUP(IF(A54=0,0,IFERROR(VLOOKUP($A54,'[1]Donor''s Assigned Kilos'!A:N,5,0),0)),0)</f>
        <v>75</v>
      </c>
      <c r="Y54" s="20">
        <f>IF(A54=0,0,IFERROR(SUMIFS([1]Population!O:O,[1]Population!J:J,'MASTER-2025'!A54),0))</f>
        <v>0</v>
      </c>
      <c r="Z54" s="18">
        <f>IFERROR(VLOOKUP($A54,'[1]Donor-Served OBs'!A:N,6,0),0)</f>
        <v>0</v>
      </c>
      <c r="AA54" s="18">
        <f>ROUNDUP(IF(A54=0,0,IFERROR(VLOOKUP($A54,'[1]Donor''s Assigned Kilos'!A:N,11,0),0)),0)</f>
        <v>0</v>
      </c>
      <c r="AB54" s="18">
        <f>IF(A54=0,0,IFERROR(SUMIFS([1]Population!U:U,[1]Population!J:J,'MASTER-2025'!A54),0))</f>
        <v>0</v>
      </c>
      <c r="AC54" s="19">
        <f>IFERROR(VLOOKUP($A54,'[1]Donor-Served OBs'!A:N,7,0),0)</f>
        <v>1</v>
      </c>
      <c r="AD54" s="19">
        <f>ROUNDUP(IF(A54=0,0,IFERROR(VLOOKUP($A54,'[1]Donor''s Assigned Kilos'!A:N,8,0),0)),0)</f>
        <v>15</v>
      </c>
      <c r="AE54" s="19">
        <f>IF(A54=0,0,IFERROR(SUMIFS([1]Population!R:R,[1]Population!J:J,'MASTER-2025'!A54),0))</f>
        <v>0</v>
      </c>
      <c r="AF54" s="20">
        <f>IFERROR(VLOOKUP($A54,'[1]Donor-Served OBs'!A:N,8,0),0)</f>
        <v>0</v>
      </c>
      <c r="AG54" s="20">
        <f>ROUNDUP(IF(A54=0,0,IFERROR(VLOOKUP($A54,'[1]Donor''s Assigned Kilos'!A:N,6,0),0)),0)</f>
        <v>0</v>
      </c>
      <c r="AH54" s="20">
        <f>IF(A54=0,0,IFERROR(SUMIFS([1]Population!P:P,[1]Population!J:J,'MASTER-2025'!A54),0))</f>
        <v>0</v>
      </c>
      <c r="AI54" s="18">
        <f>IFERROR(VLOOKUP($A54,'[1]Donor-Served OBs'!A:N,9,0),0)</f>
        <v>0</v>
      </c>
      <c r="AJ54" s="18">
        <f>ROUNDUP(IF(A54=0,0,IFERROR(VLOOKUP($A54,'[1]Donor''s Assigned Kilos'!A:N,12,0),0)),0)</f>
        <v>0</v>
      </c>
      <c r="AK54" s="18">
        <f>IF(A54=0,0,IFERROR(SUMIFS([1]Population!V:V,[1]Population!J:J,'MASTER-2025'!A54),0))</f>
        <v>0</v>
      </c>
      <c r="AL54" s="19">
        <f>IFERROR(VLOOKUP($A54,'[1]Donor-Served OBs'!A:N,16,0),0)</f>
        <v>0</v>
      </c>
      <c r="AM54" s="19">
        <f>ROUNDUP(IF(A54=0,0,IFERROR(VLOOKUP($A54,'[1]Donor''s Assigned Kilos'!A:O,16,0),0)),0)</f>
        <v>0</v>
      </c>
      <c r="AN54" s="19">
        <f>IF(A54=0,0,IFERROR(SUMIFS([1]Population!Z:Z,[1]Population!J:J,'MASTER-2025'!A54),0))</f>
        <v>0</v>
      </c>
      <c r="AO54" s="20">
        <f>IFERROR(VLOOKUP($A54,'[1]Donor-Served OBs'!A:N,11,0),0)</f>
        <v>0</v>
      </c>
      <c r="AP54" s="20">
        <f>ROUNDUP(IF(A54=0,0,IFERROR(VLOOKUP($A54,'[1]Donor''s Assigned Kilos'!A:N,13,0),0)),0)</f>
        <v>0</v>
      </c>
      <c r="AQ54" s="20">
        <f>IF(A54=0,0,IFERROR(SUMIFS([1]Population!W:W,[1]Population!J:J,'MASTER-2025'!A54),0))</f>
        <v>0</v>
      </c>
      <c r="AR54" s="18">
        <f>IFERROR(VLOOKUP($A54,'[1]Donor-Served OBs'!A:N,5,0),0)</f>
        <v>1</v>
      </c>
      <c r="AS54" s="18">
        <f>ROUNDUP(IF(A54=0,0,IFERROR(VLOOKUP($A54,'[1]Donor''s Assigned Kilos'!A:N,10,0),0)),0)</f>
        <v>15</v>
      </c>
      <c r="AT54" s="18">
        <f>IF(A54=0,0,IFERROR(SUMIFS([1]Population!T:T,[1]Population!J:J,'MASTER-2025'!A54),0))</f>
        <v>0</v>
      </c>
      <c r="AU54" s="19">
        <f>IFERROR(VLOOKUP($A54,'[1]Donor-Served OBs'!A:N,13,0),0)</f>
        <v>0</v>
      </c>
      <c r="AV54" s="19">
        <f>ROUNDUP(IF(A54=0,0,IFERROR(VLOOKUP($A54,'[1]Donor''s Assigned Kilos'!A:N,14,0),0)),0)</f>
        <v>0</v>
      </c>
      <c r="AW54" s="19">
        <f>IF(A54=0,0,IFERROR(SUMIFS([1]Population!X:X,[1]Population!J:J,'MASTER-2025'!A54),0))</f>
        <v>0</v>
      </c>
      <c r="AX54" s="20">
        <f>IFERROR(VLOOKUP($A54,'[1]Donor-Served OBs'!A:N,16,0),0)</f>
        <v>0</v>
      </c>
      <c r="AY54" s="20">
        <f>ROUNDUP(IF(A54=0,0,IFERROR(VLOOKUP($A54,'[1]Donor''s Assigned Kilos'!A:O,16,0),0)),0)</f>
        <v>0</v>
      </c>
      <c r="AZ54" s="20">
        <f>IF(A54=0,0,IFERROR(SUMIFS([1]Population!Y:Y,[1]Population!J:J,'MASTER-2025'!A54),0))</f>
        <v>0</v>
      </c>
      <c r="BA54" s="21">
        <f t="shared" si="15"/>
        <v>25</v>
      </c>
      <c r="BB54" s="21">
        <f t="shared" si="28"/>
        <v>710</v>
      </c>
      <c r="BC54" s="21">
        <f t="shared" si="24"/>
        <v>605</v>
      </c>
      <c r="BD54" s="21">
        <f t="shared" si="26"/>
        <v>0</v>
      </c>
      <c r="BE54" s="22" t="e">
        <f>IF(A54=0,0,SUMIFS([1]Population!C:C,[1]Population!A:A,'MASTER-2025'!A54))</f>
        <v>#VALUE!</v>
      </c>
      <c r="BF54" s="22" t="e">
        <f>IF(A54=0,0,SUMIFS([1]Population!D:D,[1]Population!A:A,'MASTER-2025'!A54))</f>
        <v>#VALUE!</v>
      </c>
      <c r="BG54" s="22" t="e">
        <f>IF(A54=0,0,SUMIFS([1]Population!E:E,[1]Population!A:A,'MASTER-2025'!A54))</f>
        <v>#VALUE!</v>
      </c>
      <c r="BH54" s="22" t="e">
        <f>IF(A54=0,0,SUMIFS([1]Population!F:F,[1]Population!A:A,'MASTER-2025'!A54))</f>
        <v>#VALUE!</v>
      </c>
      <c r="BI54" s="22" t="e">
        <f t="shared" si="18"/>
        <v>#VALUE!</v>
      </c>
      <c r="BJ54" s="23" t="e">
        <f t="shared" si="6"/>
        <v>#VALUE!</v>
      </c>
      <c r="BK54" s="22" t="e">
        <f>IF(A54=0,0,SUMIFS([1]Population!G:G,[1]Population!A:A,'MASTER-2025'!A54))</f>
        <v>#VALUE!</v>
      </c>
      <c r="BL54" s="24" cm="1">
        <f t="array" ref="BL54:BW54">IFERROR(VLOOKUP(A54,'[1]Now-OB-kg-POB-25'!A:AQ,{3,4,5,6,7,8,9,10,11,12,13,14},0),0)</f>
        <v>0</v>
      </c>
      <c r="BM54" s="24">
        <v>22</v>
      </c>
      <c r="BN54" s="24">
        <v>25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f t="shared" si="7"/>
        <v>47</v>
      </c>
      <c r="BY54" s="25" cm="1">
        <f t="array" ref="BY54:CJ54">IFERROR(VLOOKUP(A54,'[1]Now-OB-kg-POB-25'!A:AQ,{17,18,19,20,21,22,23,24,25,26,27,28},0),0)</f>
        <v>0</v>
      </c>
      <c r="BZ54" s="25">
        <v>710</v>
      </c>
      <c r="CA54" s="25">
        <v>738</v>
      </c>
      <c r="CB54" s="25">
        <v>0</v>
      </c>
      <c r="CC54" s="25">
        <v>0</v>
      </c>
      <c r="CD54" s="25">
        <v>0</v>
      </c>
      <c r="CE54" s="25">
        <v>0</v>
      </c>
      <c r="CF54" s="25">
        <v>0</v>
      </c>
      <c r="CG54" s="25">
        <v>0</v>
      </c>
      <c r="CH54" s="25">
        <v>0</v>
      </c>
      <c r="CI54" s="25">
        <v>0</v>
      </c>
      <c r="CJ54" s="25">
        <v>0</v>
      </c>
      <c r="CK54" s="25">
        <f t="shared" si="8"/>
        <v>1448</v>
      </c>
      <c r="CL54" s="26" cm="1">
        <f t="array" ref="CL54:CW54">IFERROR(VLOOKUP(A54,'[1]Now-OB-kg-POB-25'!A:AQ,{31,32,33,34,35,36,37,38,39,40,41,42},0),0)</f>
        <v>0</v>
      </c>
      <c r="CM54" s="26">
        <v>5335</v>
      </c>
      <c r="CN54" s="26">
        <v>6715</v>
      </c>
      <c r="CO54" s="26">
        <v>0</v>
      </c>
      <c r="CP54" s="26">
        <v>0</v>
      </c>
      <c r="CQ54" s="26">
        <v>0</v>
      </c>
      <c r="CR54" s="26">
        <v>0</v>
      </c>
      <c r="CS54" s="26">
        <v>0</v>
      </c>
      <c r="CT54" s="26">
        <v>0</v>
      </c>
      <c r="CU54" s="26">
        <v>0</v>
      </c>
      <c r="CV54" s="26">
        <v>0</v>
      </c>
      <c r="CW54" s="26">
        <v>0</v>
      </c>
      <c r="CX54" s="26">
        <f t="shared" si="9"/>
        <v>12050</v>
      </c>
      <c r="CY54" s="14">
        <f>IF(A54=0,0,IFERROR(VLOOKUP(A54,'[1]Info Donantes'!C:F,2,0),"Sin Contacto"))</f>
        <v>0</v>
      </c>
      <c r="CZ54" s="14" t="str">
        <f>IF(A54=0,0,IFERROR(VLOOKUP(A54,'[1]Info Donantes'!C:F,3,0),"Sin Correo"))</f>
        <v>amizrachi@cerropunta.net</v>
      </c>
      <c r="DA54" s="14" t="str">
        <f>IF(A54=0,0,IFERROR(VLOOKUP(A54,'[1]Info Donantes'!C:F,4,0),"Sin Telefono"))</f>
        <v>221-0272</v>
      </c>
      <c r="DB54" s="14" t="s">
        <v>211</v>
      </c>
    </row>
    <row r="55" spans="1:106" x14ac:dyDescent="0.55000000000000004">
      <c r="A55" s="31" t="s">
        <v>212</v>
      </c>
      <c r="B55" s="15">
        <f>INT(IFERROR(VLOOKUP(A55,'[1]Donor Summary'!C:F,3,0),0))</f>
        <v>0</v>
      </c>
      <c r="C55" s="15">
        <f>INT(ROUND(IFERROR(VLOOKUP(A55,'[1]Donor Summary'!C:F,4,0),0),1))</f>
        <v>0</v>
      </c>
      <c r="D55" s="16">
        <f t="shared" si="19"/>
        <v>0</v>
      </c>
      <c r="E55" s="17" t="str">
        <f t="shared" si="20"/>
        <v>0.00%</v>
      </c>
      <c r="F55" s="17" t="str">
        <f t="shared" si="21"/>
        <v>0.0%</v>
      </c>
      <c r="G55" s="15">
        <f t="shared" si="25"/>
        <v>0</v>
      </c>
      <c r="H55" s="18"/>
      <c r="I55" s="18">
        <f>IFERROR(VLOOKUP(A55,'[1]Lot All by Part'!T:Y,6,0),0)</f>
        <v>0</v>
      </c>
      <c r="J55" s="18"/>
      <c r="K55" s="19">
        <f>IFERROR(VLOOKUP($A55,'[1]Donor-Served OBs'!A:N,3,0),0)</f>
        <v>0</v>
      </c>
      <c r="L55" s="19">
        <f>ROUNDUP(IF(A55=0,0,IFERROR(VLOOKUP($A55,'[1]Donor''s Assigned Kilos'!A:O,3,0),0)),0)</f>
        <v>0</v>
      </c>
      <c r="M55" s="19">
        <f>IF(A55=0,0,IFERROR(SUMIFS([1]Population!M:M,[1]Population!J:J,'MASTER-2025'!A55),0))</f>
        <v>0</v>
      </c>
      <c r="N55" s="20">
        <f>IFERROR(VLOOKUP($A55,'[1]Donor-Served OBs'!A:N,4,0),0)</f>
        <v>0</v>
      </c>
      <c r="O55" s="20">
        <f>ROUNDUP(IF(A55=0,0,IFERROR(VLOOKUP($A55,'[1]Donor''s Assigned Kilos'!A:O,4,0),0)),0)</f>
        <v>0</v>
      </c>
      <c r="P55" s="20">
        <f>IF(A55=0,0,IFERROR(SUMIFS([1]Population!N:N,[1]Population!J:J,'MASTER-2025'!A55),0))</f>
        <v>0</v>
      </c>
      <c r="Q55" s="18">
        <f>IFERROR(VLOOKUP($A55,'[1]Donor-Served OBs'!A:N,2,0),0)</f>
        <v>0</v>
      </c>
      <c r="R55" s="18">
        <f>ROUNDUP(ROUND(IF(A55=0,0,IFERROR(VLOOKUP($A55,'[1]Donor''s Assigned Kilos'!A:O,9,0),0)),1),0)</f>
        <v>0</v>
      </c>
      <c r="S55" s="18">
        <f>IF(A55=0,0,IFERROR(SUMIFS([1]Population!S:S,[1]Population!J:J,'MASTER-2025'!A55),0))</f>
        <v>0</v>
      </c>
      <c r="T55" s="19">
        <f>IFERROR(VLOOKUP($A55,'[1]Donor-Served OBs'!A:N,12,0),0)</f>
        <v>0</v>
      </c>
      <c r="U55" s="19">
        <f>ROUNDUP(IF(A55=0,0,IF(A55=0,0,IFERROR(VLOOKUP($A55,'[1]Donor''s Assigned Kilos'!A:O,7,0),0))),0)</f>
        <v>0</v>
      </c>
      <c r="V55" s="19">
        <f>IF(A55=0,0,IFERROR(SUMIFS([1]Population!Q:Q,[1]Population!J:J,'MASTER-2025'!A55),0))</f>
        <v>0</v>
      </c>
      <c r="W55" s="20">
        <f>IFERROR(VLOOKUP($A55,'[1]Donor-Served OBs'!A:N,10,0),0)</f>
        <v>0</v>
      </c>
      <c r="X55" s="20">
        <f>ROUNDUP(IF(A55=0,0,IFERROR(VLOOKUP($A55,'[1]Donor''s Assigned Kilos'!A:N,5,0),0)),0)</f>
        <v>0</v>
      </c>
      <c r="Y55" s="20">
        <f>IF(A55=0,0,IFERROR(SUMIFS([1]Population!O:O,[1]Population!J:J,'MASTER-2025'!A55),0))</f>
        <v>0</v>
      </c>
      <c r="Z55" s="18">
        <f>IFERROR(VLOOKUP($A55,'[1]Donor-Served OBs'!A:N,6,0),0)</f>
        <v>0</v>
      </c>
      <c r="AA55" s="18">
        <f>ROUNDUP(IF(A55=0,0,IFERROR(VLOOKUP($A55,'[1]Donor''s Assigned Kilos'!A:N,11,0),0)),0)</f>
        <v>0</v>
      </c>
      <c r="AB55" s="18">
        <f>IF(A55=0,0,IFERROR(SUMIFS([1]Population!U:U,[1]Population!J:J,'MASTER-2025'!A55),0))</f>
        <v>0</v>
      </c>
      <c r="AC55" s="19">
        <f>IFERROR(VLOOKUP($A55,'[1]Donor-Served OBs'!A:N,7,0),0)</f>
        <v>0</v>
      </c>
      <c r="AD55" s="19">
        <f>ROUNDUP(IF(A55=0,0,IFERROR(VLOOKUP($A55,'[1]Donor''s Assigned Kilos'!A:N,8,0),0)),0)</f>
        <v>0</v>
      </c>
      <c r="AE55" s="19">
        <f>IF(A55=0,0,IFERROR(SUMIFS([1]Population!R:R,[1]Population!J:J,'MASTER-2025'!A55),0))</f>
        <v>0</v>
      </c>
      <c r="AF55" s="20">
        <f>IFERROR(VLOOKUP($A55,'[1]Donor-Served OBs'!A:N,8,0),0)</f>
        <v>0</v>
      </c>
      <c r="AG55" s="20">
        <f>ROUNDUP(IF(A55=0,0,IFERROR(VLOOKUP($A55,'[1]Donor''s Assigned Kilos'!A:N,6,0),0)),0)</f>
        <v>0</v>
      </c>
      <c r="AH55" s="20">
        <f>IF(A55=0,0,IFERROR(SUMIFS([1]Population!P:P,[1]Population!J:J,'MASTER-2025'!A55),0))</f>
        <v>0</v>
      </c>
      <c r="AI55" s="18">
        <f>IFERROR(VLOOKUP($A55,'[1]Donor-Served OBs'!A:N,9,0),0)</f>
        <v>0</v>
      </c>
      <c r="AJ55" s="18">
        <f>ROUNDUP(IF(A55=0,0,IFERROR(VLOOKUP($A55,'[1]Donor''s Assigned Kilos'!A:N,12,0),0)),0)</f>
        <v>0</v>
      </c>
      <c r="AK55" s="18">
        <f>IF(A55=0,0,IFERROR(SUMIFS([1]Population!V:V,[1]Population!J:J,'MASTER-2025'!A55),0))</f>
        <v>0</v>
      </c>
      <c r="AL55" s="19">
        <f>IFERROR(VLOOKUP($A55,'[1]Donor-Served OBs'!A:N,16,0),0)</f>
        <v>0</v>
      </c>
      <c r="AM55" s="19">
        <f>ROUNDUP(IF(A55=0,0,IFERROR(VLOOKUP($A55,'[1]Donor''s Assigned Kilos'!A:O,16,0),0)),0)</f>
        <v>0</v>
      </c>
      <c r="AN55" s="19">
        <f>IF(A55=0,0,IFERROR(SUMIFS([1]Population!Z:Z,[1]Population!J:J,'MASTER-2025'!A55),0))</f>
        <v>0</v>
      </c>
      <c r="AO55" s="20">
        <f>IFERROR(VLOOKUP($A55,'[1]Donor-Served OBs'!A:N,11,0),0)</f>
        <v>0</v>
      </c>
      <c r="AP55" s="20">
        <f>ROUNDUP(IF(A55=0,0,IFERROR(VLOOKUP($A55,'[1]Donor''s Assigned Kilos'!A:N,13,0),0)),0)</f>
        <v>0</v>
      </c>
      <c r="AQ55" s="20">
        <f>IF(A55=0,0,IFERROR(SUMIFS([1]Population!W:W,[1]Population!J:J,'MASTER-2025'!A55),0))</f>
        <v>0</v>
      </c>
      <c r="AR55" s="18">
        <f>IFERROR(VLOOKUP($A55,'[1]Donor-Served OBs'!A:N,5,0),0)</f>
        <v>0</v>
      </c>
      <c r="AS55" s="18">
        <f>ROUNDUP(IF(A55=0,0,IFERROR(VLOOKUP($A55,'[1]Donor''s Assigned Kilos'!A:N,10,0),0)),0)</f>
        <v>0</v>
      </c>
      <c r="AT55" s="18">
        <f>IF(A55=0,0,IFERROR(SUMIFS([1]Population!T:T,[1]Population!J:J,'MASTER-2025'!A55),0))</f>
        <v>0</v>
      </c>
      <c r="AU55" s="19">
        <f>IFERROR(VLOOKUP($A55,'[1]Donor-Served OBs'!A:N,13,0),0)</f>
        <v>0</v>
      </c>
      <c r="AV55" s="19">
        <f>ROUNDUP(IF(A55=0,0,IFERROR(VLOOKUP($A55,'[1]Donor''s Assigned Kilos'!A:N,14,0),0)),0)</f>
        <v>0</v>
      </c>
      <c r="AW55" s="19">
        <f>IF(A55=0,0,IFERROR(SUMIFS([1]Population!X:X,[1]Population!J:J,'MASTER-2025'!A55),0))</f>
        <v>0</v>
      </c>
      <c r="AX55" s="20">
        <f>IFERROR(VLOOKUP($A55,'[1]Donor-Served OBs'!A:N,16,0),0)</f>
        <v>0</v>
      </c>
      <c r="AY55" s="20">
        <f>ROUNDUP(IF(A55=0,0,IFERROR(VLOOKUP($A55,'[1]Donor''s Assigned Kilos'!A:O,16,0),0)),0)</f>
        <v>0</v>
      </c>
      <c r="AZ55" s="20">
        <f>IF(A55=0,0,IFERROR(SUMIFS([1]Population!Y:Y,[1]Population!J:J,'MASTER-2025'!A55),0))</f>
        <v>0</v>
      </c>
      <c r="BA55" s="21">
        <f t="shared" si="15"/>
        <v>0</v>
      </c>
      <c r="BB55" s="21">
        <f t="shared" si="28"/>
        <v>0</v>
      </c>
      <c r="BC55" s="21">
        <f t="shared" si="24"/>
        <v>0</v>
      </c>
      <c r="BD55" s="21">
        <f t="shared" si="26"/>
        <v>0</v>
      </c>
      <c r="BE55" s="22" t="e">
        <f>IF(A55=0,0,SUMIFS([1]Population!C:C,[1]Population!A:A,'MASTER-2025'!A55))</f>
        <v>#VALUE!</v>
      </c>
      <c r="BF55" s="22" t="e">
        <f>IF(A55=0,0,SUMIFS([1]Population!D:D,[1]Population!A:A,'MASTER-2025'!A55))</f>
        <v>#VALUE!</v>
      </c>
      <c r="BG55" s="22" t="e">
        <f>IF(A55=0,0,SUMIFS([1]Population!E:E,[1]Population!A:A,'MASTER-2025'!A55))</f>
        <v>#VALUE!</v>
      </c>
      <c r="BH55" s="22" t="e">
        <f>IF(A55=0,0,SUMIFS([1]Population!F:F,[1]Population!A:A,'MASTER-2025'!A55))</f>
        <v>#VALUE!</v>
      </c>
      <c r="BI55" s="22" t="e">
        <f t="shared" si="18"/>
        <v>#VALUE!</v>
      </c>
      <c r="BJ55" s="23" t="e">
        <f t="shared" si="6"/>
        <v>#VALUE!</v>
      </c>
      <c r="BK55" s="22" t="e">
        <f>IF(A55=0,0,SUMIFS([1]Population!G:G,[1]Population!A:A,'MASTER-2025'!A55))</f>
        <v>#VALUE!</v>
      </c>
      <c r="BL55" s="24" cm="1">
        <f t="array" ref="BL55:BW55">IFERROR(VLOOKUP(A55,'[1]Now-OB-kg-POB-25'!A:AQ,{3,4,5,6,7,8,9,10,11,12,13,14},0),0)</f>
        <v>8</v>
      </c>
      <c r="BM55" s="24">
        <v>15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f t="shared" si="7"/>
        <v>23</v>
      </c>
      <c r="BY55" s="25" cm="1">
        <f t="array" ref="BY55:CJ55">IFERROR(VLOOKUP(A55,'[1]Now-OB-kg-POB-25'!A:AQ,{17,18,19,20,21,22,23,24,25,26,27,28},0),0)</f>
        <v>785</v>
      </c>
      <c r="BZ55" s="25">
        <v>1175</v>
      </c>
      <c r="CA55" s="25">
        <v>0</v>
      </c>
      <c r="CB55" s="25">
        <v>0</v>
      </c>
      <c r="CC55" s="25">
        <v>0</v>
      </c>
      <c r="CD55" s="25">
        <v>0</v>
      </c>
      <c r="CE55" s="25">
        <v>0</v>
      </c>
      <c r="CF55" s="25">
        <v>0</v>
      </c>
      <c r="CG55" s="25">
        <v>0</v>
      </c>
      <c r="CH55" s="25">
        <v>0</v>
      </c>
      <c r="CI55" s="25">
        <v>0</v>
      </c>
      <c r="CJ55" s="25">
        <v>0</v>
      </c>
      <c r="CK55" s="25">
        <f t="shared" si="8"/>
        <v>1960</v>
      </c>
      <c r="CL55" s="26" cm="1">
        <f t="array" ref="CL55:CW55">IFERROR(VLOOKUP(A55,'[1]Now-OB-kg-POB-25'!A:AQ,{31,32,33,34,35,36,37,38,39,40,41,42},0),0)</f>
        <v>1218</v>
      </c>
      <c r="CM55" s="26">
        <v>3066</v>
      </c>
      <c r="CN55" s="26">
        <v>0</v>
      </c>
      <c r="CO55" s="26">
        <v>0</v>
      </c>
      <c r="CP55" s="26">
        <v>0</v>
      </c>
      <c r="CQ55" s="26">
        <v>0</v>
      </c>
      <c r="CR55" s="26">
        <v>0</v>
      </c>
      <c r="CS55" s="26">
        <v>0</v>
      </c>
      <c r="CT55" s="26">
        <v>0</v>
      </c>
      <c r="CU55" s="26">
        <v>0</v>
      </c>
      <c r="CV55" s="26">
        <v>0</v>
      </c>
      <c r="CW55" s="26">
        <v>0</v>
      </c>
      <c r="CX55" s="26">
        <f t="shared" si="9"/>
        <v>4284</v>
      </c>
      <c r="CY55" s="14" t="str">
        <f>IF(A55=0,0,IFERROR(VLOOKUP(A55,'[1]Info Donantes'!C:F,2,0),"Sin Contacto"))</f>
        <v>Antonio Chan</v>
      </c>
      <c r="CZ55" s="14" t="str">
        <f>IF(A55=0,0,IFERROR(VLOOKUP(A55,'[1]Info Donantes'!C:F,3,0),"Sin Correo"))</f>
        <v>achan@levapan.net</v>
      </c>
      <c r="DA55" s="14" t="str">
        <f>IF(A55=0,0,IFERROR(VLOOKUP(A55,'[1]Info Donantes'!C:F,4,0),"Sin Telefono"))</f>
        <v>3201589</v>
      </c>
      <c r="DB55" s="14" t="s">
        <v>213</v>
      </c>
    </row>
    <row r="56" spans="1:106" x14ac:dyDescent="0.55000000000000004">
      <c r="A56" s="31" t="s">
        <v>214</v>
      </c>
      <c r="B56" s="15">
        <f>INT(IFERROR(VLOOKUP(A56,'[1]Donor Summary'!C:F,3,0),0))</f>
        <v>0</v>
      </c>
      <c r="C56" s="15">
        <f>INT(ROUND(IFERROR(VLOOKUP(A56,'[1]Donor Summary'!C:F,4,0),0),1))</f>
        <v>442</v>
      </c>
      <c r="D56" s="16">
        <f t="shared" si="19"/>
        <v>442</v>
      </c>
      <c r="E56" s="17" t="str">
        <f t="shared" si="20"/>
        <v>100.00%</v>
      </c>
      <c r="F56" s="17" t="str">
        <f t="shared" si="21"/>
        <v>0.0%</v>
      </c>
      <c r="G56" s="15">
        <f t="shared" si="25"/>
        <v>1326</v>
      </c>
      <c r="H56" s="18"/>
      <c r="I56" s="18">
        <f>IFERROR(VLOOKUP(A56,'[1]Lot All by Part'!T:Y,6,0),0)</f>
        <v>0</v>
      </c>
      <c r="J56" s="18"/>
      <c r="K56" s="19">
        <f>IFERROR(VLOOKUP($A56,'[1]Donor-Served OBs'!A:N,3,0),0)</f>
        <v>4</v>
      </c>
      <c r="L56" s="19">
        <f>ROUNDUP(IF(A56=0,0,IFERROR(VLOOKUP($A56,'[1]Donor''s Assigned Kilos'!A:O,3,0),0)),0)</f>
        <v>32</v>
      </c>
      <c r="M56" s="19">
        <f>IF(A56=0,0,IFERROR(SUMIFS([1]Population!M:M,[1]Population!J:J,'MASTER-2025'!A56),0))</f>
        <v>0</v>
      </c>
      <c r="N56" s="20">
        <f>IFERROR(VLOOKUP($A56,'[1]Donor-Served OBs'!A:N,4,0),0)</f>
        <v>7</v>
      </c>
      <c r="O56" s="20">
        <f>ROUNDUP(IF(A56=0,0,IFERROR(VLOOKUP($A56,'[1]Donor''s Assigned Kilos'!A:O,4,0),0)),0)</f>
        <v>74</v>
      </c>
      <c r="P56" s="20">
        <f>IF(A56=0,0,IFERROR(SUMIFS([1]Population!N:N,[1]Population!J:J,'MASTER-2025'!A56),0))</f>
        <v>0</v>
      </c>
      <c r="Q56" s="18">
        <f>IFERROR(VLOOKUP($A56,'[1]Donor-Served OBs'!A:N,2,0),0)</f>
        <v>2</v>
      </c>
      <c r="R56" s="18">
        <f>ROUNDUP(ROUND(IF(A56=0,0,IFERROR(VLOOKUP($A56,'[1]Donor''s Assigned Kilos'!A:O,9,0),0)),1),0)</f>
        <v>30</v>
      </c>
      <c r="S56" s="18">
        <f>IF(A56=0,0,IFERROR(SUMIFS([1]Population!S:S,[1]Population!J:J,'MASTER-2025'!A56),0))</f>
        <v>0</v>
      </c>
      <c r="T56" s="19">
        <f>IFERROR(VLOOKUP($A56,'[1]Donor-Served OBs'!A:N,12,0),0)</f>
        <v>4</v>
      </c>
      <c r="U56" s="19">
        <f>ROUNDUP(IF(A56=0,0,IF(A56=0,0,IFERROR(VLOOKUP($A56,'[1]Donor''s Assigned Kilos'!A:O,7,0),0))),0)</f>
        <v>44</v>
      </c>
      <c r="V56" s="19">
        <f>IF(A56=0,0,IFERROR(SUMIFS([1]Population!Q:Q,[1]Population!J:J,'MASTER-2025'!A56),0))</f>
        <v>0</v>
      </c>
      <c r="W56" s="20">
        <f>IFERROR(VLOOKUP($A56,'[1]Donor-Served OBs'!A:N,10,0),0)</f>
        <v>5</v>
      </c>
      <c r="X56" s="20">
        <f>ROUNDUP(IF(A56=0,0,IFERROR(VLOOKUP($A56,'[1]Donor''s Assigned Kilos'!A:N,5,0),0)),0)</f>
        <v>22</v>
      </c>
      <c r="Y56" s="20">
        <f>IF(A56=0,0,IFERROR(SUMIFS([1]Population!O:O,[1]Population!J:J,'MASTER-2025'!A56),0))</f>
        <v>0</v>
      </c>
      <c r="Z56" s="18">
        <f>IFERROR(VLOOKUP($A56,'[1]Donor-Served OBs'!A:N,6,0),0)</f>
        <v>0</v>
      </c>
      <c r="AA56" s="18">
        <f>ROUNDUP(IF(A56=0,0,IFERROR(VLOOKUP($A56,'[1]Donor''s Assigned Kilos'!A:N,11,0),0)),0)</f>
        <v>0</v>
      </c>
      <c r="AB56" s="18">
        <f>IF(A56=0,0,IFERROR(SUMIFS([1]Population!U:U,[1]Population!J:J,'MASTER-2025'!A56),0))</f>
        <v>0</v>
      </c>
      <c r="AC56" s="19">
        <f>IFERROR(VLOOKUP($A56,'[1]Donor-Served OBs'!A:N,7,0),0)</f>
        <v>3</v>
      </c>
      <c r="AD56" s="19">
        <f>ROUNDUP(IF(A56=0,0,IFERROR(VLOOKUP($A56,'[1]Donor''s Assigned Kilos'!A:N,8,0),0)),0)</f>
        <v>32</v>
      </c>
      <c r="AE56" s="19">
        <f>IF(A56=0,0,IFERROR(SUMIFS([1]Population!R:R,[1]Population!J:J,'MASTER-2025'!A56),0))</f>
        <v>0</v>
      </c>
      <c r="AF56" s="20">
        <f>IFERROR(VLOOKUP($A56,'[1]Donor-Served OBs'!A:N,8,0),0)</f>
        <v>2</v>
      </c>
      <c r="AG56" s="20">
        <f>ROUNDUP(IF(A56=0,0,IFERROR(VLOOKUP($A56,'[1]Donor''s Assigned Kilos'!A:N,6,0),0)),0)</f>
        <v>18</v>
      </c>
      <c r="AH56" s="20">
        <f>IF(A56=0,0,IFERROR(SUMIFS([1]Population!P:P,[1]Population!J:J,'MASTER-2025'!A56),0))</f>
        <v>0</v>
      </c>
      <c r="AI56" s="18">
        <f>IFERROR(VLOOKUP($A56,'[1]Donor-Served OBs'!A:N,9,0),0)</f>
        <v>0</v>
      </c>
      <c r="AJ56" s="18">
        <f>ROUNDUP(IF(A56=0,0,IFERROR(VLOOKUP($A56,'[1]Donor''s Assigned Kilos'!A:N,12,0),0)),0)</f>
        <v>0</v>
      </c>
      <c r="AK56" s="18">
        <f>IF(A56=0,0,IFERROR(SUMIFS([1]Population!V:V,[1]Population!J:J,'MASTER-2025'!A56),0))</f>
        <v>0</v>
      </c>
      <c r="AL56" s="19">
        <f>IFERROR(VLOOKUP($A56,'[1]Donor-Served OBs'!A:N,16,0),0)</f>
        <v>0</v>
      </c>
      <c r="AM56" s="19">
        <f>ROUNDUP(IF(A56=0,0,IFERROR(VLOOKUP($A56,'[1]Donor''s Assigned Kilos'!A:O,16,0),0)),0)</f>
        <v>0</v>
      </c>
      <c r="AN56" s="19">
        <f>IF(A56=0,0,IFERROR(SUMIFS([1]Population!Z:Z,[1]Population!J:J,'MASTER-2025'!A56),0))</f>
        <v>0</v>
      </c>
      <c r="AO56" s="20">
        <f>IFERROR(VLOOKUP($A56,'[1]Donor-Served OBs'!A:N,11,0),0)</f>
        <v>0</v>
      </c>
      <c r="AP56" s="20">
        <f>ROUNDUP(IF(A56=0,0,IFERROR(VLOOKUP($A56,'[1]Donor''s Assigned Kilos'!A:N,13,0),0)),0)</f>
        <v>0</v>
      </c>
      <c r="AQ56" s="20">
        <f>IF(A56=0,0,IFERROR(SUMIFS([1]Population!W:W,[1]Population!J:J,'MASTER-2025'!A56),0))</f>
        <v>0</v>
      </c>
      <c r="AR56" s="18">
        <f>IFERROR(VLOOKUP($A56,'[1]Donor-Served OBs'!A:N,5,0),0)</f>
        <v>0</v>
      </c>
      <c r="AS56" s="18">
        <f>ROUNDUP(IF(A56=0,0,IFERROR(VLOOKUP($A56,'[1]Donor''s Assigned Kilos'!A:N,10,0),0)),0)</f>
        <v>0</v>
      </c>
      <c r="AT56" s="18">
        <f>IF(A56=0,0,IFERROR(SUMIFS([1]Population!T:T,[1]Population!J:J,'MASTER-2025'!A56),0))</f>
        <v>0</v>
      </c>
      <c r="AU56" s="19">
        <f>IFERROR(VLOOKUP($A56,'[1]Donor-Served OBs'!A:N,13,0),0)</f>
        <v>0</v>
      </c>
      <c r="AV56" s="19">
        <f>ROUNDUP(IF(A56=0,0,IFERROR(VLOOKUP($A56,'[1]Donor''s Assigned Kilos'!A:N,14,0),0)),0)</f>
        <v>0</v>
      </c>
      <c r="AW56" s="19">
        <f>IF(A56=0,0,IFERROR(SUMIFS([1]Population!X:X,[1]Population!J:J,'MASTER-2025'!A56),0))</f>
        <v>0</v>
      </c>
      <c r="AX56" s="20">
        <f>IFERROR(VLOOKUP($A56,'[1]Donor-Served OBs'!A:N,16,0),0)</f>
        <v>0</v>
      </c>
      <c r="AY56" s="20">
        <f>ROUNDUP(IF(A56=0,0,IFERROR(VLOOKUP($A56,'[1]Donor''s Assigned Kilos'!A:O,16,0),0)),0)</f>
        <v>0</v>
      </c>
      <c r="AZ56" s="20">
        <f>IF(A56=0,0,IFERROR(SUMIFS([1]Population!Y:Y,[1]Population!J:J,'MASTER-2025'!A56),0))</f>
        <v>0</v>
      </c>
      <c r="BA56" s="21">
        <f t="shared" si="15"/>
        <v>27</v>
      </c>
      <c r="BB56" s="21">
        <f t="shared" si="28"/>
        <v>252</v>
      </c>
      <c r="BC56" s="21">
        <f t="shared" si="24"/>
        <v>180</v>
      </c>
      <c r="BD56" s="21">
        <f t="shared" si="26"/>
        <v>0</v>
      </c>
      <c r="BE56" s="22" t="e">
        <f>IF(A56=0,0,SUMIFS([1]Population!C:C,[1]Population!A:A,'MASTER-2025'!A56))</f>
        <v>#VALUE!</v>
      </c>
      <c r="BF56" s="22" t="e">
        <f>IF(A56=0,0,SUMIFS([1]Population!D:D,[1]Population!A:A,'MASTER-2025'!A56))</f>
        <v>#VALUE!</v>
      </c>
      <c r="BG56" s="22" t="e">
        <f>IF(A56=0,0,SUMIFS([1]Population!E:E,[1]Population!A:A,'MASTER-2025'!A56))</f>
        <v>#VALUE!</v>
      </c>
      <c r="BH56" s="22" t="e">
        <f>IF(A56=0,0,SUMIFS([1]Population!F:F,[1]Population!A:A,'MASTER-2025'!A56))</f>
        <v>#VALUE!</v>
      </c>
      <c r="BI56" s="22" t="e">
        <f t="shared" si="18"/>
        <v>#VALUE!</v>
      </c>
      <c r="BJ56" s="23" t="e">
        <f t="shared" si="6"/>
        <v>#VALUE!</v>
      </c>
      <c r="BK56" s="22" t="e">
        <f>IF(A56=0,0,SUMIFS([1]Population!G:G,[1]Population!A:A,'MASTER-2025'!A56))</f>
        <v>#VALUE!</v>
      </c>
      <c r="BL56" s="24" cm="1">
        <f t="array" ref="BL56:BW56">IFERROR(VLOOKUP(A56,'[1]Now-OB-kg-POB-25'!A:AQ,{3,4,5,6,7,8,9,10,11,12,13,14},0),0)</f>
        <v>25</v>
      </c>
      <c r="BM56" s="24">
        <v>50</v>
      </c>
      <c r="BN56" s="24">
        <v>27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BX56" s="24">
        <f t="shared" si="7"/>
        <v>102</v>
      </c>
      <c r="BY56" s="25" cm="1">
        <f t="array" ref="BY56:CJ56">IFERROR(VLOOKUP(A56,'[1]Now-OB-kg-POB-25'!A:AQ,{17,18,19,20,21,22,23,24,25,26,27,28},0),0)</f>
        <v>800</v>
      </c>
      <c r="BZ56" s="25">
        <v>2216</v>
      </c>
      <c r="CA56" s="25">
        <v>442</v>
      </c>
      <c r="CB56" s="25">
        <v>0</v>
      </c>
      <c r="CC56" s="25">
        <v>0</v>
      </c>
      <c r="CD56" s="25">
        <v>0</v>
      </c>
      <c r="CE56" s="25">
        <v>0</v>
      </c>
      <c r="CF56" s="25">
        <v>0</v>
      </c>
      <c r="CG56" s="25">
        <v>0</v>
      </c>
      <c r="CH56" s="25">
        <v>0</v>
      </c>
      <c r="CI56" s="25">
        <v>0</v>
      </c>
      <c r="CJ56" s="25">
        <v>0</v>
      </c>
      <c r="CK56" s="25">
        <f t="shared" si="8"/>
        <v>3458</v>
      </c>
      <c r="CL56" s="26" cm="1">
        <f t="array" ref="CL56:CW56">IFERROR(VLOOKUP(A56,'[1]Now-OB-kg-POB-25'!A:AQ,{31,32,33,34,35,36,37,38,39,40,41,42},0),0)</f>
        <v>4183</v>
      </c>
      <c r="CM56" s="26">
        <v>17751</v>
      </c>
      <c r="CN56" s="26">
        <v>7073</v>
      </c>
      <c r="CO56" s="26">
        <v>0</v>
      </c>
      <c r="CP56" s="26">
        <v>0</v>
      </c>
      <c r="CQ56" s="26">
        <v>0</v>
      </c>
      <c r="CR56" s="26">
        <v>0</v>
      </c>
      <c r="CS56" s="26">
        <v>0</v>
      </c>
      <c r="CT56" s="26">
        <v>0</v>
      </c>
      <c r="CU56" s="26">
        <v>0</v>
      </c>
      <c r="CV56" s="26">
        <v>0</v>
      </c>
      <c r="CW56" s="26">
        <v>0</v>
      </c>
      <c r="CX56" s="26">
        <f t="shared" si="9"/>
        <v>29007</v>
      </c>
      <c r="CY56" s="14" t="str">
        <f>IF(A56=0,0,IFERROR(VLOOKUP(A56,'[1]Info Donantes'!C:F,2,0),"Sin Contacto"))</f>
        <v>Maria Teresa Diaz</v>
      </c>
      <c r="CZ56" s="14" t="str">
        <f>IF(A56=0,0,IFERROR(VLOOKUP(A56,'[1]Info Donantes'!C:F,3,0),"Sin Correo"))</f>
        <v>mdiazq@dicsapanama.com</v>
      </c>
      <c r="DA56" s="14" t="str">
        <f>IF(A56=0,0,IFERROR(VLOOKUP(A56,'[1]Info Donantes'!C:F,4,0),"Sin Telefono"))</f>
        <v>271-0844</v>
      </c>
      <c r="DB56" s="14" t="s">
        <v>215</v>
      </c>
    </row>
    <row r="57" spans="1:106" x14ac:dyDescent="0.55000000000000004">
      <c r="A57" s="31" t="s">
        <v>216</v>
      </c>
      <c r="B57" s="15">
        <f>INT(IFERROR(VLOOKUP(A57,'[1]Donor Summary'!C:F,3,0),0))</f>
        <v>0</v>
      </c>
      <c r="C57" s="15">
        <f>INT(ROUND(IFERROR(VLOOKUP(A57,'[1]Donor Summary'!C:F,4,0),0),1))</f>
        <v>0</v>
      </c>
      <c r="D57" s="16">
        <f t="shared" si="19"/>
        <v>0</v>
      </c>
      <c r="E57" s="17" t="str">
        <f t="shared" si="20"/>
        <v>0.00%</v>
      </c>
      <c r="F57" s="17" t="str">
        <f t="shared" si="21"/>
        <v>0.0%</v>
      </c>
      <c r="G57" s="15">
        <f t="shared" si="25"/>
        <v>0</v>
      </c>
      <c r="H57" s="18"/>
      <c r="I57" s="18">
        <f>IFERROR(VLOOKUP(A57,'[1]Lot All by Part'!T:Y,6,0),0)</f>
        <v>0</v>
      </c>
      <c r="J57" s="18"/>
      <c r="K57" s="19">
        <f>IFERROR(VLOOKUP($A57,'[1]Donor-Served OBs'!A:N,3,0),0)</f>
        <v>0</v>
      </c>
      <c r="L57" s="19">
        <f>ROUNDUP(IF(A57=0,0,IFERROR(VLOOKUP($A57,'[1]Donor''s Assigned Kilos'!A:O,3,0),0)),0)</f>
        <v>0</v>
      </c>
      <c r="M57" s="19">
        <f>IF(A57=0,0,IFERROR(SUMIFS([1]Population!M:M,[1]Population!J:J,'MASTER-2025'!A57),0))</f>
        <v>0</v>
      </c>
      <c r="N57" s="20">
        <f>IFERROR(VLOOKUP($A57,'[1]Donor-Served OBs'!A:N,4,0),0)</f>
        <v>0</v>
      </c>
      <c r="O57" s="20">
        <f>ROUNDUP(IF(A57=0,0,IFERROR(VLOOKUP($A57,'[1]Donor''s Assigned Kilos'!A:O,4,0),0)),0)</f>
        <v>0</v>
      </c>
      <c r="P57" s="20">
        <f>IF(A57=0,0,IFERROR(SUMIFS([1]Population!N:N,[1]Population!J:J,'MASTER-2025'!A57),0))</f>
        <v>0</v>
      </c>
      <c r="Q57" s="18">
        <f>IFERROR(VLOOKUP($A57,'[1]Donor-Served OBs'!A:N,2,0),0)</f>
        <v>0</v>
      </c>
      <c r="R57" s="18">
        <f>ROUNDUP(ROUND(IF(A57=0,0,IFERROR(VLOOKUP($A57,'[1]Donor''s Assigned Kilos'!A:O,9,0),0)),1),0)</f>
        <v>0</v>
      </c>
      <c r="S57" s="18">
        <f>IF(A57=0,0,IFERROR(SUMIFS([1]Population!S:S,[1]Population!J:J,'MASTER-2025'!A57),0))</f>
        <v>0</v>
      </c>
      <c r="T57" s="19">
        <f>IFERROR(VLOOKUP($A57,'[1]Donor-Served OBs'!A:N,12,0),0)</f>
        <v>0</v>
      </c>
      <c r="U57" s="19">
        <f>ROUNDUP(IF(A57=0,0,IF(A57=0,0,IFERROR(VLOOKUP($A57,'[1]Donor''s Assigned Kilos'!A:O,7,0),0))),0)</f>
        <v>0</v>
      </c>
      <c r="V57" s="19">
        <f>IF(A57=0,0,IFERROR(SUMIFS([1]Population!Q:Q,[1]Population!J:J,'MASTER-2025'!A57),0))</f>
        <v>0</v>
      </c>
      <c r="W57" s="20">
        <f>IFERROR(VLOOKUP($A57,'[1]Donor-Served OBs'!A:N,10,0),0)</f>
        <v>0</v>
      </c>
      <c r="X57" s="20">
        <f>ROUNDUP(IF(A57=0,0,IFERROR(VLOOKUP($A57,'[1]Donor''s Assigned Kilos'!A:N,5,0),0)),0)</f>
        <v>0</v>
      </c>
      <c r="Y57" s="20">
        <f>IF(A57=0,0,IFERROR(SUMIFS([1]Population!O:O,[1]Population!J:J,'MASTER-2025'!A57),0))</f>
        <v>0</v>
      </c>
      <c r="Z57" s="18">
        <f>IFERROR(VLOOKUP($A57,'[1]Donor-Served OBs'!A:N,6,0),0)</f>
        <v>0</v>
      </c>
      <c r="AA57" s="18">
        <f>ROUNDUP(IF(A57=0,0,IFERROR(VLOOKUP($A57,'[1]Donor''s Assigned Kilos'!A:N,11,0),0)),0)</f>
        <v>0</v>
      </c>
      <c r="AB57" s="18">
        <f>IF(A57=0,0,IFERROR(SUMIFS([1]Population!U:U,[1]Population!J:J,'MASTER-2025'!A57),0))</f>
        <v>0</v>
      </c>
      <c r="AC57" s="19">
        <f>IFERROR(VLOOKUP($A57,'[1]Donor-Served OBs'!A:N,7,0),0)</f>
        <v>0</v>
      </c>
      <c r="AD57" s="19">
        <f>ROUNDUP(IF(A57=0,0,IFERROR(VLOOKUP($A57,'[1]Donor''s Assigned Kilos'!A:N,8,0),0)),0)</f>
        <v>0</v>
      </c>
      <c r="AE57" s="19">
        <f>IF(A57=0,0,IFERROR(SUMIFS([1]Population!R:R,[1]Population!J:J,'MASTER-2025'!A57),0))</f>
        <v>0</v>
      </c>
      <c r="AF57" s="20">
        <f>IFERROR(VLOOKUP($A57,'[1]Donor-Served OBs'!A:N,8,0),0)</f>
        <v>0</v>
      </c>
      <c r="AG57" s="20">
        <f>ROUNDUP(IF(A57=0,0,IFERROR(VLOOKUP($A57,'[1]Donor''s Assigned Kilos'!A:N,6,0),0)),0)</f>
        <v>0</v>
      </c>
      <c r="AH57" s="20">
        <f>IF(A57=0,0,IFERROR(SUMIFS([1]Population!P:P,[1]Population!J:J,'MASTER-2025'!A57),0))</f>
        <v>0</v>
      </c>
      <c r="AI57" s="18">
        <f>IFERROR(VLOOKUP($A57,'[1]Donor-Served OBs'!A:N,9,0),0)</f>
        <v>0</v>
      </c>
      <c r="AJ57" s="18">
        <f>ROUNDUP(IF(A57=0,0,IFERROR(VLOOKUP($A57,'[1]Donor''s Assigned Kilos'!A:N,12,0),0)),0)</f>
        <v>0</v>
      </c>
      <c r="AK57" s="18">
        <f>IF(A57=0,0,IFERROR(SUMIFS([1]Population!V:V,[1]Population!J:J,'MASTER-2025'!A57),0))</f>
        <v>0</v>
      </c>
      <c r="AL57" s="19">
        <f>IFERROR(VLOOKUP($A57,'[1]Donor-Served OBs'!A:N,16,0),0)</f>
        <v>0</v>
      </c>
      <c r="AM57" s="19">
        <f>ROUNDUP(IF(A57=0,0,IFERROR(VLOOKUP($A57,'[1]Donor''s Assigned Kilos'!A:O,16,0),0)),0)</f>
        <v>0</v>
      </c>
      <c r="AN57" s="19">
        <f>IF(A57=0,0,IFERROR(SUMIFS([1]Population!Z:Z,[1]Population!J:J,'MASTER-2025'!A57),0))</f>
        <v>0</v>
      </c>
      <c r="AO57" s="20">
        <f>IFERROR(VLOOKUP($A57,'[1]Donor-Served OBs'!A:N,11,0),0)</f>
        <v>0</v>
      </c>
      <c r="AP57" s="20">
        <f>ROUNDUP(IF(A57=0,0,IFERROR(VLOOKUP($A57,'[1]Donor''s Assigned Kilos'!A:N,13,0),0)),0)</f>
        <v>0</v>
      </c>
      <c r="AQ57" s="20">
        <f>IF(A57=0,0,IFERROR(SUMIFS([1]Population!W:W,[1]Population!J:J,'MASTER-2025'!A57),0))</f>
        <v>0</v>
      </c>
      <c r="AR57" s="18">
        <f>IFERROR(VLOOKUP($A57,'[1]Donor-Served OBs'!A:N,5,0),0)</f>
        <v>0</v>
      </c>
      <c r="AS57" s="18">
        <f>ROUNDUP(IF(A57=0,0,IFERROR(VLOOKUP($A57,'[1]Donor''s Assigned Kilos'!A:N,10,0),0)),0)</f>
        <v>0</v>
      </c>
      <c r="AT57" s="18">
        <f>IF(A57=0,0,IFERROR(SUMIFS([1]Population!T:T,[1]Population!J:J,'MASTER-2025'!A57),0))</f>
        <v>0</v>
      </c>
      <c r="AU57" s="19">
        <f>IFERROR(VLOOKUP($A57,'[1]Donor-Served OBs'!A:N,13,0),0)</f>
        <v>0</v>
      </c>
      <c r="AV57" s="19">
        <f>ROUNDUP(IF(A57=0,0,IFERROR(VLOOKUP($A57,'[1]Donor''s Assigned Kilos'!A:N,14,0),0)),0)</f>
        <v>0</v>
      </c>
      <c r="AW57" s="19">
        <f>IF(A57=0,0,IFERROR(SUMIFS([1]Population!X:X,[1]Population!J:J,'MASTER-2025'!A57),0))</f>
        <v>0</v>
      </c>
      <c r="AX57" s="20">
        <f>IFERROR(VLOOKUP($A57,'[1]Donor-Served OBs'!A:N,16,0),0)</f>
        <v>0</v>
      </c>
      <c r="AY57" s="20">
        <f>ROUNDUP(IF(A57=0,0,IFERROR(VLOOKUP($A57,'[1]Donor''s Assigned Kilos'!A:O,16,0),0)),0)</f>
        <v>0</v>
      </c>
      <c r="AZ57" s="20">
        <f>IF(A57=0,0,IFERROR(SUMIFS([1]Population!Y:Y,[1]Population!J:J,'MASTER-2025'!A57),0))</f>
        <v>0</v>
      </c>
      <c r="BA57" s="21">
        <f t="shared" si="15"/>
        <v>0</v>
      </c>
      <c r="BB57" s="21">
        <f t="shared" si="28"/>
        <v>0</v>
      </c>
      <c r="BC57" s="21">
        <f t="shared" si="24"/>
        <v>0</v>
      </c>
      <c r="BD57" s="21">
        <f t="shared" si="26"/>
        <v>0</v>
      </c>
      <c r="BE57" s="22" t="e">
        <f>IF(A57=0,0,SUMIFS([1]Population!C:C,[1]Population!A:A,'MASTER-2025'!A57))</f>
        <v>#VALUE!</v>
      </c>
      <c r="BF57" s="22" t="e">
        <f>IF(A57=0,0,SUMIFS([1]Population!D:D,[1]Population!A:A,'MASTER-2025'!A57))</f>
        <v>#VALUE!</v>
      </c>
      <c r="BG57" s="22" t="e">
        <f>IF(A57=0,0,SUMIFS([1]Population!E:E,[1]Population!A:A,'MASTER-2025'!A57))</f>
        <v>#VALUE!</v>
      </c>
      <c r="BH57" s="22" t="e">
        <f>IF(A57=0,0,SUMIFS([1]Population!F:F,[1]Population!A:A,'MASTER-2025'!A57))</f>
        <v>#VALUE!</v>
      </c>
      <c r="BI57" s="22" t="e">
        <f t="shared" si="18"/>
        <v>#VALUE!</v>
      </c>
      <c r="BJ57" s="23" t="e">
        <f t="shared" si="6"/>
        <v>#VALUE!</v>
      </c>
      <c r="BK57" s="22" t="e">
        <f>IF(A57=0,0,SUMIFS([1]Population!G:G,[1]Population!A:A,'MASTER-2025'!A57))</f>
        <v>#VALUE!</v>
      </c>
      <c r="BL57" s="24" cm="1">
        <f t="array" ref="BL57:BW57">IFERROR(VLOOKUP(A57,'[1]Now-OB-kg-POB-25'!A:AQ,{3,4,5,6,7,8,9,10,11,12,13,14},0),0)</f>
        <v>0</v>
      </c>
      <c r="BM57" s="24">
        <v>0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0</v>
      </c>
      <c r="BU57" s="24">
        <v>0</v>
      </c>
      <c r="BV57" s="24">
        <v>0</v>
      </c>
      <c r="BW57" s="24">
        <v>0</v>
      </c>
      <c r="BX57" s="24">
        <f t="shared" si="7"/>
        <v>0</v>
      </c>
      <c r="BY57" s="25" cm="1">
        <f t="array" ref="BY57:CJ57">IFERROR(VLOOKUP(A57,'[1]Now-OB-kg-POB-25'!A:AQ,{17,18,19,20,21,22,23,24,25,26,27,28},0),0)</f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0</v>
      </c>
      <c r="CE57" s="25">
        <v>0</v>
      </c>
      <c r="CF57" s="25">
        <v>0</v>
      </c>
      <c r="CG57" s="25">
        <v>0</v>
      </c>
      <c r="CH57" s="25">
        <v>0</v>
      </c>
      <c r="CI57" s="25">
        <v>0</v>
      </c>
      <c r="CJ57" s="25">
        <v>0</v>
      </c>
      <c r="CK57" s="25">
        <f t="shared" si="8"/>
        <v>0</v>
      </c>
      <c r="CL57" s="26" cm="1">
        <f t="array" ref="CL57:CW57">IFERROR(VLOOKUP(A57,'[1]Now-OB-kg-POB-25'!A:AQ,{31,32,33,34,35,36,37,38,39,40,41,42},0),0)</f>
        <v>0</v>
      </c>
      <c r="CM57" s="26">
        <v>0</v>
      </c>
      <c r="CN57" s="26">
        <v>0</v>
      </c>
      <c r="CO57" s="26">
        <v>0</v>
      </c>
      <c r="CP57" s="26">
        <v>0</v>
      </c>
      <c r="CQ57" s="26">
        <v>0</v>
      </c>
      <c r="CR57" s="26">
        <v>0</v>
      </c>
      <c r="CS57" s="26">
        <v>0</v>
      </c>
      <c r="CT57" s="26">
        <v>0</v>
      </c>
      <c r="CU57" s="26">
        <v>0</v>
      </c>
      <c r="CV57" s="26">
        <v>0</v>
      </c>
      <c r="CW57" s="26">
        <v>0</v>
      </c>
      <c r="CX57" s="26">
        <f t="shared" si="9"/>
        <v>0</v>
      </c>
      <c r="CY57" s="14" t="str">
        <f>IF(A57=0,0,IFERROR(VLOOKUP(A57,'[1]Info Donantes'!C:F,2,0),"Sin Contacto"))</f>
        <v>Sin Contacto</v>
      </c>
      <c r="CZ57" s="14" t="str">
        <f>IF(A57=0,0,IFERROR(VLOOKUP(A57,'[1]Info Donantes'!C:F,3,0),"Sin Correo"))</f>
        <v>Sin Correo</v>
      </c>
      <c r="DA57" s="14" t="str">
        <f>IF(A57=0,0,IFERROR(VLOOKUP(A57,'[1]Info Donantes'!C:F,4,0),"Sin Telefono"))</f>
        <v>Sin Telefono</v>
      </c>
      <c r="DB57" s="14" t="s">
        <v>217</v>
      </c>
    </row>
    <row r="58" spans="1:106" x14ac:dyDescent="0.55000000000000004">
      <c r="A58" s="31" t="s">
        <v>218</v>
      </c>
      <c r="B58" s="15">
        <f>INT(IFERROR(VLOOKUP(A58,'[1]Donor Summary'!C:F,3,0),0))</f>
        <v>0</v>
      </c>
      <c r="C58" s="15">
        <f>INT(ROUND(IFERROR(VLOOKUP(A58,'[1]Donor Summary'!C:F,4,0),0),1))</f>
        <v>0</v>
      </c>
      <c r="D58" s="16">
        <f t="shared" si="19"/>
        <v>0</v>
      </c>
      <c r="E58" s="17" t="str">
        <f t="shared" si="20"/>
        <v>0.00%</v>
      </c>
      <c r="F58" s="17" t="str">
        <f t="shared" si="21"/>
        <v>0.0%</v>
      </c>
      <c r="G58" s="15">
        <f t="shared" si="25"/>
        <v>0</v>
      </c>
      <c r="H58" s="18"/>
      <c r="I58" s="18">
        <f>IFERROR(VLOOKUP(A58,'[1]Lot All by Part'!T:Y,6,0),0)</f>
        <v>0</v>
      </c>
      <c r="J58" s="18"/>
      <c r="K58" s="19">
        <f>IFERROR(VLOOKUP($A58,'[1]Donor-Served OBs'!A:N,3,0),0)</f>
        <v>0</v>
      </c>
      <c r="L58" s="19">
        <f>ROUNDUP(IF(A58=0,0,IFERROR(VLOOKUP($A58,'[1]Donor''s Assigned Kilos'!A:O,3,0),0)),0)</f>
        <v>0</v>
      </c>
      <c r="M58" s="19">
        <f>IF(A58=0,0,IFERROR(SUMIFS([1]Population!M:M,[1]Population!J:J,'MASTER-2025'!A58),0))</f>
        <v>0</v>
      </c>
      <c r="N58" s="20">
        <f>IFERROR(VLOOKUP($A58,'[1]Donor-Served OBs'!A:N,4,0),0)</f>
        <v>0</v>
      </c>
      <c r="O58" s="20">
        <f>ROUNDUP(IF(A58=0,0,IFERROR(VLOOKUP($A58,'[1]Donor''s Assigned Kilos'!A:O,4,0),0)),0)</f>
        <v>0</v>
      </c>
      <c r="P58" s="20">
        <f>IF(A58=0,0,IFERROR(SUMIFS([1]Population!N:N,[1]Population!J:J,'MASTER-2025'!A58),0))</f>
        <v>0</v>
      </c>
      <c r="Q58" s="18">
        <f>IFERROR(VLOOKUP($A58,'[1]Donor-Served OBs'!A:N,2,0),0)</f>
        <v>0</v>
      </c>
      <c r="R58" s="18">
        <f>ROUNDUP(ROUND(IF(A58=0,0,IFERROR(VLOOKUP($A58,'[1]Donor''s Assigned Kilos'!A:O,9,0),0)),1),0)</f>
        <v>0</v>
      </c>
      <c r="S58" s="18">
        <f>IF(A58=0,0,IFERROR(SUMIFS([1]Population!S:S,[1]Population!J:J,'MASTER-2025'!A58),0))</f>
        <v>0</v>
      </c>
      <c r="T58" s="19">
        <f>IFERROR(VLOOKUP($A58,'[1]Donor-Served OBs'!A:N,12,0),0)</f>
        <v>0</v>
      </c>
      <c r="U58" s="19">
        <f>ROUNDUP(IF(A58=0,0,IF(A58=0,0,IFERROR(VLOOKUP($A58,'[1]Donor''s Assigned Kilos'!A:O,7,0),0))),0)</f>
        <v>0</v>
      </c>
      <c r="V58" s="19">
        <f>IF(A58=0,0,IFERROR(SUMIFS([1]Population!Q:Q,[1]Population!J:J,'MASTER-2025'!A58),0))</f>
        <v>0</v>
      </c>
      <c r="W58" s="20">
        <f>IFERROR(VLOOKUP($A58,'[1]Donor-Served OBs'!A:N,10,0),0)</f>
        <v>0</v>
      </c>
      <c r="X58" s="20">
        <f>ROUNDUP(IF(A58=0,0,IFERROR(VLOOKUP($A58,'[1]Donor''s Assigned Kilos'!A:N,5,0),0)),0)</f>
        <v>0</v>
      </c>
      <c r="Y58" s="20">
        <f>IF(A58=0,0,IFERROR(SUMIFS([1]Population!O:O,[1]Population!J:J,'MASTER-2025'!A58),0))</f>
        <v>0</v>
      </c>
      <c r="Z58" s="18">
        <f>IFERROR(VLOOKUP($A58,'[1]Donor-Served OBs'!A:N,6,0),0)</f>
        <v>0</v>
      </c>
      <c r="AA58" s="18">
        <f>ROUNDUP(IF(A58=0,0,IFERROR(VLOOKUP($A58,'[1]Donor''s Assigned Kilos'!A:N,11,0),0)),0)</f>
        <v>0</v>
      </c>
      <c r="AB58" s="18">
        <f>IF(A58=0,0,IFERROR(SUMIFS([1]Population!U:U,[1]Population!J:J,'MASTER-2025'!A58),0))</f>
        <v>0</v>
      </c>
      <c r="AC58" s="19">
        <f>IFERROR(VLOOKUP($A58,'[1]Donor-Served OBs'!A:N,7,0),0)</f>
        <v>0</v>
      </c>
      <c r="AD58" s="19">
        <f>ROUNDUP(IF(A58=0,0,IFERROR(VLOOKUP($A58,'[1]Donor''s Assigned Kilos'!A:N,8,0),0)),0)</f>
        <v>0</v>
      </c>
      <c r="AE58" s="19">
        <f>IF(A58=0,0,IFERROR(SUMIFS([1]Population!R:R,[1]Population!J:J,'MASTER-2025'!A58),0))</f>
        <v>0</v>
      </c>
      <c r="AF58" s="20">
        <f>IFERROR(VLOOKUP($A58,'[1]Donor-Served OBs'!A:N,8,0),0)</f>
        <v>0</v>
      </c>
      <c r="AG58" s="20">
        <f>ROUNDUP(IF(A58=0,0,IFERROR(VLOOKUP($A58,'[1]Donor''s Assigned Kilos'!A:N,6,0),0)),0)</f>
        <v>0</v>
      </c>
      <c r="AH58" s="20">
        <f>IF(A58=0,0,IFERROR(SUMIFS([1]Population!P:P,[1]Population!J:J,'MASTER-2025'!A58),0))</f>
        <v>0</v>
      </c>
      <c r="AI58" s="18">
        <f>IFERROR(VLOOKUP($A58,'[1]Donor-Served OBs'!A:N,9,0),0)</f>
        <v>0</v>
      </c>
      <c r="AJ58" s="18">
        <f>ROUNDUP(IF(A58=0,0,IFERROR(VLOOKUP($A58,'[1]Donor''s Assigned Kilos'!A:N,12,0),0)),0)</f>
        <v>0</v>
      </c>
      <c r="AK58" s="18">
        <f>IF(A58=0,0,IFERROR(SUMIFS([1]Population!V:V,[1]Population!J:J,'MASTER-2025'!A58),0))</f>
        <v>0</v>
      </c>
      <c r="AL58" s="19">
        <f>IFERROR(VLOOKUP($A58,'[1]Donor-Served OBs'!A:N,16,0),0)</f>
        <v>0</v>
      </c>
      <c r="AM58" s="19">
        <f>ROUNDUP(IF(A58=0,0,IFERROR(VLOOKUP($A58,'[1]Donor''s Assigned Kilos'!A:O,16,0),0)),0)</f>
        <v>0</v>
      </c>
      <c r="AN58" s="19">
        <f>IF(A58=0,0,IFERROR(SUMIFS([1]Population!Z:Z,[1]Population!J:J,'MASTER-2025'!A58),0))</f>
        <v>0</v>
      </c>
      <c r="AO58" s="20">
        <f>IFERROR(VLOOKUP($A58,'[1]Donor-Served OBs'!A:N,11,0),0)</f>
        <v>0</v>
      </c>
      <c r="AP58" s="20">
        <f>ROUNDUP(IF(A58=0,0,IFERROR(VLOOKUP($A58,'[1]Donor''s Assigned Kilos'!A:N,13,0),0)),0)</f>
        <v>0</v>
      </c>
      <c r="AQ58" s="20">
        <f>IF(A58=0,0,IFERROR(SUMIFS([1]Population!W:W,[1]Population!J:J,'MASTER-2025'!A58),0))</f>
        <v>0</v>
      </c>
      <c r="AR58" s="18">
        <f>IFERROR(VLOOKUP($A58,'[1]Donor-Served OBs'!A:N,5,0),0)</f>
        <v>0</v>
      </c>
      <c r="AS58" s="18">
        <f>ROUNDUP(IF(A58=0,0,IFERROR(VLOOKUP($A58,'[1]Donor''s Assigned Kilos'!A:N,10,0),0)),0)</f>
        <v>0</v>
      </c>
      <c r="AT58" s="18">
        <f>IF(A58=0,0,IFERROR(SUMIFS([1]Population!T:T,[1]Population!J:J,'MASTER-2025'!A58),0))</f>
        <v>0</v>
      </c>
      <c r="AU58" s="19">
        <f>IFERROR(VLOOKUP($A58,'[1]Donor-Served OBs'!A:N,13,0),0)</f>
        <v>0</v>
      </c>
      <c r="AV58" s="19">
        <f>ROUNDUP(IF(A58=0,0,IFERROR(VLOOKUP($A58,'[1]Donor''s Assigned Kilos'!A:N,14,0),0)),0)</f>
        <v>0</v>
      </c>
      <c r="AW58" s="19">
        <f>IF(A58=0,0,IFERROR(SUMIFS([1]Population!X:X,[1]Population!J:J,'MASTER-2025'!A58),0))</f>
        <v>0</v>
      </c>
      <c r="AX58" s="20">
        <f>IFERROR(VLOOKUP($A58,'[1]Donor-Served OBs'!A:N,16,0),0)</f>
        <v>0</v>
      </c>
      <c r="AY58" s="20">
        <f>ROUNDUP(IF(A58=0,0,IFERROR(VLOOKUP($A58,'[1]Donor''s Assigned Kilos'!A:O,16,0),0)),0)</f>
        <v>0</v>
      </c>
      <c r="AZ58" s="20">
        <f>IF(A58=0,0,IFERROR(SUMIFS([1]Population!Y:Y,[1]Population!J:J,'MASTER-2025'!A58),0))</f>
        <v>0</v>
      </c>
      <c r="BA58" s="21">
        <f t="shared" si="15"/>
        <v>0</v>
      </c>
      <c r="BB58" s="21">
        <f t="shared" si="28"/>
        <v>0</v>
      </c>
      <c r="BC58" s="21">
        <f t="shared" si="24"/>
        <v>0</v>
      </c>
      <c r="BD58" s="21">
        <f t="shared" si="26"/>
        <v>0</v>
      </c>
      <c r="BE58" s="22" t="e">
        <f>IF(A58=0,0,SUMIFS([1]Population!C:C,[1]Population!A:A,'MASTER-2025'!A58))</f>
        <v>#VALUE!</v>
      </c>
      <c r="BF58" s="22" t="e">
        <f>IF(A58=0,0,SUMIFS([1]Population!D:D,[1]Population!A:A,'MASTER-2025'!A58))</f>
        <v>#VALUE!</v>
      </c>
      <c r="BG58" s="22" t="e">
        <f>IF(A58=0,0,SUMIFS([1]Population!E:E,[1]Population!A:A,'MASTER-2025'!A58))</f>
        <v>#VALUE!</v>
      </c>
      <c r="BH58" s="22" t="e">
        <f>IF(A58=0,0,SUMIFS([1]Population!F:F,[1]Population!A:A,'MASTER-2025'!A58))</f>
        <v>#VALUE!</v>
      </c>
      <c r="BI58" s="22" t="e">
        <f t="shared" si="18"/>
        <v>#VALUE!</v>
      </c>
      <c r="BJ58" s="23" t="e">
        <f t="shared" si="6"/>
        <v>#VALUE!</v>
      </c>
      <c r="BK58" s="22" t="e">
        <f>IF(A58=0,0,SUMIFS([1]Population!G:G,[1]Population!A:A,'MASTER-2025'!A58))</f>
        <v>#VALUE!</v>
      </c>
      <c r="BL58" s="24" cm="1">
        <f t="array" ref="BL58:BW58">IFERROR(VLOOKUP(A58,'[1]Now-OB-kg-POB-25'!A:AQ,{3,4,5,6,7,8,9,10,11,12,13,14},0),0)</f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BX58" s="24">
        <f t="shared" si="7"/>
        <v>0</v>
      </c>
      <c r="BY58" s="25" cm="1">
        <f t="array" ref="BY58:CJ58">IFERROR(VLOOKUP(A58,'[1]Now-OB-kg-POB-25'!A:AQ,{17,18,19,20,21,22,23,24,25,26,27,28},0),0)</f>
        <v>0</v>
      </c>
      <c r="BZ58" s="25">
        <v>0</v>
      </c>
      <c r="CA58" s="25">
        <v>0</v>
      </c>
      <c r="CB58" s="25">
        <v>0</v>
      </c>
      <c r="CC58" s="25">
        <v>0</v>
      </c>
      <c r="CD58" s="25">
        <v>0</v>
      </c>
      <c r="CE58" s="25">
        <v>0</v>
      </c>
      <c r="CF58" s="25">
        <v>0</v>
      </c>
      <c r="CG58" s="25">
        <v>0</v>
      </c>
      <c r="CH58" s="25">
        <v>0</v>
      </c>
      <c r="CI58" s="25">
        <v>0</v>
      </c>
      <c r="CJ58" s="25">
        <v>0</v>
      </c>
      <c r="CK58" s="25">
        <f t="shared" si="8"/>
        <v>0</v>
      </c>
      <c r="CL58" s="26" cm="1">
        <f t="array" ref="CL58:CW58">IFERROR(VLOOKUP(A58,'[1]Now-OB-kg-POB-25'!A:AQ,{31,32,33,34,35,36,37,38,39,40,41,42},0),0)</f>
        <v>0</v>
      </c>
      <c r="CM58" s="26">
        <v>0</v>
      </c>
      <c r="CN58" s="26">
        <v>0</v>
      </c>
      <c r="CO58" s="26">
        <v>0</v>
      </c>
      <c r="CP58" s="26">
        <v>0</v>
      </c>
      <c r="CQ58" s="26">
        <v>0</v>
      </c>
      <c r="CR58" s="26">
        <v>0</v>
      </c>
      <c r="CS58" s="26">
        <v>0</v>
      </c>
      <c r="CT58" s="26">
        <v>0</v>
      </c>
      <c r="CU58" s="26">
        <v>0</v>
      </c>
      <c r="CV58" s="26">
        <v>0</v>
      </c>
      <c r="CW58" s="26">
        <v>0</v>
      </c>
      <c r="CX58" s="26">
        <f t="shared" si="9"/>
        <v>0</v>
      </c>
      <c r="CY58" s="14" t="str">
        <f>IF(A58=0,0,IFERROR(VLOOKUP(A58,'[1]Info Donantes'!C:F,2,0),"Sin Contacto"))</f>
        <v>Brenda Mejías</v>
      </c>
      <c r="CZ58" s="14" t="str">
        <f>IF(A58=0,0,IFERROR(VLOOKUP(A58,'[1]Info Donantes'!C:F,3,0),"Sin Correo"))</f>
        <v>b.mejias@keybrands-pa.com</v>
      </c>
      <c r="DA58" s="14" t="str">
        <f>IF(A58=0,0,IFERROR(VLOOKUP(A58,'[1]Info Donantes'!C:F,4,0),"Sin Telefono"))</f>
        <v>6749-2181</v>
      </c>
      <c r="DB58" s="14" t="s">
        <v>219</v>
      </c>
    </row>
    <row r="59" spans="1:106" x14ac:dyDescent="0.55000000000000004">
      <c r="A59" s="31" t="s">
        <v>220</v>
      </c>
      <c r="B59" s="15">
        <f>INT(IFERROR(VLOOKUP(A59,'[1]Donor Summary'!C:F,3,0),0))</f>
        <v>0</v>
      </c>
      <c r="C59" s="15">
        <f>INT(ROUND(IFERROR(VLOOKUP(A59,'[1]Donor Summary'!C:F,4,0),0),1))</f>
        <v>833</v>
      </c>
      <c r="D59" s="16">
        <f t="shared" si="19"/>
        <v>833</v>
      </c>
      <c r="E59" s="17" t="str">
        <f t="shared" si="20"/>
        <v>100.00%</v>
      </c>
      <c r="F59" s="17" t="str">
        <f t="shared" si="21"/>
        <v>0.0%</v>
      </c>
      <c r="G59" s="15">
        <f t="shared" si="25"/>
        <v>2499</v>
      </c>
      <c r="H59" s="18"/>
      <c r="I59" s="18">
        <f>IFERROR(VLOOKUP(A59,'[1]Lot All by Part'!T:Y,6,0),0)</f>
        <v>0</v>
      </c>
      <c r="J59" s="18"/>
      <c r="K59" s="19">
        <f>IFERROR(VLOOKUP($A59,'[1]Donor-Served OBs'!A:N,3,0),0)</f>
        <v>1</v>
      </c>
      <c r="L59" s="19">
        <f>ROUNDUP(IF(A59=0,0,IFERROR(VLOOKUP($A59,'[1]Donor''s Assigned Kilos'!A:O,3,0),0)),0)</f>
        <v>10</v>
      </c>
      <c r="M59" s="19">
        <f>IF(A59=0,0,IFERROR(SUMIFS([1]Population!M:M,[1]Population!J:J,'MASTER-2025'!A59),0))</f>
        <v>0</v>
      </c>
      <c r="N59" s="20">
        <f>IFERROR(VLOOKUP($A59,'[1]Donor-Served OBs'!A:N,4,0),0)</f>
        <v>0</v>
      </c>
      <c r="O59" s="20">
        <f>ROUNDUP(IF(A59=0,0,IFERROR(VLOOKUP($A59,'[1]Donor''s Assigned Kilos'!A:O,4,0),0)),0)</f>
        <v>0</v>
      </c>
      <c r="P59" s="20">
        <f>IF(A59=0,0,IFERROR(SUMIFS([1]Population!N:N,[1]Population!J:J,'MASTER-2025'!A59),0))</f>
        <v>0</v>
      </c>
      <c r="Q59" s="18">
        <f>IFERROR(VLOOKUP($A59,'[1]Donor-Served OBs'!A:N,2,0),0)</f>
        <v>0</v>
      </c>
      <c r="R59" s="18">
        <f>ROUNDUP(ROUND(IF(A59=0,0,IFERROR(VLOOKUP($A59,'[1]Donor''s Assigned Kilos'!A:O,9,0),0)),1),0)</f>
        <v>0</v>
      </c>
      <c r="S59" s="18">
        <f>IF(A59=0,0,IFERROR(SUMIFS([1]Population!S:S,[1]Population!J:J,'MASTER-2025'!A59),0))</f>
        <v>0</v>
      </c>
      <c r="T59" s="19">
        <f>IFERROR(VLOOKUP($A59,'[1]Donor-Served OBs'!A:N,12,0),0)</f>
        <v>0</v>
      </c>
      <c r="U59" s="19">
        <f>ROUNDUP(IF(A59=0,0,IF(A59=0,0,IFERROR(VLOOKUP($A59,'[1]Donor''s Assigned Kilos'!A:O,7,0),0))),0)</f>
        <v>0</v>
      </c>
      <c r="V59" s="19">
        <f>IF(A59=0,0,IFERROR(SUMIFS([1]Population!Q:Q,[1]Population!J:J,'MASTER-2025'!A59),0))</f>
        <v>0</v>
      </c>
      <c r="W59" s="20">
        <f>IFERROR(VLOOKUP($A59,'[1]Donor-Served OBs'!A:N,10,0),0)</f>
        <v>0</v>
      </c>
      <c r="X59" s="20">
        <f>ROUNDUP(IF(A59=0,0,IFERROR(VLOOKUP($A59,'[1]Donor''s Assigned Kilos'!A:N,5,0),0)),0)</f>
        <v>0</v>
      </c>
      <c r="Y59" s="20">
        <f>IF(A59=0,0,IFERROR(SUMIFS([1]Population!O:O,[1]Population!J:J,'MASTER-2025'!A59),0))</f>
        <v>0</v>
      </c>
      <c r="Z59" s="18">
        <f>IFERROR(VLOOKUP($A59,'[1]Donor-Served OBs'!A:N,6,0),0)</f>
        <v>0</v>
      </c>
      <c r="AA59" s="18">
        <f>ROUNDUP(IF(A59=0,0,IFERROR(VLOOKUP($A59,'[1]Donor''s Assigned Kilos'!A:N,11,0),0)),0)</f>
        <v>0</v>
      </c>
      <c r="AB59" s="18">
        <f>IF(A59=0,0,IFERROR(SUMIFS([1]Population!U:U,[1]Population!J:J,'MASTER-2025'!A59),0))</f>
        <v>0</v>
      </c>
      <c r="AC59" s="19">
        <f>IFERROR(VLOOKUP($A59,'[1]Donor-Served OBs'!A:N,7,0),0)</f>
        <v>0</v>
      </c>
      <c r="AD59" s="19">
        <f>ROUNDUP(IF(A59=0,0,IFERROR(VLOOKUP($A59,'[1]Donor''s Assigned Kilos'!A:N,8,0),0)),0)</f>
        <v>0</v>
      </c>
      <c r="AE59" s="19">
        <f>IF(A59=0,0,IFERROR(SUMIFS([1]Population!R:R,[1]Population!J:J,'MASTER-2025'!A59),0))</f>
        <v>0</v>
      </c>
      <c r="AF59" s="20">
        <f>IFERROR(VLOOKUP($A59,'[1]Donor-Served OBs'!A:N,8,0),0)</f>
        <v>0</v>
      </c>
      <c r="AG59" s="20">
        <f>ROUNDUP(IF(A59=0,0,IFERROR(VLOOKUP($A59,'[1]Donor''s Assigned Kilos'!A:N,6,0),0)),0)</f>
        <v>0</v>
      </c>
      <c r="AH59" s="20">
        <f>IF(A59=0,0,IFERROR(SUMIFS([1]Population!P:P,[1]Population!J:J,'MASTER-2025'!A59),0))</f>
        <v>0</v>
      </c>
      <c r="AI59" s="18">
        <f>IFERROR(VLOOKUP($A59,'[1]Donor-Served OBs'!A:N,9,0),0)</f>
        <v>0</v>
      </c>
      <c r="AJ59" s="18">
        <f>ROUNDUP(IF(A59=0,0,IFERROR(VLOOKUP($A59,'[1]Donor''s Assigned Kilos'!A:N,12,0),0)),0)</f>
        <v>0</v>
      </c>
      <c r="AK59" s="18">
        <f>IF(A59=0,0,IFERROR(SUMIFS([1]Population!V:V,[1]Population!J:J,'MASTER-2025'!A59),0))</f>
        <v>0</v>
      </c>
      <c r="AL59" s="19">
        <f>IFERROR(VLOOKUP($A59,'[1]Donor-Served OBs'!A:N,16,0),0)</f>
        <v>0</v>
      </c>
      <c r="AM59" s="19">
        <f>ROUNDUP(IF(A59=0,0,IFERROR(VLOOKUP($A59,'[1]Donor''s Assigned Kilos'!A:O,16,0),0)),0)</f>
        <v>0</v>
      </c>
      <c r="AN59" s="19">
        <f>IF(A59=0,0,IFERROR(SUMIFS([1]Population!Z:Z,[1]Population!J:J,'MASTER-2025'!A59),0))</f>
        <v>0</v>
      </c>
      <c r="AO59" s="20">
        <f>IFERROR(VLOOKUP($A59,'[1]Donor-Served OBs'!A:N,11,0),0)</f>
        <v>0</v>
      </c>
      <c r="AP59" s="20">
        <f>ROUNDUP(IF(A59=0,0,IFERROR(VLOOKUP($A59,'[1]Donor''s Assigned Kilos'!A:N,13,0),0)),0)</f>
        <v>0</v>
      </c>
      <c r="AQ59" s="20">
        <f>IF(A59=0,0,IFERROR(SUMIFS([1]Population!W:W,[1]Population!J:J,'MASTER-2025'!A59),0))</f>
        <v>0</v>
      </c>
      <c r="AR59" s="18">
        <f>IFERROR(VLOOKUP($A59,'[1]Donor-Served OBs'!A:N,5,0),0)</f>
        <v>0</v>
      </c>
      <c r="AS59" s="18">
        <f>ROUNDUP(IF(A59=0,0,IFERROR(VLOOKUP($A59,'[1]Donor''s Assigned Kilos'!A:N,10,0),0)),0)</f>
        <v>0</v>
      </c>
      <c r="AT59" s="18">
        <f>IF(A59=0,0,IFERROR(SUMIFS([1]Population!T:T,[1]Population!J:J,'MASTER-2025'!A59),0))</f>
        <v>0</v>
      </c>
      <c r="AU59" s="19">
        <f>IFERROR(VLOOKUP($A59,'[1]Donor-Served OBs'!A:N,13,0),0)</f>
        <v>0</v>
      </c>
      <c r="AV59" s="19">
        <f>ROUNDUP(IF(A59=0,0,IFERROR(VLOOKUP($A59,'[1]Donor''s Assigned Kilos'!A:N,14,0),0)),0)</f>
        <v>0</v>
      </c>
      <c r="AW59" s="19">
        <f>IF(A59=0,0,IFERROR(SUMIFS([1]Population!X:X,[1]Population!J:J,'MASTER-2025'!A59),0))</f>
        <v>0</v>
      </c>
      <c r="AX59" s="20">
        <f>IFERROR(VLOOKUP($A59,'[1]Donor-Served OBs'!A:N,16,0),0)</f>
        <v>0</v>
      </c>
      <c r="AY59" s="20">
        <f>ROUNDUP(IF(A59=0,0,IFERROR(VLOOKUP($A59,'[1]Donor''s Assigned Kilos'!A:O,16,0),0)),0)</f>
        <v>0</v>
      </c>
      <c r="AZ59" s="20">
        <f>IF(A59=0,0,IFERROR(SUMIFS([1]Population!Y:Y,[1]Population!J:J,'MASTER-2025'!A59),0))</f>
        <v>0</v>
      </c>
      <c r="BA59" s="21">
        <f t="shared" si="15"/>
        <v>1</v>
      </c>
      <c r="BB59" s="21">
        <f>INT(I59+L59+O59+R59+U59+X59+AA59+AD59+AG59+AJ59+AM59+AP59+AS59+AV59+AY59)</f>
        <v>10</v>
      </c>
      <c r="BC59" s="21">
        <f t="shared" si="24"/>
        <v>10</v>
      </c>
      <c r="BD59" s="21">
        <f t="shared" si="26"/>
        <v>0</v>
      </c>
      <c r="BE59" s="22" t="e">
        <f>IF(A59=0,0,SUMIFS([1]Population!C:C,[1]Population!A:A,'MASTER-2025'!A59))</f>
        <v>#VALUE!</v>
      </c>
      <c r="BF59" s="22" t="e">
        <f>IF(A59=0,0,SUMIFS([1]Population!D:D,[1]Population!A:A,'MASTER-2025'!A59))</f>
        <v>#VALUE!</v>
      </c>
      <c r="BG59" s="22" t="e">
        <f>IF(A59=0,0,SUMIFS([1]Population!E:E,[1]Population!A:A,'MASTER-2025'!A59))</f>
        <v>#VALUE!</v>
      </c>
      <c r="BH59" s="22" t="e">
        <f>IF(A59=0,0,SUMIFS([1]Population!F:F,[1]Population!A:A,'MASTER-2025'!A59))</f>
        <v>#VALUE!</v>
      </c>
      <c r="BI59" s="22" t="e">
        <f t="shared" si="18"/>
        <v>#VALUE!</v>
      </c>
      <c r="BJ59" s="23" t="e">
        <f t="shared" si="6"/>
        <v>#VALUE!</v>
      </c>
      <c r="BK59" s="22" t="e">
        <f>IF(A59=0,0,SUMIFS([1]Population!G:G,[1]Population!A:A,'MASTER-2025'!A59))</f>
        <v>#VALUE!</v>
      </c>
      <c r="BL59" s="24" cm="1">
        <f t="array" ref="BL59:BW59">IFERROR(VLOOKUP(A59,'[1]Now-OB-kg-POB-25'!A:AQ,{3,4,5,6,7,8,9,10,11,12,13,14},0),0)</f>
        <v>0</v>
      </c>
      <c r="BM59" s="24">
        <v>42</v>
      </c>
      <c r="BN59" s="24">
        <v>1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BX59" s="24">
        <f t="shared" si="7"/>
        <v>43</v>
      </c>
      <c r="BY59" s="25" cm="1">
        <f t="array" ref="BY59:CJ59">IFERROR(VLOOKUP(A59,'[1]Now-OB-kg-POB-25'!A:AQ,{17,18,19,20,21,22,23,24,25,26,27,28},0),0)</f>
        <v>0</v>
      </c>
      <c r="BZ59" s="25">
        <v>559</v>
      </c>
      <c r="CA59" s="25">
        <v>833</v>
      </c>
      <c r="CB59" s="25">
        <v>0</v>
      </c>
      <c r="CC59" s="25">
        <v>0</v>
      </c>
      <c r="CD59" s="25">
        <v>0</v>
      </c>
      <c r="CE59" s="25">
        <v>0</v>
      </c>
      <c r="CF59" s="25">
        <v>0</v>
      </c>
      <c r="CG59" s="25">
        <v>0</v>
      </c>
      <c r="CH59" s="25">
        <v>0</v>
      </c>
      <c r="CI59" s="25">
        <v>0</v>
      </c>
      <c r="CJ59" s="25">
        <v>0</v>
      </c>
      <c r="CK59" s="25">
        <f t="shared" si="8"/>
        <v>1392</v>
      </c>
      <c r="CL59" s="26" cm="1">
        <f t="array" ref="CL59:CW59">IFERROR(VLOOKUP(A59,'[1]Now-OB-kg-POB-25'!A:AQ,{31,32,33,34,35,36,37,38,39,40,41,42},0),0)</f>
        <v>0</v>
      </c>
      <c r="CM59" s="26">
        <v>13212</v>
      </c>
      <c r="CN59" s="26">
        <v>400</v>
      </c>
      <c r="CO59" s="26">
        <v>0</v>
      </c>
      <c r="CP59" s="26">
        <v>0</v>
      </c>
      <c r="CQ59" s="26">
        <v>0</v>
      </c>
      <c r="CR59" s="26">
        <v>0</v>
      </c>
      <c r="CS59" s="26">
        <v>0</v>
      </c>
      <c r="CT59" s="26">
        <v>0</v>
      </c>
      <c r="CU59" s="26">
        <v>0</v>
      </c>
      <c r="CV59" s="26">
        <v>0</v>
      </c>
      <c r="CW59" s="26">
        <v>0</v>
      </c>
      <c r="CX59" s="26">
        <f t="shared" si="9"/>
        <v>13612</v>
      </c>
      <c r="CY59" s="14" t="str">
        <f>IF(A59=0,0,IFERROR(VLOOKUP(A59,'[1]Info Donantes'!C:F,2,0),"Sin Contacto"))</f>
        <v>Sin Contacto</v>
      </c>
      <c r="CZ59" s="14" t="str">
        <f>IF(A59=0,0,IFERROR(VLOOKUP(A59,'[1]Info Donantes'!C:F,3,0),"Sin Correo"))</f>
        <v>Sin Correo</v>
      </c>
      <c r="DA59" s="14" t="str">
        <f>IF(A59=0,0,IFERROR(VLOOKUP(A59,'[1]Info Donantes'!C:F,4,0),"Sin Telefono"))</f>
        <v>Sin Telefono</v>
      </c>
      <c r="DB59" s="14" t="s">
        <v>221</v>
      </c>
    </row>
    <row r="60" spans="1:106" x14ac:dyDescent="0.55000000000000004">
      <c r="A60" s="31" t="s">
        <v>222</v>
      </c>
      <c r="B60" s="15">
        <f>INT(IFERROR(VLOOKUP(A60,'[1]Donor Summary'!C:F,3,0),0))</f>
        <v>0</v>
      </c>
      <c r="C60" s="15">
        <f>INT(ROUND(IFERROR(VLOOKUP(A60,'[1]Donor Summary'!C:F,4,0),0),1))</f>
        <v>0</v>
      </c>
      <c r="D60" s="16">
        <f t="shared" si="19"/>
        <v>0</v>
      </c>
      <c r="E60" s="17" t="str">
        <f t="shared" si="20"/>
        <v>0.00%</v>
      </c>
      <c r="F60" s="17" t="str">
        <f t="shared" si="21"/>
        <v>0.0%</v>
      </c>
      <c r="G60" s="15">
        <f t="shared" si="25"/>
        <v>0</v>
      </c>
      <c r="H60" s="18"/>
      <c r="I60" s="18">
        <f>IFERROR(VLOOKUP(A60,'[1]Lot All by Part'!T:Y,6,0),0)</f>
        <v>0</v>
      </c>
      <c r="J60" s="18"/>
      <c r="K60" s="19">
        <f>IFERROR(VLOOKUP($A60,'[1]Donor-Served OBs'!A:N,3,0),0)</f>
        <v>0</v>
      </c>
      <c r="L60" s="19">
        <f>ROUNDUP(IF(A60=0,0,IFERROR(VLOOKUP($A60,'[1]Donor''s Assigned Kilos'!A:O,3,0),0)),0)</f>
        <v>0</v>
      </c>
      <c r="M60" s="19">
        <f>IF(A60=0,0,IFERROR(SUMIFS([1]Population!M:M,[1]Population!J:J,'MASTER-2025'!A60),0))</f>
        <v>0</v>
      </c>
      <c r="N60" s="20">
        <f>IFERROR(VLOOKUP($A60,'[1]Donor-Served OBs'!A:N,4,0),0)</f>
        <v>0</v>
      </c>
      <c r="O60" s="20">
        <f>ROUNDUP(IF(A60=0,0,IFERROR(VLOOKUP($A60,'[1]Donor''s Assigned Kilos'!A:O,4,0),0)),0)</f>
        <v>0</v>
      </c>
      <c r="P60" s="20">
        <f>IF(A60=0,0,IFERROR(SUMIFS([1]Population!N:N,[1]Population!J:J,'MASTER-2025'!A60),0))</f>
        <v>0</v>
      </c>
      <c r="Q60" s="18">
        <f>IFERROR(VLOOKUP($A60,'[1]Donor-Served OBs'!A:N,2,0),0)</f>
        <v>0</v>
      </c>
      <c r="R60" s="18">
        <f>ROUNDUP(ROUND(IF(A60=0,0,IFERROR(VLOOKUP($A60,'[1]Donor''s Assigned Kilos'!A:O,9,0),0)),1),0)</f>
        <v>0</v>
      </c>
      <c r="S60" s="18">
        <f>IF(A60=0,0,IFERROR(SUMIFS([1]Population!S:S,[1]Population!J:J,'MASTER-2025'!A60),0))</f>
        <v>0</v>
      </c>
      <c r="T60" s="19">
        <f>IFERROR(VLOOKUP($A60,'[1]Donor-Served OBs'!A:N,12,0),0)</f>
        <v>0</v>
      </c>
      <c r="U60" s="19">
        <f>ROUNDUP(IF(A60=0,0,IF(A60=0,0,IFERROR(VLOOKUP($A60,'[1]Donor''s Assigned Kilos'!A:O,7,0),0))),0)</f>
        <v>0</v>
      </c>
      <c r="V60" s="19">
        <f>IF(A60=0,0,IFERROR(SUMIFS([1]Population!Q:Q,[1]Population!J:J,'MASTER-2025'!A60),0))</f>
        <v>0</v>
      </c>
      <c r="W60" s="20">
        <f>IFERROR(VLOOKUP($A60,'[1]Donor-Served OBs'!A:N,10,0),0)</f>
        <v>0</v>
      </c>
      <c r="X60" s="20">
        <f>ROUNDUP(IF(A60=0,0,IFERROR(VLOOKUP($A60,'[1]Donor''s Assigned Kilos'!A:N,5,0),0)),0)</f>
        <v>0</v>
      </c>
      <c r="Y60" s="20">
        <f>IF(A60=0,0,IFERROR(SUMIFS([1]Population!O:O,[1]Population!J:J,'MASTER-2025'!A60),0))</f>
        <v>0</v>
      </c>
      <c r="Z60" s="18">
        <f>IFERROR(VLOOKUP($A60,'[1]Donor-Served OBs'!A:N,6,0),0)</f>
        <v>0</v>
      </c>
      <c r="AA60" s="18">
        <f>ROUNDUP(IF(A60=0,0,IFERROR(VLOOKUP($A60,'[1]Donor''s Assigned Kilos'!A:N,11,0),0)),0)</f>
        <v>0</v>
      </c>
      <c r="AB60" s="18">
        <f>IF(A60=0,0,IFERROR(SUMIFS([1]Population!U:U,[1]Population!J:J,'MASTER-2025'!A60),0))</f>
        <v>0</v>
      </c>
      <c r="AC60" s="19">
        <f>IFERROR(VLOOKUP($A60,'[1]Donor-Served OBs'!A:N,7,0),0)</f>
        <v>0</v>
      </c>
      <c r="AD60" s="19">
        <f>ROUNDUP(IF(A60=0,0,IFERROR(VLOOKUP($A60,'[1]Donor''s Assigned Kilos'!A:N,8,0),0)),0)</f>
        <v>0</v>
      </c>
      <c r="AE60" s="19">
        <f>IF(A60=0,0,IFERROR(SUMIFS([1]Population!R:R,[1]Population!J:J,'MASTER-2025'!A60),0))</f>
        <v>0</v>
      </c>
      <c r="AF60" s="20">
        <f>IFERROR(VLOOKUP($A60,'[1]Donor-Served OBs'!A:N,8,0),0)</f>
        <v>0</v>
      </c>
      <c r="AG60" s="20">
        <f>ROUNDUP(IF(A60=0,0,IFERROR(VLOOKUP($A60,'[1]Donor''s Assigned Kilos'!A:N,6,0),0)),0)</f>
        <v>0</v>
      </c>
      <c r="AH60" s="20">
        <f>IF(A60=0,0,IFERROR(SUMIFS([1]Population!P:P,[1]Population!J:J,'MASTER-2025'!A60),0))</f>
        <v>0</v>
      </c>
      <c r="AI60" s="18">
        <f>IFERROR(VLOOKUP($A60,'[1]Donor-Served OBs'!A:N,9,0),0)</f>
        <v>0</v>
      </c>
      <c r="AJ60" s="18">
        <f>ROUNDUP(IF(A60=0,0,IFERROR(VLOOKUP($A60,'[1]Donor''s Assigned Kilos'!A:N,12,0),0)),0)</f>
        <v>0</v>
      </c>
      <c r="AK60" s="18">
        <f>IF(A60=0,0,IFERROR(SUMIFS([1]Population!V:V,[1]Population!J:J,'MASTER-2025'!A60),0))</f>
        <v>0</v>
      </c>
      <c r="AL60" s="19">
        <f>IFERROR(VLOOKUP($A60,'[1]Donor-Served OBs'!A:N,16,0),0)</f>
        <v>0</v>
      </c>
      <c r="AM60" s="19">
        <f>ROUNDUP(IF(A60=0,0,IFERROR(VLOOKUP($A60,'[1]Donor''s Assigned Kilos'!A:O,16,0),0)),0)</f>
        <v>0</v>
      </c>
      <c r="AN60" s="19">
        <f>IF(A60=0,0,IFERROR(SUMIFS([1]Population!Z:Z,[1]Population!J:J,'MASTER-2025'!A60),0))</f>
        <v>0</v>
      </c>
      <c r="AO60" s="20">
        <f>IFERROR(VLOOKUP($A60,'[1]Donor-Served OBs'!A:N,11,0),0)</f>
        <v>0</v>
      </c>
      <c r="AP60" s="20">
        <f>ROUNDUP(IF(A60=0,0,IFERROR(VLOOKUP($A60,'[1]Donor''s Assigned Kilos'!A:N,13,0),0)),0)</f>
        <v>0</v>
      </c>
      <c r="AQ60" s="20">
        <f>IF(A60=0,0,IFERROR(SUMIFS([1]Population!W:W,[1]Population!J:J,'MASTER-2025'!A60),0))</f>
        <v>0</v>
      </c>
      <c r="AR60" s="18">
        <f>IFERROR(VLOOKUP($A60,'[1]Donor-Served OBs'!A:N,5,0),0)</f>
        <v>0</v>
      </c>
      <c r="AS60" s="18">
        <f>ROUNDUP(IF(A60=0,0,IFERROR(VLOOKUP($A60,'[1]Donor''s Assigned Kilos'!A:N,10,0),0)),0)</f>
        <v>0</v>
      </c>
      <c r="AT60" s="18">
        <f>IF(A60=0,0,IFERROR(SUMIFS([1]Population!T:T,[1]Population!J:J,'MASTER-2025'!A60),0))</f>
        <v>0</v>
      </c>
      <c r="AU60" s="19">
        <f>IFERROR(VLOOKUP($A60,'[1]Donor-Served OBs'!A:N,13,0),0)</f>
        <v>0</v>
      </c>
      <c r="AV60" s="19">
        <f>ROUNDUP(IF(A60=0,0,IFERROR(VLOOKUP($A60,'[1]Donor''s Assigned Kilos'!A:N,14,0),0)),0)</f>
        <v>0</v>
      </c>
      <c r="AW60" s="19">
        <f>IF(A60=0,0,IFERROR(SUMIFS([1]Population!X:X,[1]Population!J:J,'MASTER-2025'!A60),0))</f>
        <v>0</v>
      </c>
      <c r="AX60" s="20">
        <f>IFERROR(VLOOKUP($A60,'[1]Donor-Served OBs'!A:N,16,0),0)</f>
        <v>0</v>
      </c>
      <c r="AY60" s="20">
        <f>ROUNDUP(IF(A60=0,0,IFERROR(VLOOKUP($A60,'[1]Donor''s Assigned Kilos'!A:O,16,0),0)),0)</f>
        <v>0</v>
      </c>
      <c r="AZ60" s="20">
        <f>IF(A60=0,0,IFERROR(SUMIFS([1]Population!Y:Y,[1]Population!J:J,'MASTER-2025'!A60),0))</f>
        <v>0</v>
      </c>
      <c r="BA60" s="21">
        <f t="shared" si="15"/>
        <v>0</v>
      </c>
      <c r="BB60" s="21">
        <f t="shared" ref="BB60:BB107" si="29">INT(I60+L60+O60+R60+U60+X60+AA60+AD60+AG60+AJ60+AM60+AP60+AS60+AV60+AY60)</f>
        <v>0</v>
      </c>
      <c r="BC60" s="21">
        <f t="shared" si="24"/>
        <v>0</v>
      </c>
      <c r="BD60" s="21">
        <f t="shared" si="26"/>
        <v>0</v>
      </c>
      <c r="BE60" s="22" t="e">
        <f>IF(A60=0,0,SUMIFS([1]Population!C:C,[1]Population!A:A,'MASTER-2025'!A60))</f>
        <v>#VALUE!</v>
      </c>
      <c r="BF60" s="22" t="e">
        <f>IF(A60=0,0,SUMIFS([1]Population!D:D,[1]Population!A:A,'MASTER-2025'!A60))</f>
        <v>#VALUE!</v>
      </c>
      <c r="BG60" s="22" t="e">
        <f>IF(A60=0,0,SUMIFS([1]Population!E:E,[1]Population!A:A,'MASTER-2025'!A60))</f>
        <v>#VALUE!</v>
      </c>
      <c r="BH60" s="22" t="e">
        <f>IF(A60=0,0,SUMIFS([1]Population!F:F,[1]Population!A:A,'MASTER-2025'!A60))</f>
        <v>#VALUE!</v>
      </c>
      <c r="BI60" s="22" t="e">
        <f t="shared" si="18"/>
        <v>#VALUE!</v>
      </c>
      <c r="BJ60" s="23" t="e">
        <f t="shared" si="6"/>
        <v>#VALUE!</v>
      </c>
      <c r="BK60" s="22" t="e">
        <f>IF(A60=0,0,SUMIFS([1]Population!G:G,[1]Population!A:A,'MASTER-2025'!A60))</f>
        <v>#VALUE!</v>
      </c>
      <c r="BL60" s="24" cm="1">
        <f t="array" ref="BL60:BW60">IFERROR(VLOOKUP(A60,'[1]Now-OB-kg-POB-25'!A:AQ,{3,4,5,6,7,8,9,10,11,12,13,14},0),0)</f>
        <v>2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BX60" s="24">
        <f t="shared" si="7"/>
        <v>2</v>
      </c>
      <c r="BY60" s="25" cm="1">
        <f t="array" ref="BY60:CJ60">IFERROR(VLOOKUP(A60,'[1]Now-OB-kg-POB-25'!A:AQ,{17,18,19,20,21,22,23,24,25,26,27,28},0),0)</f>
        <v>63</v>
      </c>
      <c r="BZ60" s="25">
        <v>0</v>
      </c>
      <c r="CA60" s="25">
        <v>0</v>
      </c>
      <c r="CB60" s="25">
        <v>0</v>
      </c>
      <c r="CC60" s="25">
        <v>0</v>
      </c>
      <c r="CD60" s="25">
        <v>0</v>
      </c>
      <c r="CE60" s="25">
        <v>0</v>
      </c>
      <c r="CF60" s="25">
        <v>0</v>
      </c>
      <c r="CG60" s="25">
        <v>0</v>
      </c>
      <c r="CH60" s="25">
        <v>0</v>
      </c>
      <c r="CI60" s="25">
        <v>0</v>
      </c>
      <c r="CJ60" s="25">
        <v>0</v>
      </c>
      <c r="CK60" s="25">
        <f t="shared" si="8"/>
        <v>63</v>
      </c>
      <c r="CL60" s="26" cm="1">
        <f t="array" ref="CL60:CW60">IFERROR(VLOOKUP(A60,'[1]Now-OB-kg-POB-25'!A:AQ,{31,32,33,34,35,36,37,38,39,40,41,42},0),0)</f>
        <v>251</v>
      </c>
      <c r="CM60" s="26">
        <v>0</v>
      </c>
      <c r="CN60" s="26">
        <v>0</v>
      </c>
      <c r="CO60" s="26">
        <v>0</v>
      </c>
      <c r="CP60" s="26">
        <v>0</v>
      </c>
      <c r="CQ60" s="26">
        <v>0</v>
      </c>
      <c r="CR60" s="26">
        <v>0</v>
      </c>
      <c r="CS60" s="26">
        <v>0</v>
      </c>
      <c r="CT60" s="26">
        <v>0</v>
      </c>
      <c r="CU60" s="26">
        <v>0</v>
      </c>
      <c r="CV60" s="26">
        <v>0</v>
      </c>
      <c r="CW60" s="26">
        <v>0</v>
      </c>
      <c r="CX60" s="26">
        <f t="shared" si="9"/>
        <v>251</v>
      </c>
      <c r="CY60" s="14" t="str">
        <f>IF(A60=0,0,IFERROR(VLOOKUP(A60,'[1]Info Donantes'!C:F,2,0),"Sin Contacto"))</f>
        <v>Rogelio Garibaldo</v>
      </c>
      <c r="CZ60" s="14" t="str">
        <f>IF(A60=0,0,IFERROR(VLOOKUP(A60,'[1]Info Donantes'!C:F,3,0),"Sin Correo"))</f>
        <v>rgaribaldo@thegroupg.com</v>
      </c>
      <c r="DA60" s="14" t="str">
        <f>IF(A60=0,0,IFERROR(VLOOKUP(A60,'[1]Info Donantes'!C:F,4,0),"Sin Telefono"))</f>
        <v>209 3790 ext 205</v>
      </c>
      <c r="DB60" s="14" t="str">
        <f>IF(A60=0,0,"Reporte de Trazabiidad"&amp;" - "&amp;'[1]Donor Summary'!$C$2&amp;" - "&amp;A60&amp;"")</f>
        <v>Reporte de Trazabiidad -  - LINA CORPORATION INC (LINA)</v>
      </c>
    </row>
    <row r="61" spans="1:106" x14ac:dyDescent="0.55000000000000004">
      <c r="A61" s="31" t="s">
        <v>223</v>
      </c>
      <c r="B61" s="15">
        <f>INT(IFERROR(VLOOKUP(A61,'[1]Donor Summary'!C:F,3,0),0))</f>
        <v>0</v>
      </c>
      <c r="C61" s="15">
        <f>INT(ROUND(IFERROR(VLOOKUP(A61,'[1]Donor Summary'!C:F,4,0),0),1))</f>
        <v>0</v>
      </c>
      <c r="D61" s="16">
        <f t="shared" si="19"/>
        <v>0</v>
      </c>
      <c r="E61" s="17" t="str">
        <f t="shared" si="20"/>
        <v>0.00%</v>
      </c>
      <c r="F61" s="17" t="str">
        <f t="shared" si="21"/>
        <v>0.0%</v>
      </c>
      <c r="G61" s="15">
        <f t="shared" si="25"/>
        <v>0</v>
      </c>
      <c r="H61" s="18"/>
      <c r="I61" s="18">
        <f>IFERROR(VLOOKUP(A61,'[1]Lot All by Part'!T:Y,6,0),0)</f>
        <v>0</v>
      </c>
      <c r="J61" s="18"/>
      <c r="K61" s="19">
        <f>IFERROR(VLOOKUP($A61,'[1]Donor-Served OBs'!A:N,3,0),0)</f>
        <v>0</v>
      </c>
      <c r="L61" s="19">
        <f>ROUNDUP(IF(A61=0,0,IFERROR(VLOOKUP($A61,'[1]Donor''s Assigned Kilos'!A:O,3,0),0)),0)</f>
        <v>0</v>
      </c>
      <c r="M61" s="19">
        <f>IF(A61=0,0,IFERROR(SUMIFS([1]Population!M:M,[1]Population!J:J,'MASTER-2025'!A61),0))</f>
        <v>0</v>
      </c>
      <c r="N61" s="20">
        <f>IFERROR(VLOOKUP($A61,'[1]Donor-Served OBs'!A:N,4,0),0)</f>
        <v>0</v>
      </c>
      <c r="O61" s="20">
        <f>ROUNDUP(IF(A61=0,0,IFERROR(VLOOKUP($A61,'[1]Donor''s Assigned Kilos'!A:O,4,0),0)),0)</f>
        <v>0</v>
      </c>
      <c r="P61" s="20">
        <f>IF(A61=0,0,IFERROR(SUMIFS([1]Population!N:N,[1]Population!J:J,'MASTER-2025'!A61),0))</f>
        <v>0</v>
      </c>
      <c r="Q61" s="18">
        <f>IFERROR(VLOOKUP($A61,'[1]Donor-Served OBs'!A:N,2,0),0)</f>
        <v>0</v>
      </c>
      <c r="R61" s="18">
        <f>ROUNDUP(ROUND(IF(A61=0,0,IFERROR(VLOOKUP($A61,'[1]Donor''s Assigned Kilos'!A:O,9,0),0)),1),0)</f>
        <v>0</v>
      </c>
      <c r="S61" s="18">
        <f>IF(A61=0,0,IFERROR(SUMIFS([1]Population!S:S,[1]Population!J:J,'MASTER-2025'!A61),0))</f>
        <v>0</v>
      </c>
      <c r="T61" s="19">
        <f>IFERROR(VLOOKUP($A61,'[1]Donor-Served OBs'!A:N,12,0),0)</f>
        <v>0</v>
      </c>
      <c r="U61" s="19">
        <f>ROUNDUP(IF(A61=0,0,IF(A61=0,0,IFERROR(VLOOKUP($A61,'[1]Donor''s Assigned Kilos'!A:O,7,0),0))),0)</f>
        <v>0</v>
      </c>
      <c r="V61" s="19">
        <f>IF(A61=0,0,IFERROR(SUMIFS([1]Population!Q:Q,[1]Population!J:J,'MASTER-2025'!A61),0))</f>
        <v>0</v>
      </c>
      <c r="W61" s="20">
        <f>IFERROR(VLOOKUP($A61,'[1]Donor-Served OBs'!A:N,10,0),0)</f>
        <v>0</v>
      </c>
      <c r="X61" s="20">
        <f>ROUNDUP(IF(A61=0,0,IFERROR(VLOOKUP($A61,'[1]Donor''s Assigned Kilos'!A:N,5,0),0)),0)</f>
        <v>0</v>
      </c>
      <c r="Y61" s="20">
        <f>IF(A61=0,0,IFERROR(SUMIFS([1]Population!O:O,[1]Population!J:J,'MASTER-2025'!A61),0))</f>
        <v>0</v>
      </c>
      <c r="Z61" s="18">
        <f>IFERROR(VLOOKUP($A61,'[1]Donor-Served OBs'!A:N,6,0),0)</f>
        <v>0</v>
      </c>
      <c r="AA61" s="18">
        <f>ROUNDUP(IF(A61=0,0,IFERROR(VLOOKUP($A61,'[1]Donor''s Assigned Kilos'!A:N,11,0),0)),0)</f>
        <v>0</v>
      </c>
      <c r="AB61" s="18">
        <f>IF(A61=0,0,IFERROR(SUMIFS([1]Population!U:U,[1]Population!J:J,'MASTER-2025'!A61),0))</f>
        <v>0</v>
      </c>
      <c r="AC61" s="19">
        <f>IFERROR(VLOOKUP($A61,'[1]Donor-Served OBs'!A:N,7,0),0)</f>
        <v>0</v>
      </c>
      <c r="AD61" s="19">
        <f>ROUNDUP(IF(A61=0,0,IFERROR(VLOOKUP($A61,'[1]Donor''s Assigned Kilos'!A:N,8,0),0)),0)</f>
        <v>0</v>
      </c>
      <c r="AE61" s="19">
        <f>IF(A61=0,0,IFERROR(SUMIFS([1]Population!R:R,[1]Population!J:J,'MASTER-2025'!A61),0))</f>
        <v>0</v>
      </c>
      <c r="AF61" s="20">
        <f>IFERROR(VLOOKUP($A61,'[1]Donor-Served OBs'!A:N,8,0),0)</f>
        <v>0</v>
      </c>
      <c r="AG61" s="20">
        <f>ROUNDUP(IF(A61=0,0,IFERROR(VLOOKUP($A61,'[1]Donor''s Assigned Kilos'!A:N,6,0),0)),0)</f>
        <v>0</v>
      </c>
      <c r="AH61" s="20">
        <f>IF(A61=0,0,IFERROR(SUMIFS([1]Population!P:P,[1]Population!J:J,'MASTER-2025'!A61),0))</f>
        <v>0</v>
      </c>
      <c r="AI61" s="18">
        <f>IFERROR(VLOOKUP($A61,'[1]Donor-Served OBs'!A:N,9,0),0)</f>
        <v>0</v>
      </c>
      <c r="AJ61" s="18">
        <f>ROUNDUP(IF(A61=0,0,IFERROR(VLOOKUP($A61,'[1]Donor''s Assigned Kilos'!A:N,12,0),0)),0)</f>
        <v>0</v>
      </c>
      <c r="AK61" s="18">
        <f>IF(A61=0,0,IFERROR(SUMIFS([1]Population!V:V,[1]Population!J:J,'MASTER-2025'!A61),0))</f>
        <v>0</v>
      </c>
      <c r="AL61" s="19">
        <f>IFERROR(VLOOKUP($A61,'[1]Donor-Served OBs'!A:N,16,0),0)</f>
        <v>0</v>
      </c>
      <c r="AM61" s="19">
        <f>ROUNDUP(IF(A61=0,0,IFERROR(VLOOKUP($A61,'[1]Donor''s Assigned Kilos'!A:O,16,0),0)),0)</f>
        <v>0</v>
      </c>
      <c r="AN61" s="19">
        <f>IF(A61=0,0,IFERROR(SUMIFS([1]Population!Z:Z,[1]Population!J:J,'MASTER-2025'!A61),0))</f>
        <v>0</v>
      </c>
      <c r="AO61" s="20">
        <f>IFERROR(VLOOKUP($A61,'[1]Donor-Served OBs'!A:N,11,0),0)</f>
        <v>0</v>
      </c>
      <c r="AP61" s="20">
        <f>ROUNDUP(IF(A61=0,0,IFERROR(VLOOKUP($A61,'[1]Donor''s Assigned Kilos'!A:N,13,0),0)),0)</f>
        <v>0</v>
      </c>
      <c r="AQ61" s="20">
        <f>IF(A61=0,0,IFERROR(SUMIFS([1]Population!W:W,[1]Population!J:J,'MASTER-2025'!A61),0))</f>
        <v>0</v>
      </c>
      <c r="AR61" s="18">
        <f>IFERROR(VLOOKUP($A61,'[1]Donor-Served OBs'!A:N,5,0),0)</f>
        <v>0</v>
      </c>
      <c r="AS61" s="18">
        <f>ROUNDUP(IF(A61=0,0,IFERROR(VLOOKUP($A61,'[1]Donor''s Assigned Kilos'!A:N,10,0),0)),0)</f>
        <v>0</v>
      </c>
      <c r="AT61" s="18">
        <f>IF(A61=0,0,IFERROR(SUMIFS([1]Population!T:T,[1]Population!J:J,'MASTER-2025'!A61),0))</f>
        <v>0</v>
      </c>
      <c r="AU61" s="19">
        <f>IFERROR(VLOOKUP($A61,'[1]Donor-Served OBs'!A:N,13,0),0)</f>
        <v>0</v>
      </c>
      <c r="AV61" s="19">
        <f>ROUNDUP(IF(A61=0,0,IFERROR(VLOOKUP($A61,'[1]Donor''s Assigned Kilos'!A:N,14,0),0)),0)</f>
        <v>0</v>
      </c>
      <c r="AW61" s="19">
        <f>IF(A61=0,0,IFERROR(SUMIFS([1]Population!X:X,[1]Population!J:J,'MASTER-2025'!A61),0))</f>
        <v>0</v>
      </c>
      <c r="AX61" s="20">
        <f>IFERROR(VLOOKUP($A61,'[1]Donor-Served OBs'!A:N,16,0),0)</f>
        <v>0</v>
      </c>
      <c r="AY61" s="20">
        <f>ROUNDUP(IF(A61=0,0,IFERROR(VLOOKUP($A61,'[1]Donor''s Assigned Kilos'!A:O,16,0),0)),0)</f>
        <v>0</v>
      </c>
      <c r="AZ61" s="20">
        <f>IF(A61=0,0,IFERROR(SUMIFS([1]Population!Y:Y,[1]Population!J:J,'MASTER-2025'!A61),0))</f>
        <v>0</v>
      </c>
      <c r="BA61" s="21">
        <f t="shared" si="15"/>
        <v>0</v>
      </c>
      <c r="BB61" s="21">
        <f t="shared" si="29"/>
        <v>0</v>
      </c>
      <c r="BC61" s="21">
        <f t="shared" si="24"/>
        <v>0</v>
      </c>
      <c r="BD61" s="21">
        <f t="shared" si="26"/>
        <v>0</v>
      </c>
      <c r="BE61" s="22" t="e">
        <f>IF(A61=0,0,SUMIFS([1]Population!C:C,[1]Population!A:A,'MASTER-2025'!A61))</f>
        <v>#VALUE!</v>
      </c>
      <c r="BF61" s="22" t="e">
        <f>IF(A61=0,0,SUMIFS([1]Population!D:D,[1]Population!A:A,'MASTER-2025'!A61))</f>
        <v>#VALUE!</v>
      </c>
      <c r="BG61" s="22" t="e">
        <f>IF(A61=0,0,SUMIFS([1]Population!E:E,[1]Population!A:A,'MASTER-2025'!A61))</f>
        <v>#VALUE!</v>
      </c>
      <c r="BH61" s="22" t="e">
        <f>IF(A61=0,0,SUMIFS([1]Population!F:F,[1]Population!A:A,'MASTER-2025'!A61))</f>
        <v>#VALUE!</v>
      </c>
      <c r="BI61" s="22" t="e">
        <f t="shared" si="18"/>
        <v>#VALUE!</v>
      </c>
      <c r="BJ61" s="23" t="e">
        <f t="shared" si="6"/>
        <v>#VALUE!</v>
      </c>
      <c r="BK61" s="22" t="e">
        <f>IF(A61=0,0,SUMIFS([1]Population!G:G,[1]Population!A:A,'MASTER-2025'!A61))</f>
        <v>#VALUE!</v>
      </c>
      <c r="BL61" s="24" cm="1">
        <f t="array" ref="BL61:BW61">IFERROR(VLOOKUP(A61,'[1]Now-OB-kg-POB-25'!A:AQ,{3,4,5,6,7,8,9,10,11,12,13,14},0),0)</f>
        <v>35</v>
      </c>
      <c r="BM61" s="24">
        <v>1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0</v>
      </c>
      <c r="BX61" s="24">
        <f t="shared" si="7"/>
        <v>36</v>
      </c>
      <c r="BY61" s="25" cm="1">
        <f t="array" ref="BY61:CJ61">IFERROR(VLOOKUP(A61,'[1]Now-OB-kg-POB-25'!A:AQ,{17,18,19,20,21,22,23,24,25,26,27,28},0),0)</f>
        <v>950</v>
      </c>
      <c r="BZ61" s="25">
        <v>0</v>
      </c>
      <c r="CA61" s="25">
        <v>0</v>
      </c>
      <c r="CB61" s="25">
        <v>0</v>
      </c>
      <c r="CC61" s="25">
        <v>0</v>
      </c>
      <c r="CD61" s="25">
        <v>0</v>
      </c>
      <c r="CE61" s="25">
        <v>0</v>
      </c>
      <c r="CF61" s="25">
        <v>0</v>
      </c>
      <c r="CG61" s="25">
        <v>0</v>
      </c>
      <c r="CH61" s="25">
        <v>0</v>
      </c>
      <c r="CI61" s="25">
        <v>0</v>
      </c>
      <c r="CJ61" s="25">
        <v>0</v>
      </c>
      <c r="CK61" s="25">
        <f t="shared" si="8"/>
        <v>950</v>
      </c>
      <c r="CL61" s="26" cm="1">
        <f t="array" ref="CL61:CW61">IFERROR(VLOOKUP(A61,'[1]Now-OB-kg-POB-25'!A:AQ,{31,32,33,34,35,36,37,38,39,40,41,42},0),0)</f>
        <v>12637</v>
      </c>
      <c r="CM61" s="26">
        <v>400</v>
      </c>
      <c r="CN61" s="26">
        <v>0</v>
      </c>
      <c r="CO61" s="26">
        <v>0</v>
      </c>
      <c r="CP61" s="26">
        <v>0</v>
      </c>
      <c r="CQ61" s="26">
        <v>0</v>
      </c>
      <c r="CR61" s="26">
        <v>0</v>
      </c>
      <c r="CS61" s="26">
        <v>0</v>
      </c>
      <c r="CT61" s="26">
        <v>0</v>
      </c>
      <c r="CU61" s="26">
        <v>0</v>
      </c>
      <c r="CV61" s="26">
        <v>0</v>
      </c>
      <c r="CW61" s="26">
        <v>0</v>
      </c>
      <c r="CX61" s="26">
        <f t="shared" si="9"/>
        <v>13037</v>
      </c>
      <c r="CY61" s="14">
        <f>IF(A61=0,0,IFERROR(VLOOKUP(A61,'[1]Info Donantes'!C:F,2,0),"Sin Contacto"))</f>
        <v>0</v>
      </c>
      <c r="CZ61" s="14">
        <f>IF(A61=0,0,IFERROR(VLOOKUP(A61,'[1]Info Donantes'!C:F,3,0),"Sin Correo"))</f>
        <v>0</v>
      </c>
      <c r="DA61" s="14" t="str">
        <f>IF(A61=0,0,IFERROR(VLOOKUP(A61,'[1]Info Donantes'!C:F,4,0),"Sin Telefono"))</f>
        <v>303-1545</v>
      </c>
      <c r="DB61" s="14" t="str">
        <f>IF(A61=0,0,"Reporte de Trazabiidad"&amp;" - "&amp;'[1]Donor Summary'!$C$2&amp;" - "&amp;A61&amp;"")</f>
        <v>Reporte de Trazabiidad -  - MEDIA ITEMS, INC</v>
      </c>
    </row>
    <row r="62" spans="1:106" x14ac:dyDescent="0.55000000000000004">
      <c r="A62" s="31" t="s">
        <v>224</v>
      </c>
      <c r="B62" s="15">
        <f>INT(IFERROR(VLOOKUP(A62,'[1]Donor Summary'!C:F,3,0),0))</f>
        <v>0</v>
      </c>
      <c r="C62" s="15">
        <f>INT(ROUND(IFERROR(VLOOKUP(A62,'[1]Donor Summary'!C:F,4,0),0),1))</f>
        <v>64</v>
      </c>
      <c r="D62" s="16">
        <f t="shared" si="19"/>
        <v>64</v>
      </c>
      <c r="E62" s="17" t="str">
        <f t="shared" si="20"/>
        <v>100.00%</v>
      </c>
      <c r="F62" s="17" t="str">
        <f t="shared" si="21"/>
        <v>0.0%</v>
      </c>
      <c r="G62" s="15">
        <f t="shared" si="25"/>
        <v>192</v>
      </c>
      <c r="H62" s="18"/>
      <c r="I62" s="18">
        <f>IFERROR(VLOOKUP(A62,'[1]Lot All by Part'!T:Y,6,0),0)</f>
        <v>0</v>
      </c>
      <c r="J62" s="18"/>
      <c r="K62" s="19">
        <f>IFERROR(VLOOKUP($A62,'[1]Donor-Served OBs'!A:N,3,0),0)</f>
        <v>7</v>
      </c>
      <c r="L62" s="19">
        <f>ROUNDUP(IF(A62=0,0,IFERROR(VLOOKUP($A62,'[1]Donor''s Assigned Kilos'!A:O,3,0),0)),0)</f>
        <v>16</v>
      </c>
      <c r="M62" s="19">
        <f>IF(A62=0,0,IFERROR(SUMIFS([1]Population!M:M,[1]Population!J:J,'MASTER-2025'!A62),0))</f>
        <v>0</v>
      </c>
      <c r="N62" s="20">
        <f>IFERROR(VLOOKUP($A62,'[1]Donor-Served OBs'!A:N,4,0),0)</f>
        <v>5</v>
      </c>
      <c r="O62" s="20">
        <f>ROUNDUP(IF(A62=0,0,IFERROR(VLOOKUP($A62,'[1]Donor''s Assigned Kilos'!A:O,4,0),0)),0)</f>
        <v>29</v>
      </c>
      <c r="P62" s="20">
        <f>IF(A62=0,0,IFERROR(SUMIFS([1]Population!N:N,[1]Population!J:J,'MASTER-2025'!A62),0))</f>
        <v>0</v>
      </c>
      <c r="Q62" s="18">
        <f>IFERROR(VLOOKUP($A62,'[1]Donor-Served OBs'!A:N,2,0),0)</f>
        <v>3</v>
      </c>
      <c r="R62" s="18">
        <f>ROUNDUP(ROUND(IF(A62=0,0,IFERROR(VLOOKUP($A62,'[1]Donor''s Assigned Kilos'!A:O,9,0),0)),1),0)</f>
        <v>10</v>
      </c>
      <c r="S62" s="18">
        <f>IF(A62=0,0,IFERROR(SUMIFS([1]Population!S:S,[1]Population!J:J,'MASTER-2025'!A62),0))</f>
        <v>0</v>
      </c>
      <c r="T62" s="19">
        <f>IFERROR(VLOOKUP($A62,'[1]Donor-Served OBs'!A:N,12,0),0)</f>
        <v>0</v>
      </c>
      <c r="U62" s="19">
        <f>ROUNDUP(IF(A62=0,0,IF(A62=0,0,IFERROR(VLOOKUP($A62,'[1]Donor''s Assigned Kilos'!A:O,7,0),0))),0)</f>
        <v>0</v>
      </c>
      <c r="V62" s="19">
        <f>IF(A62=0,0,IFERROR(SUMIFS([1]Population!Q:Q,[1]Population!J:J,'MASTER-2025'!A62),0))</f>
        <v>0</v>
      </c>
      <c r="W62" s="20">
        <f>IFERROR(VLOOKUP($A62,'[1]Donor-Served OBs'!A:N,10,0),0)</f>
        <v>3</v>
      </c>
      <c r="X62" s="20">
        <f>ROUNDUP(IF(A62=0,0,IFERROR(VLOOKUP($A62,'[1]Donor''s Assigned Kilos'!A:N,5,0),0)),0)</f>
        <v>6</v>
      </c>
      <c r="Y62" s="20">
        <f>IF(A62=0,0,IFERROR(SUMIFS([1]Population!O:O,[1]Population!J:J,'MASTER-2025'!A62),0))</f>
        <v>0</v>
      </c>
      <c r="Z62" s="18">
        <f>IFERROR(VLOOKUP($A62,'[1]Donor-Served OBs'!A:N,6,0),0)</f>
        <v>0</v>
      </c>
      <c r="AA62" s="18">
        <f>ROUNDUP(IF(A62=0,0,IFERROR(VLOOKUP($A62,'[1]Donor''s Assigned Kilos'!A:N,11,0),0)),0)</f>
        <v>0</v>
      </c>
      <c r="AB62" s="18">
        <f>IF(A62=0,0,IFERROR(SUMIFS([1]Population!U:U,[1]Population!J:J,'MASTER-2025'!A62),0))</f>
        <v>0</v>
      </c>
      <c r="AC62" s="19">
        <f>IFERROR(VLOOKUP($A62,'[1]Donor-Served OBs'!A:N,7,0),0)</f>
        <v>1</v>
      </c>
      <c r="AD62" s="19">
        <f>ROUNDUP(IF(A62=0,0,IFERROR(VLOOKUP($A62,'[1]Donor''s Assigned Kilos'!A:N,8,0),0)),0)</f>
        <v>6</v>
      </c>
      <c r="AE62" s="19">
        <f>IF(A62=0,0,IFERROR(SUMIFS([1]Population!R:R,[1]Population!J:J,'MASTER-2025'!A62),0))</f>
        <v>0</v>
      </c>
      <c r="AF62" s="20">
        <f>IFERROR(VLOOKUP($A62,'[1]Donor-Served OBs'!A:N,8,0),0)</f>
        <v>0</v>
      </c>
      <c r="AG62" s="20">
        <f>ROUNDUP(IF(A62=0,0,IFERROR(VLOOKUP($A62,'[1]Donor''s Assigned Kilos'!A:N,6,0),0)),0)</f>
        <v>0</v>
      </c>
      <c r="AH62" s="20">
        <f>IF(A62=0,0,IFERROR(SUMIFS([1]Population!P:P,[1]Population!J:J,'MASTER-2025'!A62),0))</f>
        <v>0</v>
      </c>
      <c r="AI62" s="18">
        <f>IFERROR(VLOOKUP($A62,'[1]Donor-Served OBs'!A:N,9,0),0)</f>
        <v>0</v>
      </c>
      <c r="AJ62" s="18">
        <f>ROUNDUP(IF(A62=0,0,IFERROR(VLOOKUP($A62,'[1]Donor''s Assigned Kilos'!A:N,12,0),0)),0)</f>
        <v>0</v>
      </c>
      <c r="AK62" s="18">
        <f>IF(A62=0,0,IFERROR(SUMIFS([1]Population!V:V,[1]Population!J:J,'MASTER-2025'!A62),0))</f>
        <v>0</v>
      </c>
      <c r="AL62" s="19">
        <f>IFERROR(VLOOKUP($A62,'[1]Donor-Served OBs'!A:N,16,0),0)</f>
        <v>0</v>
      </c>
      <c r="AM62" s="19">
        <f>ROUNDUP(IF(A62=0,0,IFERROR(VLOOKUP($A62,'[1]Donor''s Assigned Kilos'!A:O,16,0),0)),0)</f>
        <v>0</v>
      </c>
      <c r="AN62" s="19">
        <f>IF(A62=0,0,IFERROR(SUMIFS([1]Population!Z:Z,[1]Population!J:J,'MASTER-2025'!A62),0))</f>
        <v>0</v>
      </c>
      <c r="AO62" s="20">
        <f>IFERROR(VLOOKUP($A62,'[1]Donor-Served OBs'!A:N,11,0),0)</f>
        <v>0</v>
      </c>
      <c r="AP62" s="20">
        <f>ROUNDUP(IF(A62=0,0,IFERROR(VLOOKUP($A62,'[1]Donor''s Assigned Kilos'!A:N,13,0),0)),0)</f>
        <v>0</v>
      </c>
      <c r="AQ62" s="20">
        <f>IF(A62=0,0,IFERROR(SUMIFS([1]Population!W:W,[1]Population!J:J,'MASTER-2025'!A62),0))</f>
        <v>0</v>
      </c>
      <c r="AR62" s="18">
        <f>IFERROR(VLOOKUP($A62,'[1]Donor-Served OBs'!A:N,5,0),0)</f>
        <v>0</v>
      </c>
      <c r="AS62" s="18">
        <f>ROUNDUP(IF(A62=0,0,IFERROR(VLOOKUP($A62,'[1]Donor''s Assigned Kilos'!A:N,10,0),0)),0)</f>
        <v>0</v>
      </c>
      <c r="AT62" s="18">
        <f>IF(A62=0,0,IFERROR(SUMIFS([1]Population!T:T,[1]Population!J:J,'MASTER-2025'!A62),0))</f>
        <v>0</v>
      </c>
      <c r="AU62" s="19">
        <f>IFERROR(VLOOKUP($A62,'[1]Donor-Served OBs'!A:N,13,0),0)</f>
        <v>0</v>
      </c>
      <c r="AV62" s="19">
        <f>ROUNDUP(IF(A62=0,0,IFERROR(VLOOKUP($A62,'[1]Donor''s Assigned Kilos'!A:N,14,0),0)),0)</f>
        <v>0</v>
      </c>
      <c r="AW62" s="19">
        <f>IF(A62=0,0,IFERROR(SUMIFS([1]Population!X:X,[1]Population!J:J,'MASTER-2025'!A62),0))</f>
        <v>0</v>
      </c>
      <c r="AX62" s="20">
        <f>IFERROR(VLOOKUP($A62,'[1]Donor-Served OBs'!A:N,16,0),0)</f>
        <v>0</v>
      </c>
      <c r="AY62" s="20">
        <f>ROUNDUP(IF(A62=0,0,IFERROR(VLOOKUP($A62,'[1]Donor''s Assigned Kilos'!A:O,16,0),0)),0)</f>
        <v>0</v>
      </c>
      <c r="AZ62" s="20">
        <f>IF(A62=0,0,IFERROR(SUMIFS([1]Population!Y:Y,[1]Population!J:J,'MASTER-2025'!A62),0))</f>
        <v>0</v>
      </c>
      <c r="BA62" s="21">
        <f t="shared" si="15"/>
        <v>19</v>
      </c>
      <c r="BB62" s="21">
        <f t="shared" si="29"/>
        <v>67</v>
      </c>
      <c r="BC62" s="21">
        <f t="shared" si="24"/>
        <v>55</v>
      </c>
      <c r="BD62" s="21">
        <f t="shared" si="26"/>
        <v>0</v>
      </c>
      <c r="BE62" s="22" t="e">
        <f>IF(A62=0,0,SUMIFS([1]Population!C:C,[1]Population!A:A,'MASTER-2025'!A62))</f>
        <v>#VALUE!</v>
      </c>
      <c r="BF62" s="22" t="e">
        <f>IF(A62=0,0,SUMIFS([1]Population!D:D,[1]Population!A:A,'MASTER-2025'!A62))</f>
        <v>#VALUE!</v>
      </c>
      <c r="BG62" s="22" t="e">
        <f>IF(A62=0,0,SUMIFS([1]Population!E:E,[1]Population!A:A,'MASTER-2025'!A62))</f>
        <v>#VALUE!</v>
      </c>
      <c r="BH62" s="22" t="e">
        <f>IF(A62=0,0,SUMIFS([1]Population!F:F,[1]Population!A:A,'MASTER-2025'!A62))</f>
        <v>#VALUE!</v>
      </c>
      <c r="BI62" s="22" t="e">
        <f t="shared" si="18"/>
        <v>#VALUE!</v>
      </c>
      <c r="BJ62" s="23" t="e">
        <f t="shared" si="6"/>
        <v>#VALUE!</v>
      </c>
      <c r="BK62" s="22" t="e">
        <f>IF(A62=0,0,SUMIFS([1]Population!G:G,[1]Population!A:A,'MASTER-2025'!A62))</f>
        <v>#VALUE!</v>
      </c>
      <c r="BL62" s="24" cm="1">
        <f t="array" ref="BL62:BW62">IFERROR(VLOOKUP(A62,'[1]Now-OB-kg-POB-25'!A:AQ,{3,4,5,6,7,8,9,10,11,12,13,14},0),0)</f>
        <v>0</v>
      </c>
      <c r="BM62" s="24">
        <v>0</v>
      </c>
      <c r="BN62" s="24">
        <v>19</v>
      </c>
      <c r="BO62" s="24">
        <v>0</v>
      </c>
      <c r="BP62" s="24">
        <v>0</v>
      </c>
      <c r="BQ62" s="24">
        <v>0</v>
      </c>
      <c r="BR62" s="24">
        <v>0</v>
      </c>
      <c r="BS62" s="24">
        <v>0</v>
      </c>
      <c r="BT62" s="24">
        <v>0</v>
      </c>
      <c r="BU62" s="24">
        <v>0</v>
      </c>
      <c r="BV62" s="24">
        <v>0</v>
      </c>
      <c r="BW62" s="24">
        <v>0</v>
      </c>
      <c r="BX62" s="24">
        <f t="shared" si="7"/>
        <v>19</v>
      </c>
      <c r="BY62" s="25" cm="1">
        <f t="array" ref="BY62:CJ62">IFERROR(VLOOKUP(A62,'[1]Now-OB-kg-POB-25'!A:AQ,{17,18,19,20,21,22,23,24,25,26,27,28},0),0)</f>
        <v>0</v>
      </c>
      <c r="BZ62" s="25">
        <v>61</v>
      </c>
      <c r="CA62" s="25">
        <v>64</v>
      </c>
      <c r="CB62" s="25">
        <v>0</v>
      </c>
      <c r="CC62" s="25">
        <v>0</v>
      </c>
      <c r="CD62" s="25">
        <v>0</v>
      </c>
      <c r="CE62" s="25">
        <v>0</v>
      </c>
      <c r="CF62" s="25">
        <v>0</v>
      </c>
      <c r="CG62" s="25">
        <v>0</v>
      </c>
      <c r="CH62" s="25">
        <v>0</v>
      </c>
      <c r="CI62" s="25">
        <v>0</v>
      </c>
      <c r="CJ62" s="25">
        <v>0</v>
      </c>
      <c r="CK62" s="25">
        <f t="shared" si="8"/>
        <v>125</v>
      </c>
      <c r="CL62" s="26" cm="1">
        <f t="array" ref="CL62:CW62">IFERROR(VLOOKUP(A62,'[1]Now-OB-kg-POB-25'!A:AQ,{31,32,33,34,35,36,37,38,39,40,41,42},0),0)</f>
        <v>0</v>
      </c>
      <c r="CM62" s="26">
        <v>0</v>
      </c>
      <c r="CN62" s="26">
        <v>3747</v>
      </c>
      <c r="CO62" s="26">
        <v>0</v>
      </c>
      <c r="CP62" s="26">
        <v>0</v>
      </c>
      <c r="CQ62" s="26">
        <v>0</v>
      </c>
      <c r="CR62" s="26">
        <v>0</v>
      </c>
      <c r="CS62" s="26">
        <v>0</v>
      </c>
      <c r="CT62" s="26">
        <v>0</v>
      </c>
      <c r="CU62" s="26">
        <v>0</v>
      </c>
      <c r="CV62" s="26">
        <v>0</v>
      </c>
      <c r="CW62" s="26">
        <v>0</v>
      </c>
      <c r="CX62" s="26">
        <f t="shared" si="9"/>
        <v>3747</v>
      </c>
      <c r="CY62" s="14" t="str">
        <f>IF(A62=0,0,IFERROR(VLOOKUP(A62,'[1]Info Donantes'!C:F,2,0),"Sin Contacto"))</f>
        <v>Sin Contacto</v>
      </c>
      <c r="CZ62" s="14" t="str">
        <f>IF(A62=0,0,IFERROR(VLOOKUP(A62,'[1]Info Donantes'!C:F,3,0),"Sin Correo"))</f>
        <v>Sin Correo</v>
      </c>
      <c r="DA62" s="14" t="str">
        <f>IF(A62=0,0,IFERROR(VLOOKUP(A62,'[1]Info Donantes'!C:F,4,0),"Sin Telefono"))</f>
        <v>Sin Telefono</v>
      </c>
      <c r="DB62" s="14" t="str">
        <f>IF(A62=0,0,"Reporte de Trazabiidad"&amp;" - "&amp;'[1]Donor Summary'!$C$2&amp;" - "&amp;A62&amp;"")</f>
        <v>Reporte de Trazabiidad -  - MELO FARMA, S.A.</v>
      </c>
    </row>
    <row r="63" spans="1:106" x14ac:dyDescent="0.55000000000000004">
      <c r="A63" s="31" t="s">
        <v>225</v>
      </c>
      <c r="B63" s="15">
        <f>INT(IFERROR(VLOOKUP(A63,'[1]Donor Summary'!C:F,3,0),0))</f>
        <v>0</v>
      </c>
      <c r="C63" s="15">
        <f>INT(ROUND(IFERROR(VLOOKUP(A63,'[1]Donor Summary'!C:F,4,0),0),1))</f>
        <v>3483</v>
      </c>
      <c r="D63" s="16">
        <f t="shared" si="19"/>
        <v>3483</v>
      </c>
      <c r="E63" s="17" t="str">
        <f t="shared" si="20"/>
        <v>100.00%</v>
      </c>
      <c r="F63" s="17" t="str">
        <f t="shared" si="21"/>
        <v>0.0%</v>
      </c>
      <c r="G63" s="15">
        <f t="shared" si="25"/>
        <v>10449</v>
      </c>
      <c r="H63" s="18"/>
      <c r="I63" s="18">
        <f>IFERROR(VLOOKUP(A63,'[1]Lot All by Part'!T:Y,6,0),0)</f>
        <v>0</v>
      </c>
      <c r="J63" s="18"/>
      <c r="K63" s="19">
        <f>IFERROR(VLOOKUP($A63,'[1]Donor-Served OBs'!A:N,3,0),0)</f>
        <v>20</v>
      </c>
      <c r="L63" s="19">
        <f>ROUNDUP(IF(A63=0,0,IFERROR(VLOOKUP($A63,'[1]Donor''s Assigned Kilos'!A:O,3,0),0)),0)</f>
        <v>897</v>
      </c>
      <c r="M63" s="19">
        <f>IF(A63=0,0,IFERROR(SUMIFS([1]Population!M:M,[1]Population!J:J,'MASTER-2025'!A63),0))</f>
        <v>0</v>
      </c>
      <c r="N63" s="20">
        <f>IFERROR(VLOOKUP($A63,'[1]Donor-Served OBs'!A:N,4,0),0)</f>
        <v>32</v>
      </c>
      <c r="O63" s="20">
        <f>ROUNDUP(IF(A63=0,0,IFERROR(VLOOKUP($A63,'[1]Donor''s Assigned Kilos'!A:O,4,0),0)),0)</f>
        <v>386</v>
      </c>
      <c r="P63" s="20">
        <f>IF(A63=0,0,IFERROR(SUMIFS([1]Population!N:N,[1]Population!J:J,'MASTER-2025'!A63),0))</f>
        <v>0</v>
      </c>
      <c r="Q63" s="18">
        <f>IFERROR(VLOOKUP($A63,'[1]Donor-Served OBs'!A:N,2,0),0)</f>
        <v>5</v>
      </c>
      <c r="R63" s="18">
        <f>ROUNDUP(ROUND(IF(A63=0,0,IFERROR(VLOOKUP($A63,'[1]Donor''s Assigned Kilos'!A:O,9,0),0)),1),0)</f>
        <v>40</v>
      </c>
      <c r="S63" s="18">
        <f>IF(A63=0,0,IFERROR(SUMIFS([1]Population!S:S,[1]Population!J:J,'MASTER-2025'!A63),0))</f>
        <v>0</v>
      </c>
      <c r="T63" s="19">
        <f>IFERROR(VLOOKUP($A63,'[1]Donor-Served OBs'!A:N,12,0),0)</f>
        <v>4</v>
      </c>
      <c r="U63" s="19">
        <f>ROUNDUP(IF(A63=0,0,IF(A63=0,0,IFERROR(VLOOKUP($A63,'[1]Donor''s Assigned Kilos'!A:O,7,0),0))),0)</f>
        <v>101</v>
      </c>
      <c r="V63" s="19">
        <f>IF(A63=0,0,IFERROR(SUMIFS([1]Population!Q:Q,[1]Population!J:J,'MASTER-2025'!A63),0))</f>
        <v>0</v>
      </c>
      <c r="W63" s="20">
        <f>IFERROR(VLOOKUP($A63,'[1]Donor-Served OBs'!A:N,10,0),0)</f>
        <v>14</v>
      </c>
      <c r="X63" s="20">
        <f>ROUNDUP(IF(A63=0,0,IFERROR(VLOOKUP($A63,'[1]Donor''s Assigned Kilos'!A:N,5,0),0)),0)</f>
        <v>147</v>
      </c>
      <c r="Y63" s="20">
        <f>IF(A63=0,0,IFERROR(SUMIFS([1]Population!O:O,[1]Population!J:J,'MASTER-2025'!A63),0))</f>
        <v>0</v>
      </c>
      <c r="Z63" s="18">
        <f>IFERROR(VLOOKUP($A63,'[1]Donor-Served OBs'!A:N,6,0),0)</f>
        <v>0</v>
      </c>
      <c r="AA63" s="18">
        <f>ROUNDUP(IF(A63=0,0,IFERROR(VLOOKUP($A63,'[1]Donor''s Assigned Kilos'!A:N,11,0),0)),0)</f>
        <v>0</v>
      </c>
      <c r="AB63" s="18">
        <f>IF(A63=0,0,IFERROR(SUMIFS([1]Population!U:U,[1]Population!J:J,'MASTER-2025'!A63),0))</f>
        <v>0</v>
      </c>
      <c r="AC63" s="19">
        <f>IFERROR(VLOOKUP($A63,'[1]Donor-Served OBs'!A:N,7,0),0)</f>
        <v>5</v>
      </c>
      <c r="AD63" s="19">
        <f>ROUNDUP(IF(A63=0,0,IFERROR(VLOOKUP($A63,'[1]Donor''s Assigned Kilos'!A:N,8,0),0)),0)</f>
        <v>92</v>
      </c>
      <c r="AE63" s="19">
        <f>IF(A63=0,0,IFERROR(SUMIFS([1]Population!R:R,[1]Population!J:J,'MASTER-2025'!A63),0))</f>
        <v>0</v>
      </c>
      <c r="AF63" s="20">
        <f>IFERROR(VLOOKUP($A63,'[1]Donor-Served OBs'!A:N,8,0),0)</f>
        <v>2</v>
      </c>
      <c r="AG63" s="20">
        <f>ROUNDUP(IF(A63=0,0,IFERROR(VLOOKUP($A63,'[1]Donor''s Assigned Kilos'!A:N,6,0),0)),0)</f>
        <v>13</v>
      </c>
      <c r="AH63" s="20">
        <f>IF(A63=0,0,IFERROR(SUMIFS([1]Population!P:P,[1]Population!J:J,'MASTER-2025'!A63),0))</f>
        <v>0</v>
      </c>
      <c r="AI63" s="18">
        <f>IFERROR(VLOOKUP($A63,'[1]Donor-Served OBs'!A:N,9,0),0)</f>
        <v>1</v>
      </c>
      <c r="AJ63" s="18">
        <f>ROUNDUP(IF(A63=0,0,IFERROR(VLOOKUP($A63,'[1]Donor''s Assigned Kilos'!A:N,12,0),0)),0)</f>
        <v>8</v>
      </c>
      <c r="AK63" s="18">
        <f>IF(A63=0,0,IFERROR(SUMIFS([1]Population!V:V,[1]Population!J:J,'MASTER-2025'!A63),0))</f>
        <v>0</v>
      </c>
      <c r="AL63" s="19">
        <f>IFERROR(VLOOKUP($A63,'[1]Donor-Served OBs'!A:N,16,0),0)</f>
        <v>0</v>
      </c>
      <c r="AM63" s="19">
        <f>ROUNDUP(IF(A63=0,0,IFERROR(VLOOKUP($A63,'[1]Donor''s Assigned Kilos'!A:O,16,0),0)),0)</f>
        <v>0</v>
      </c>
      <c r="AN63" s="19">
        <f>IF(A63=0,0,IFERROR(SUMIFS([1]Population!Z:Z,[1]Population!J:J,'MASTER-2025'!A63),0))</f>
        <v>0</v>
      </c>
      <c r="AO63" s="20">
        <f>IFERROR(VLOOKUP($A63,'[1]Donor-Served OBs'!A:N,11,0),0)</f>
        <v>0</v>
      </c>
      <c r="AP63" s="20">
        <f>ROUNDUP(IF(A63=0,0,IFERROR(VLOOKUP($A63,'[1]Donor''s Assigned Kilos'!A:N,13,0),0)),0)</f>
        <v>0</v>
      </c>
      <c r="AQ63" s="20">
        <f>IF(A63=0,0,IFERROR(SUMIFS([1]Population!W:W,[1]Population!J:J,'MASTER-2025'!A63),0))</f>
        <v>0</v>
      </c>
      <c r="AR63" s="18">
        <f>IFERROR(VLOOKUP($A63,'[1]Donor-Served OBs'!A:N,5,0),0)</f>
        <v>4</v>
      </c>
      <c r="AS63" s="18">
        <f>ROUNDUP(IF(A63=0,0,IFERROR(VLOOKUP($A63,'[1]Donor''s Assigned Kilos'!A:N,10,0),0)),0)</f>
        <v>30</v>
      </c>
      <c r="AT63" s="18">
        <f>IF(A63=0,0,IFERROR(SUMIFS([1]Population!T:T,[1]Population!J:J,'MASTER-2025'!A63),0))</f>
        <v>0</v>
      </c>
      <c r="AU63" s="19">
        <f>IFERROR(VLOOKUP($A63,'[1]Donor-Served OBs'!A:N,13,0),0)</f>
        <v>0</v>
      </c>
      <c r="AV63" s="19">
        <f>ROUNDUP(IF(A63=0,0,IFERROR(VLOOKUP($A63,'[1]Donor''s Assigned Kilos'!A:N,14,0),0)),0)</f>
        <v>0</v>
      </c>
      <c r="AW63" s="19">
        <f>IF(A63=0,0,IFERROR(SUMIFS([1]Population!X:X,[1]Population!J:J,'MASTER-2025'!A63),0))</f>
        <v>0</v>
      </c>
      <c r="AX63" s="20">
        <f>IFERROR(VLOOKUP($A63,'[1]Donor-Served OBs'!A:N,16,0),0)</f>
        <v>0</v>
      </c>
      <c r="AY63" s="20">
        <f>ROUNDUP(IF(A63=0,0,IFERROR(VLOOKUP($A63,'[1]Donor''s Assigned Kilos'!A:O,16,0),0)),0)</f>
        <v>0</v>
      </c>
      <c r="AZ63" s="20">
        <f>IF(A63=0,0,IFERROR(SUMIFS([1]Population!Y:Y,[1]Population!J:J,'MASTER-2025'!A63),0))</f>
        <v>0</v>
      </c>
      <c r="BA63" s="21">
        <f t="shared" si="15"/>
        <v>87</v>
      </c>
      <c r="BB63" s="21">
        <f t="shared" si="29"/>
        <v>1714</v>
      </c>
      <c r="BC63" s="21">
        <f t="shared" si="24"/>
        <v>1424</v>
      </c>
      <c r="BD63" s="21">
        <f t="shared" si="26"/>
        <v>0</v>
      </c>
      <c r="BE63" s="22" t="e">
        <f>IF(A63=0,0,SUMIFS([1]Population!C:C,[1]Population!A:A,'MASTER-2025'!A63))</f>
        <v>#VALUE!</v>
      </c>
      <c r="BF63" s="22" t="e">
        <f>IF(A63=0,0,SUMIFS([1]Population!D:D,[1]Population!A:A,'MASTER-2025'!A63))</f>
        <v>#VALUE!</v>
      </c>
      <c r="BG63" s="22" t="e">
        <f>IF(A63=0,0,SUMIFS([1]Population!E:E,[1]Population!A:A,'MASTER-2025'!A63))</f>
        <v>#VALUE!</v>
      </c>
      <c r="BH63" s="22" t="e">
        <f>IF(A63=0,0,SUMIFS([1]Population!F:F,[1]Population!A:A,'MASTER-2025'!A63))</f>
        <v>#VALUE!</v>
      </c>
      <c r="BI63" s="22" t="e">
        <f t="shared" si="18"/>
        <v>#VALUE!</v>
      </c>
      <c r="BJ63" s="23" t="e">
        <f t="shared" si="6"/>
        <v>#VALUE!</v>
      </c>
      <c r="BK63" s="22" t="e">
        <f>IF(A63=0,0,SUMIFS([1]Population!G:G,[1]Population!A:A,'MASTER-2025'!A63))</f>
        <v>#VALUE!</v>
      </c>
      <c r="BL63" s="24" cm="1">
        <f t="array" ref="BL63:BW63">IFERROR(VLOOKUP(A63,'[1]Now-OB-kg-POB-25'!A:AQ,{3,4,5,6,7,8,9,10,11,12,13,14},0),0)</f>
        <v>0</v>
      </c>
      <c r="BM63" s="24">
        <v>0</v>
      </c>
      <c r="BN63" s="24">
        <v>87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BX63" s="24">
        <f t="shared" si="7"/>
        <v>87</v>
      </c>
      <c r="BY63" s="25" cm="1">
        <f t="array" ref="BY63:CJ63">IFERROR(VLOOKUP(A63,'[1]Now-OB-kg-POB-25'!A:AQ,{17,18,19,20,21,22,23,24,25,26,27,28},0),0)</f>
        <v>0</v>
      </c>
      <c r="BZ63" s="25">
        <v>0</v>
      </c>
      <c r="CA63" s="25">
        <v>3483</v>
      </c>
      <c r="CB63" s="25">
        <v>0</v>
      </c>
      <c r="CC63" s="25">
        <v>0</v>
      </c>
      <c r="CD63" s="25">
        <v>0</v>
      </c>
      <c r="CE63" s="25">
        <v>0</v>
      </c>
      <c r="CF63" s="25">
        <v>0</v>
      </c>
      <c r="CG63" s="25">
        <v>0</v>
      </c>
      <c r="CH63" s="25">
        <v>0</v>
      </c>
      <c r="CI63" s="25">
        <v>0</v>
      </c>
      <c r="CJ63" s="25">
        <v>0</v>
      </c>
      <c r="CK63" s="25">
        <f t="shared" si="8"/>
        <v>3483</v>
      </c>
      <c r="CL63" s="26" cm="1">
        <f t="array" ref="CL63:CW63">IFERROR(VLOOKUP(A63,'[1]Now-OB-kg-POB-25'!A:AQ,{31,32,33,34,35,36,37,38,39,40,41,42},0),0)</f>
        <v>0</v>
      </c>
      <c r="CM63" s="26">
        <v>0</v>
      </c>
      <c r="CN63" s="26">
        <v>30032</v>
      </c>
      <c r="CO63" s="26">
        <v>0</v>
      </c>
      <c r="CP63" s="26">
        <v>0</v>
      </c>
      <c r="CQ63" s="26">
        <v>0</v>
      </c>
      <c r="CR63" s="26">
        <v>0</v>
      </c>
      <c r="CS63" s="26">
        <v>0</v>
      </c>
      <c r="CT63" s="26">
        <v>0</v>
      </c>
      <c r="CU63" s="26">
        <v>0</v>
      </c>
      <c r="CV63" s="26">
        <v>0</v>
      </c>
      <c r="CW63" s="26">
        <v>0</v>
      </c>
      <c r="CX63" s="26">
        <f t="shared" si="9"/>
        <v>30032</v>
      </c>
      <c r="CY63" s="14" t="str">
        <f>IF(A63=0,0,IFERROR(VLOOKUP(A63,'[1]Info Donantes'!C:F,2,0),"Sin Contacto"))</f>
        <v>Ricardo Larrea</v>
      </c>
      <c r="CZ63" s="14" t="str">
        <f>IF(A63=0,0,IFERROR(VLOOKUP(A63,'[1]Info Donantes'!C:F,3,0),"Sin Correo"))</f>
        <v>ricardo@cialimentos.com</v>
      </c>
      <c r="DA63" s="14" t="str">
        <f>IF(A63=0,0,IFERROR(VLOOKUP(A63,'[1]Info Donantes'!C:F,4,0),"Sin Telefono"))</f>
        <v>291-0300/291-0415</v>
      </c>
      <c r="DB63" s="14" t="str">
        <f>IF(A63=0,0,"Reporte de Trazabiidad"&amp;" - "&amp;'[1]Donor Summary'!$C$2&amp;" - "&amp;A63&amp;"")</f>
        <v>Reporte de Trazabiidad -  - MERCALIMENTOS PANAMA, S.A</v>
      </c>
    </row>
    <row r="64" spans="1:106" x14ac:dyDescent="0.55000000000000004">
      <c r="A64" s="31" t="s">
        <v>226</v>
      </c>
      <c r="B64" s="15">
        <f>INT(IFERROR(VLOOKUP(A64,'[1]Donor Summary'!C:F,3,0),0))</f>
        <v>0</v>
      </c>
      <c r="C64" s="15">
        <f>INT(ROUND(IFERROR(VLOOKUP(A64,'[1]Donor Summary'!C:F,4,0),0),1))</f>
        <v>0</v>
      </c>
      <c r="D64" s="16">
        <f t="shared" si="19"/>
        <v>0</v>
      </c>
      <c r="E64" s="17" t="str">
        <f t="shared" si="20"/>
        <v>0.00%</v>
      </c>
      <c r="F64" s="17" t="str">
        <f t="shared" si="21"/>
        <v>0.0%</v>
      </c>
      <c r="G64" s="15">
        <f t="shared" si="25"/>
        <v>0</v>
      </c>
      <c r="H64" s="18"/>
      <c r="I64" s="18">
        <f>IFERROR(VLOOKUP(A64,'[1]Lot All by Part'!T:Y,6,0),0)</f>
        <v>0</v>
      </c>
      <c r="J64" s="18"/>
      <c r="K64" s="19">
        <f>IFERROR(VLOOKUP($A64,'[1]Donor-Served OBs'!A:N,3,0),0)</f>
        <v>0</v>
      </c>
      <c r="L64" s="19">
        <f>ROUNDUP(IF(A64=0,0,IFERROR(VLOOKUP($A64,'[1]Donor''s Assigned Kilos'!A:O,3,0),0)),0)</f>
        <v>0</v>
      </c>
      <c r="M64" s="19">
        <f>IF(A64=0,0,IFERROR(SUMIFS([1]Population!M:M,[1]Population!J:J,'MASTER-2025'!A64),0))</f>
        <v>0</v>
      </c>
      <c r="N64" s="20">
        <f>IFERROR(VLOOKUP($A64,'[1]Donor-Served OBs'!A:N,4,0),0)</f>
        <v>0</v>
      </c>
      <c r="O64" s="20">
        <f>ROUNDUP(IF(A64=0,0,IFERROR(VLOOKUP($A64,'[1]Donor''s Assigned Kilos'!A:O,4,0),0)),0)</f>
        <v>0</v>
      </c>
      <c r="P64" s="20">
        <f>IF(A64=0,0,IFERROR(SUMIFS([1]Population!N:N,[1]Population!J:J,'MASTER-2025'!A64),0))</f>
        <v>0</v>
      </c>
      <c r="Q64" s="18">
        <f>IFERROR(VLOOKUP($A64,'[1]Donor-Served OBs'!A:N,2,0),0)</f>
        <v>0</v>
      </c>
      <c r="R64" s="18">
        <f>ROUNDUP(ROUND(IF(A64=0,0,IFERROR(VLOOKUP($A64,'[1]Donor''s Assigned Kilos'!A:O,9,0),0)),1),0)</f>
        <v>0</v>
      </c>
      <c r="S64" s="18">
        <f>IF(A64=0,0,IFERROR(SUMIFS([1]Population!S:S,[1]Population!J:J,'MASTER-2025'!A64),0))</f>
        <v>0</v>
      </c>
      <c r="T64" s="19">
        <f>IFERROR(VLOOKUP($A64,'[1]Donor-Served OBs'!A:N,12,0),0)</f>
        <v>0</v>
      </c>
      <c r="U64" s="19">
        <f>ROUNDUP(IF(A64=0,0,IF(A64=0,0,IFERROR(VLOOKUP($A64,'[1]Donor''s Assigned Kilos'!A:O,7,0),0))),0)</f>
        <v>0</v>
      </c>
      <c r="V64" s="19">
        <f>IF(A64=0,0,IFERROR(SUMIFS([1]Population!Q:Q,[1]Population!J:J,'MASTER-2025'!A64),0))</f>
        <v>0</v>
      </c>
      <c r="W64" s="20">
        <f>IFERROR(VLOOKUP($A64,'[1]Donor-Served OBs'!A:N,10,0),0)</f>
        <v>0</v>
      </c>
      <c r="X64" s="20">
        <f>ROUNDUP(IF(A64=0,0,IFERROR(VLOOKUP($A64,'[1]Donor''s Assigned Kilos'!A:N,5,0),0)),0)</f>
        <v>0</v>
      </c>
      <c r="Y64" s="20">
        <f>IF(A64=0,0,IFERROR(SUMIFS([1]Population!O:O,[1]Population!J:J,'MASTER-2025'!A64),0))</f>
        <v>0</v>
      </c>
      <c r="Z64" s="18">
        <f>IFERROR(VLOOKUP($A64,'[1]Donor-Served OBs'!A:N,6,0),0)</f>
        <v>0</v>
      </c>
      <c r="AA64" s="18">
        <f>ROUNDUP(IF(A64=0,0,IFERROR(VLOOKUP($A64,'[1]Donor''s Assigned Kilos'!A:N,11,0),0)),0)</f>
        <v>0</v>
      </c>
      <c r="AB64" s="18">
        <f>IF(A64=0,0,IFERROR(SUMIFS([1]Population!U:U,[1]Population!J:J,'MASTER-2025'!A64),0))</f>
        <v>0</v>
      </c>
      <c r="AC64" s="19">
        <f>IFERROR(VLOOKUP($A64,'[1]Donor-Served OBs'!A:N,7,0),0)</f>
        <v>0</v>
      </c>
      <c r="AD64" s="19">
        <f>ROUNDUP(IF(A64=0,0,IFERROR(VLOOKUP($A64,'[1]Donor''s Assigned Kilos'!A:N,8,0),0)),0)</f>
        <v>0</v>
      </c>
      <c r="AE64" s="19">
        <f>IF(A64=0,0,IFERROR(SUMIFS([1]Population!R:R,[1]Population!J:J,'MASTER-2025'!A64),0))</f>
        <v>0</v>
      </c>
      <c r="AF64" s="20">
        <f>IFERROR(VLOOKUP($A64,'[1]Donor-Served OBs'!A:N,8,0),0)</f>
        <v>0</v>
      </c>
      <c r="AG64" s="20">
        <f>ROUNDUP(IF(A64=0,0,IFERROR(VLOOKUP($A64,'[1]Donor''s Assigned Kilos'!A:N,6,0),0)),0)</f>
        <v>0</v>
      </c>
      <c r="AH64" s="20">
        <f>IF(A64=0,0,IFERROR(SUMIFS([1]Population!P:P,[1]Population!J:J,'MASTER-2025'!A64),0))</f>
        <v>0</v>
      </c>
      <c r="AI64" s="18">
        <f>IFERROR(VLOOKUP($A64,'[1]Donor-Served OBs'!A:N,9,0),0)</f>
        <v>0</v>
      </c>
      <c r="AJ64" s="18">
        <f>ROUNDUP(IF(A64=0,0,IFERROR(VLOOKUP($A64,'[1]Donor''s Assigned Kilos'!A:N,12,0),0)),0)</f>
        <v>0</v>
      </c>
      <c r="AK64" s="18">
        <f>IF(A64=0,0,IFERROR(SUMIFS([1]Population!V:V,[1]Population!J:J,'MASTER-2025'!A64),0))</f>
        <v>0</v>
      </c>
      <c r="AL64" s="19">
        <f>IFERROR(VLOOKUP($A64,'[1]Donor-Served OBs'!A:N,16,0),0)</f>
        <v>0</v>
      </c>
      <c r="AM64" s="19">
        <f>ROUNDUP(IF(A64=0,0,IFERROR(VLOOKUP($A64,'[1]Donor''s Assigned Kilos'!A:O,16,0),0)),0)</f>
        <v>0</v>
      </c>
      <c r="AN64" s="19">
        <f>IF(A64=0,0,IFERROR(SUMIFS([1]Population!Z:Z,[1]Population!J:J,'MASTER-2025'!A64),0))</f>
        <v>0</v>
      </c>
      <c r="AO64" s="20">
        <f>IFERROR(VLOOKUP($A64,'[1]Donor-Served OBs'!A:N,11,0),0)</f>
        <v>0</v>
      </c>
      <c r="AP64" s="20">
        <f>ROUNDUP(IF(A64=0,0,IFERROR(VLOOKUP($A64,'[1]Donor''s Assigned Kilos'!A:N,13,0),0)),0)</f>
        <v>0</v>
      </c>
      <c r="AQ64" s="20">
        <f>IF(A64=0,0,IFERROR(SUMIFS([1]Population!W:W,[1]Population!J:J,'MASTER-2025'!A64),0))</f>
        <v>0</v>
      </c>
      <c r="AR64" s="18">
        <f>IFERROR(VLOOKUP($A64,'[1]Donor-Served OBs'!A:N,5,0),0)</f>
        <v>0</v>
      </c>
      <c r="AS64" s="18">
        <f>ROUNDUP(IF(A64=0,0,IFERROR(VLOOKUP($A64,'[1]Donor''s Assigned Kilos'!A:N,10,0),0)),0)</f>
        <v>0</v>
      </c>
      <c r="AT64" s="18">
        <f>IF(A64=0,0,IFERROR(SUMIFS([1]Population!T:T,[1]Population!J:J,'MASTER-2025'!A64),0))</f>
        <v>0</v>
      </c>
      <c r="AU64" s="19">
        <f>IFERROR(VLOOKUP($A64,'[1]Donor-Served OBs'!A:N,13,0),0)</f>
        <v>0</v>
      </c>
      <c r="AV64" s="19">
        <f>ROUNDUP(IF(A64=0,0,IFERROR(VLOOKUP($A64,'[1]Donor''s Assigned Kilos'!A:N,14,0),0)),0)</f>
        <v>0</v>
      </c>
      <c r="AW64" s="19">
        <f>IF(A64=0,0,IFERROR(SUMIFS([1]Population!X:X,[1]Population!J:J,'MASTER-2025'!A64),0))</f>
        <v>0</v>
      </c>
      <c r="AX64" s="20">
        <f>IFERROR(VLOOKUP($A64,'[1]Donor-Served OBs'!A:N,16,0),0)</f>
        <v>0</v>
      </c>
      <c r="AY64" s="20">
        <f>ROUNDUP(IF(A64=0,0,IFERROR(VLOOKUP($A64,'[1]Donor''s Assigned Kilos'!A:O,16,0),0)),0)</f>
        <v>0</v>
      </c>
      <c r="AZ64" s="20">
        <f>IF(A64=0,0,IFERROR(SUMIFS([1]Population!Y:Y,[1]Population!J:J,'MASTER-2025'!A64),0))</f>
        <v>0</v>
      </c>
      <c r="BA64" s="21">
        <f t="shared" si="15"/>
        <v>0</v>
      </c>
      <c r="BB64" s="21">
        <f t="shared" si="29"/>
        <v>0</v>
      </c>
      <c r="BC64" s="21">
        <f t="shared" si="24"/>
        <v>0</v>
      </c>
      <c r="BD64" s="21">
        <f t="shared" si="26"/>
        <v>0</v>
      </c>
      <c r="BE64" s="22" t="e">
        <f>IF(A64=0,0,SUMIFS([1]Population!C:C,[1]Population!A:A,'MASTER-2025'!A64))</f>
        <v>#VALUE!</v>
      </c>
      <c r="BF64" s="22" t="e">
        <f>IF(A64=0,0,SUMIFS([1]Population!D:D,[1]Population!A:A,'MASTER-2025'!A64))</f>
        <v>#VALUE!</v>
      </c>
      <c r="BG64" s="22" t="e">
        <f>IF(A64=0,0,SUMIFS([1]Population!E:E,[1]Population!A:A,'MASTER-2025'!A64))</f>
        <v>#VALUE!</v>
      </c>
      <c r="BH64" s="22" t="e">
        <f>IF(A64=0,0,SUMIFS([1]Population!F:F,[1]Population!A:A,'MASTER-2025'!A64))</f>
        <v>#VALUE!</v>
      </c>
      <c r="BI64" s="22" t="e">
        <f t="shared" si="18"/>
        <v>#VALUE!</v>
      </c>
      <c r="BJ64" s="23" t="e">
        <f t="shared" si="6"/>
        <v>#VALUE!</v>
      </c>
      <c r="BK64" s="22" t="e">
        <f>IF(A64=0,0,SUMIFS([1]Population!G:G,[1]Population!A:A,'MASTER-2025'!A64))</f>
        <v>#VALUE!</v>
      </c>
      <c r="BL64" s="24" cm="1">
        <f t="array" ref="BL64:BW64">IFERROR(VLOOKUP(A64,'[1]Now-OB-kg-POB-25'!A:AQ,{3,4,5,6,7,8,9,10,11,12,13,14},0),0)</f>
        <v>0</v>
      </c>
      <c r="BM64" s="24">
        <v>0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24">
        <v>0</v>
      </c>
      <c r="BU64" s="24">
        <v>0</v>
      </c>
      <c r="BV64" s="24">
        <v>0</v>
      </c>
      <c r="BW64" s="24">
        <v>0</v>
      </c>
      <c r="BX64" s="24">
        <f t="shared" si="7"/>
        <v>0</v>
      </c>
      <c r="BY64" s="25" cm="1">
        <f t="array" ref="BY64:CJ64">IFERROR(VLOOKUP(A64,'[1]Now-OB-kg-POB-25'!A:AQ,{17,18,19,20,21,22,23,24,25,26,27,28},0),0)</f>
        <v>0</v>
      </c>
      <c r="BZ64" s="25">
        <v>0</v>
      </c>
      <c r="CA64" s="25">
        <v>0</v>
      </c>
      <c r="CB64" s="25">
        <v>0</v>
      </c>
      <c r="CC64" s="25">
        <v>0</v>
      </c>
      <c r="CD64" s="25">
        <v>0</v>
      </c>
      <c r="CE64" s="25">
        <v>0</v>
      </c>
      <c r="CF64" s="25">
        <v>0</v>
      </c>
      <c r="CG64" s="25">
        <v>0</v>
      </c>
      <c r="CH64" s="25">
        <v>0</v>
      </c>
      <c r="CI64" s="25">
        <v>0</v>
      </c>
      <c r="CJ64" s="25">
        <v>0</v>
      </c>
      <c r="CK64" s="25">
        <f t="shared" si="8"/>
        <v>0</v>
      </c>
      <c r="CL64" s="26" cm="1">
        <f t="array" ref="CL64:CW64">IFERROR(VLOOKUP(A64,'[1]Now-OB-kg-POB-25'!A:AQ,{31,32,33,34,35,36,37,38,39,40,41,42},0),0)</f>
        <v>0</v>
      </c>
      <c r="CM64" s="26">
        <v>0</v>
      </c>
      <c r="CN64" s="26">
        <v>0</v>
      </c>
      <c r="CO64" s="26">
        <v>0</v>
      </c>
      <c r="CP64" s="26">
        <v>0</v>
      </c>
      <c r="CQ64" s="26">
        <v>0</v>
      </c>
      <c r="CR64" s="26">
        <v>0</v>
      </c>
      <c r="CS64" s="26">
        <v>0</v>
      </c>
      <c r="CT64" s="26">
        <v>0</v>
      </c>
      <c r="CU64" s="26">
        <v>0</v>
      </c>
      <c r="CV64" s="26">
        <v>0</v>
      </c>
      <c r="CW64" s="26">
        <v>0</v>
      </c>
      <c r="CX64" s="26">
        <f t="shared" si="9"/>
        <v>0</v>
      </c>
      <c r="CY64" s="14" t="str">
        <f>IF(A64=0,0,IFERROR(VLOOKUP(A64,'[1]Info Donantes'!C:F,2,0),"Sin Contacto"))</f>
        <v>Clemente Ramos</v>
      </c>
      <c r="CZ64" s="14" t="str">
        <f>IF(A64=0,0,IFERROR(VLOOKUP(A64,'[1]Info Donantes'!C:F,3,0),"Sin Correo"))</f>
        <v>logistica@nathanfoods.com</v>
      </c>
      <c r="DA64" s="14">
        <f>IF(A64=0,0,IFERROR(VLOOKUP(A64,'[1]Info Donantes'!C:F,4,0),"Sin Telefono"))</f>
        <v>0</v>
      </c>
      <c r="DB64" s="14" t="str">
        <f>IF(A64=0,0,"Reporte de Trazabiidad"&amp;" - "&amp;'[1]Donor Summary'!$C$2&amp;" - "&amp;A64&amp;"")</f>
        <v>Reporte de Trazabiidad -  - NATHAN FOODS CORPORATION</v>
      </c>
    </row>
    <row r="65" spans="1:106" x14ac:dyDescent="0.55000000000000004">
      <c r="A65" s="31" t="s">
        <v>227</v>
      </c>
      <c r="B65" s="15">
        <f>INT(IFERROR(VLOOKUP(A65,'[1]Donor Summary'!C:F,3,0),0))</f>
        <v>0</v>
      </c>
      <c r="C65" s="15">
        <f>INT(ROUND(IFERROR(VLOOKUP(A65,'[1]Donor Summary'!C:F,4,0),0),1))</f>
        <v>0</v>
      </c>
      <c r="D65" s="16">
        <f t="shared" si="19"/>
        <v>0</v>
      </c>
      <c r="E65" s="17" t="str">
        <f t="shared" si="20"/>
        <v>0.00%</v>
      </c>
      <c r="F65" s="17" t="str">
        <f t="shared" si="21"/>
        <v>0.0%</v>
      </c>
      <c r="G65" s="15">
        <f t="shared" si="25"/>
        <v>0</v>
      </c>
      <c r="H65" s="18"/>
      <c r="I65" s="18">
        <f>IFERROR(VLOOKUP(A65,'[1]Lot All by Part'!T:Y,6,0),0)</f>
        <v>0</v>
      </c>
      <c r="J65" s="18"/>
      <c r="K65" s="19">
        <f>IFERROR(VLOOKUP($A65,'[1]Donor-Served OBs'!A:N,3,0),0)</f>
        <v>0</v>
      </c>
      <c r="L65" s="19">
        <f>ROUNDUP(IF(A65=0,0,IFERROR(VLOOKUP($A65,'[1]Donor''s Assigned Kilos'!A:O,3,0),0)),0)</f>
        <v>0</v>
      </c>
      <c r="M65" s="19">
        <f>IF(A65=0,0,IFERROR(SUMIFS([1]Population!M:M,[1]Population!J:J,'MASTER-2025'!A65),0))</f>
        <v>0</v>
      </c>
      <c r="N65" s="20">
        <f>IFERROR(VLOOKUP($A65,'[1]Donor-Served OBs'!A:N,4,0),0)</f>
        <v>0</v>
      </c>
      <c r="O65" s="20">
        <f>ROUNDUP(IF(A65=0,0,IFERROR(VLOOKUP($A65,'[1]Donor''s Assigned Kilos'!A:O,4,0),0)),0)</f>
        <v>0</v>
      </c>
      <c r="P65" s="20">
        <f>IF(A65=0,0,IFERROR(SUMIFS([1]Population!N:N,[1]Population!J:J,'MASTER-2025'!A65),0))</f>
        <v>0</v>
      </c>
      <c r="Q65" s="18">
        <f>IFERROR(VLOOKUP($A65,'[1]Donor-Served OBs'!A:N,2,0),0)</f>
        <v>0</v>
      </c>
      <c r="R65" s="18">
        <f>ROUNDUP(ROUND(IF(A65=0,0,IFERROR(VLOOKUP($A65,'[1]Donor''s Assigned Kilos'!A:O,9,0),0)),1),0)</f>
        <v>0</v>
      </c>
      <c r="S65" s="18">
        <f>IF(A65=0,0,IFERROR(SUMIFS([1]Population!S:S,[1]Population!J:J,'MASTER-2025'!A65),0))</f>
        <v>0</v>
      </c>
      <c r="T65" s="19">
        <f>IFERROR(VLOOKUP($A65,'[1]Donor-Served OBs'!A:N,12,0),0)</f>
        <v>0</v>
      </c>
      <c r="U65" s="19">
        <f>ROUNDUP(IF(A65=0,0,IF(A65=0,0,IFERROR(VLOOKUP($A65,'[1]Donor''s Assigned Kilos'!A:O,7,0),0))),0)</f>
        <v>0</v>
      </c>
      <c r="V65" s="19">
        <f>IF(A65=0,0,IFERROR(SUMIFS([1]Population!Q:Q,[1]Population!J:J,'MASTER-2025'!A65),0))</f>
        <v>0</v>
      </c>
      <c r="W65" s="20">
        <f>IFERROR(VLOOKUP($A65,'[1]Donor-Served OBs'!A:N,10,0),0)</f>
        <v>0</v>
      </c>
      <c r="X65" s="20">
        <f>ROUNDUP(IF(A65=0,0,IFERROR(VLOOKUP($A65,'[1]Donor''s Assigned Kilos'!A:N,5,0),0)),0)</f>
        <v>0</v>
      </c>
      <c r="Y65" s="20">
        <f>IF(A65=0,0,IFERROR(SUMIFS([1]Population!O:O,[1]Population!J:J,'MASTER-2025'!A65),0))</f>
        <v>0</v>
      </c>
      <c r="Z65" s="18">
        <f>IFERROR(VLOOKUP($A65,'[1]Donor-Served OBs'!A:N,6,0),0)</f>
        <v>0</v>
      </c>
      <c r="AA65" s="18">
        <f>ROUNDUP(IF(A65=0,0,IFERROR(VLOOKUP($A65,'[1]Donor''s Assigned Kilos'!A:N,11,0),0)),0)</f>
        <v>0</v>
      </c>
      <c r="AB65" s="18">
        <f>IF(A65=0,0,IFERROR(SUMIFS([1]Population!U:U,[1]Population!J:J,'MASTER-2025'!A65),0))</f>
        <v>0</v>
      </c>
      <c r="AC65" s="19">
        <f>IFERROR(VLOOKUP($A65,'[1]Donor-Served OBs'!A:N,7,0),0)</f>
        <v>0</v>
      </c>
      <c r="AD65" s="19">
        <f>ROUNDUP(IF(A65=0,0,IFERROR(VLOOKUP($A65,'[1]Donor''s Assigned Kilos'!A:N,8,0),0)),0)</f>
        <v>0</v>
      </c>
      <c r="AE65" s="19">
        <f>IF(A65=0,0,IFERROR(SUMIFS([1]Population!R:R,[1]Population!J:J,'MASTER-2025'!A65),0))</f>
        <v>0</v>
      </c>
      <c r="AF65" s="20">
        <f>IFERROR(VLOOKUP($A65,'[1]Donor-Served OBs'!A:N,8,0),0)</f>
        <v>0</v>
      </c>
      <c r="AG65" s="20">
        <f>ROUNDUP(IF(A65=0,0,IFERROR(VLOOKUP($A65,'[1]Donor''s Assigned Kilos'!A:N,6,0),0)),0)</f>
        <v>0</v>
      </c>
      <c r="AH65" s="20">
        <f>IF(A65=0,0,IFERROR(SUMIFS([1]Population!P:P,[1]Population!J:J,'MASTER-2025'!A65),0))</f>
        <v>0</v>
      </c>
      <c r="AI65" s="18">
        <f>IFERROR(VLOOKUP($A65,'[1]Donor-Served OBs'!A:N,9,0),0)</f>
        <v>0</v>
      </c>
      <c r="AJ65" s="18">
        <f>ROUNDUP(IF(A65=0,0,IFERROR(VLOOKUP($A65,'[1]Donor''s Assigned Kilos'!A:N,12,0),0)),0)</f>
        <v>0</v>
      </c>
      <c r="AK65" s="18">
        <f>IF(A65=0,0,IFERROR(SUMIFS([1]Population!V:V,[1]Population!J:J,'MASTER-2025'!A65),0))</f>
        <v>0</v>
      </c>
      <c r="AL65" s="19">
        <f>IFERROR(VLOOKUP($A65,'[1]Donor-Served OBs'!A:N,16,0),0)</f>
        <v>0</v>
      </c>
      <c r="AM65" s="19">
        <f>ROUNDUP(IF(A65=0,0,IFERROR(VLOOKUP($A65,'[1]Donor''s Assigned Kilos'!A:O,16,0),0)),0)</f>
        <v>0</v>
      </c>
      <c r="AN65" s="19">
        <f>IF(A65=0,0,IFERROR(SUMIFS([1]Population!Z:Z,[1]Population!J:J,'MASTER-2025'!A65),0))</f>
        <v>0</v>
      </c>
      <c r="AO65" s="20">
        <f>IFERROR(VLOOKUP($A65,'[1]Donor-Served OBs'!A:N,11,0),0)</f>
        <v>0</v>
      </c>
      <c r="AP65" s="20">
        <f>ROUNDUP(IF(A65=0,0,IFERROR(VLOOKUP($A65,'[1]Donor''s Assigned Kilos'!A:N,13,0),0)),0)</f>
        <v>0</v>
      </c>
      <c r="AQ65" s="20">
        <f>IF(A65=0,0,IFERROR(SUMIFS([1]Population!W:W,[1]Population!J:J,'MASTER-2025'!A65),0))</f>
        <v>0</v>
      </c>
      <c r="AR65" s="18">
        <f>IFERROR(VLOOKUP($A65,'[1]Donor-Served OBs'!A:N,5,0),0)</f>
        <v>0</v>
      </c>
      <c r="AS65" s="18">
        <f>ROUNDUP(IF(A65=0,0,IFERROR(VLOOKUP($A65,'[1]Donor''s Assigned Kilos'!A:N,10,0),0)),0)</f>
        <v>0</v>
      </c>
      <c r="AT65" s="18">
        <f>IF(A65=0,0,IFERROR(SUMIFS([1]Population!T:T,[1]Population!J:J,'MASTER-2025'!A65),0))</f>
        <v>0</v>
      </c>
      <c r="AU65" s="19">
        <f>IFERROR(VLOOKUP($A65,'[1]Donor-Served OBs'!A:N,13,0),0)</f>
        <v>0</v>
      </c>
      <c r="AV65" s="19">
        <f>ROUNDUP(IF(A65=0,0,IFERROR(VLOOKUP($A65,'[1]Donor''s Assigned Kilos'!A:N,14,0),0)),0)</f>
        <v>0</v>
      </c>
      <c r="AW65" s="19">
        <f>IF(A65=0,0,IFERROR(SUMIFS([1]Population!X:X,[1]Population!J:J,'MASTER-2025'!A65),0))</f>
        <v>0</v>
      </c>
      <c r="AX65" s="20">
        <f>IFERROR(VLOOKUP($A65,'[1]Donor-Served OBs'!A:N,16,0),0)</f>
        <v>0</v>
      </c>
      <c r="AY65" s="20">
        <f>ROUNDUP(IF(A65=0,0,IFERROR(VLOOKUP($A65,'[1]Donor''s Assigned Kilos'!A:O,16,0),0)),0)</f>
        <v>0</v>
      </c>
      <c r="AZ65" s="20">
        <f>IF(A65=0,0,IFERROR(SUMIFS([1]Population!Y:Y,[1]Population!J:J,'MASTER-2025'!A65),0))</f>
        <v>0</v>
      </c>
      <c r="BA65" s="21">
        <f t="shared" si="15"/>
        <v>0</v>
      </c>
      <c r="BB65" s="21">
        <f t="shared" si="29"/>
        <v>0</v>
      </c>
      <c r="BC65" s="21">
        <f t="shared" si="24"/>
        <v>0</v>
      </c>
      <c r="BD65" s="21">
        <f t="shared" si="26"/>
        <v>0</v>
      </c>
      <c r="BE65" s="22" t="e">
        <f>IF(A65=0,0,SUMIFS([1]Population!C:C,[1]Population!A:A,'MASTER-2025'!A65))</f>
        <v>#VALUE!</v>
      </c>
      <c r="BF65" s="22" t="e">
        <f>IF(A65=0,0,SUMIFS([1]Population!D:D,[1]Population!A:A,'MASTER-2025'!A65))</f>
        <v>#VALUE!</v>
      </c>
      <c r="BG65" s="22" t="e">
        <f>IF(A65=0,0,SUMIFS([1]Population!E:E,[1]Population!A:A,'MASTER-2025'!A65))</f>
        <v>#VALUE!</v>
      </c>
      <c r="BH65" s="22" t="e">
        <f>IF(A65=0,0,SUMIFS([1]Population!F:F,[1]Population!A:A,'MASTER-2025'!A65))</f>
        <v>#VALUE!</v>
      </c>
      <c r="BI65" s="22" t="e">
        <f t="shared" si="18"/>
        <v>#VALUE!</v>
      </c>
      <c r="BJ65" s="23" t="e">
        <f t="shared" si="6"/>
        <v>#VALUE!</v>
      </c>
      <c r="BK65" s="22" t="e">
        <f>IF(A65=0,0,SUMIFS([1]Population!G:G,[1]Population!A:A,'MASTER-2025'!A65))</f>
        <v>#VALUE!</v>
      </c>
      <c r="BL65" s="24" cm="1">
        <f t="array" ref="BL65:BW65">IFERROR(VLOOKUP(A65,'[1]Now-OB-kg-POB-25'!A:AQ,{3,4,5,6,7,8,9,10,11,12,13,14},0),0)</f>
        <v>0</v>
      </c>
      <c r="BM65" s="24">
        <v>0</v>
      </c>
      <c r="BN65" s="24">
        <v>0</v>
      </c>
      <c r="BO65" s="24">
        <v>0</v>
      </c>
      <c r="BP65" s="24">
        <v>0</v>
      </c>
      <c r="BQ65" s="24">
        <v>0</v>
      </c>
      <c r="BR65" s="24">
        <v>0</v>
      </c>
      <c r="BS65" s="24">
        <v>0</v>
      </c>
      <c r="BT65" s="24">
        <v>0</v>
      </c>
      <c r="BU65" s="24">
        <v>0</v>
      </c>
      <c r="BV65" s="24">
        <v>0</v>
      </c>
      <c r="BW65" s="24">
        <v>0</v>
      </c>
      <c r="BX65" s="24">
        <f t="shared" si="7"/>
        <v>0</v>
      </c>
      <c r="BY65" s="25" cm="1">
        <f t="array" ref="BY65:CJ65">IFERROR(VLOOKUP(A65,'[1]Now-OB-kg-POB-25'!A:AQ,{17,18,19,20,21,22,23,24,25,26,27,28},0),0)</f>
        <v>0</v>
      </c>
      <c r="BZ65" s="25">
        <v>0</v>
      </c>
      <c r="CA65" s="25">
        <v>0</v>
      </c>
      <c r="CB65" s="25">
        <v>0</v>
      </c>
      <c r="CC65" s="25">
        <v>0</v>
      </c>
      <c r="CD65" s="25">
        <v>0</v>
      </c>
      <c r="CE65" s="25">
        <v>0</v>
      </c>
      <c r="CF65" s="25">
        <v>0</v>
      </c>
      <c r="CG65" s="25">
        <v>0</v>
      </c>
      <c r="CH65" s="25">
        <v>0</v>
      </c>
      <c r="CI65" s="25">
        <v>0</v>
      </c>
      <c r="CJ65" s="25">
        <v>0</v>
      </c>
      <c r="CK65" s="25">
        <f t="shared" si="8"/>
        <v>0</v>
      </c>
      <c r="CL65" s="26" cm="1">
        <f t="array" ref="CL65:CW65">IFERROR(VLOOKUP(A65,'[1]Now-OB-kg-POB-25'!A:AQ,{31,32,33,34,35,36,37,38,39,40,41,42},0),0)</f>
        <v>0</v>
      </c>
      <c r="CM65" s="26">
        <v>0</v>
      </c>
      <c r="CN65" s="26">
        <v>0</v>
      </c>
      <c r="CO65" s="26">
        <v>0</v>
      </c>
      <c r="CP65" s="26">
        <v>0</v>
      </c>
      <c r="CQ65" s="26">
        <v>0</v>
      </c>
      <c r="CR65" s="26">
        <v>0</v>
      </c>
      <c r="CS65" s="26">
        <v>0</v>
      </c>
      <c r="CT65" s="26">
        <v>0</v>
      </c>
      <c r="CU65" s="26">
        <v>0</v>
      </c>
      <c r="CV65" s="26">
        <v>0</v>
      </c>
      <c r="CW65" s="26">
        <v>0</v>
      </c>
      <c r="CX65" s="26">
        <f t="shared" si="9"/>
        <v>0</v>
      </c>
      <c r="CY65" s="14" t="str">
        <f>IF(A65=0,0,IFERROR(VLOOKUP(A65,'[1]Info Donantes'!C:F,2,0),"Sin Contacto"))</f>
        <v>Sin Contacto</v>
      </c>
      <c r="CZ65" s="14" t="str">
        <f>IF(A65=0,0,IFERROR(VLOOKUP(A65,'[1]Info Donantes'!C:F,3,0),"Sin Correo"))</f>
        <v>Sin Correo</v>
      </c>
      <c r="DA65" s="14" t="str">
        <f>IF(A65=0,0,IFERROR(VLOOKUP(A65,'[1]Info Donantes'!C:F,4,0),"Sin Telefono"))</f>
        <v>Sin Telefono</v>
      </c>
      <c r="DB65" s="14" t="str">
        <f>IF(A65=0,0,"Reporte de Trazabiidad"&amp;" - "&amp;'[1]Donor Summary'!$C$2&amp;" - "&amp;A65&amp;"")</f>
        <v>Reporte de Trazabiidad -  - San Gregorio Trading and Transport S.A.</v>
      </c>
    </row>
    <row r="66" spans="1:106" x14ac:dyDescent="0.55000000000000004">
      <c r="A66" s="31" t="s">
        <v>228</v>
      </c>
      <c r="B66" s="15">
        <f>INT(IFERROR(VLOOKUP(A66,'[1]Donor Summary'!C:F,3,0),0))</f>
        <v>0</v>
      </c>
      <c r="C66" s="15">
        <f>INT(ROUND(IFERROR(VLOOKUP(A66,'[1]Donor Summary'!C:F,4,0),0),1))</f>
        <v>0</v>
      </c>
      <c r="D66" s="16">
        <f t="shared" si="19"/>
        <v>0</v>
      </c>
      <c r="E66" s="17" t="str">
        <f t="shared" si="20"/>
        <v>0.00%</v>
      </c>
      <c r="F66" s="17" t="str">
        <f t="shared" si="21"/>
        <v>0.0%</v>
      </c>
      <c r="G66" s="15">
        <f t="shared" si="25"/>
        <v>0</v>
      </c>
      <c r="H66" s="18"/>
      <c r="I66" s="18">
        <f>IFERROR(VLOOKUP(A66,'[1]Lot All by Part'!T:Y,6,0),0)</f>
        <v>0</v>
      </c>
      <c r="J66" s="18"/>
      <c r="K66" s="19">
        <f>IFERROR(VLOOKUP($A66,'[1]Donor-Served OBs'!A:N,3,0),0)</f>
        <v>0</v>
      </c>
      <c r="L66" s="19">
        <f>ROUNDUP(IF(A66=0,0,IFERROR(VLOOKUP($A66,'[1]Donor''s Assigned Kilos'!A:O,3,0),0)),0)</f>
        <v>0</v>
      </c>
      <c r="M66" s="19">
        <f>IF(A66=0,0,IFERROR(SUMIFS([1]Population!M:M,[1]Population!J:J,'MASTER-2025'!A66),0))</f>
        <v>0</v>
      </c>
      <c r="N66" s="20">
        <f>IFERROR(VLOOKUP($A66,'[1]Donor-Served OBs'!A:N,4,0),0)</f>
        <v>0</v>
      </c>
      <c r="O66" s="20">
        <f>ROUNDUP(IF(A66=0,0,IFERROR(VLOOKUP($A66,'[1]Donor''s Assigned Kilos'!A:O,4,0),0)),0)</f>
        <v>0</v>
      </c>
      <c r="P66" s="20">
        <f>IF(A66=0,0,IFERROR(SUMIFS([1]Population!N:N,[1]Population!J:J,'MASTER-2025'!A66),0))</f>
        <v>0</v>
      </c>
      <c r="Q66" s="18">
        <f>IFERROR(VLOOKUP($A66,'[1]Donor-Served OBs'!A:N,2,0),0)</f>
        <v>0</v>
      </c>
      <c r="R66" s="18">
        <f>ROUNDUP(ROUND(IF(A66=0,0,IFERROR(VLOOKUP($A66,'[1]Donor''s Assigned Kilos'!A:O,9,0),0)),1),0)</f>
        <v>0</v>
      </c>
      <c r="S66" s="18">
        <f>IF(A66=0,0,IFERROR(SUMIFS([1]Population!S:S,[1]Population!J:J,'MASTER-2025'!A66),0))</f>
        <v>0</v>
      </c>
      <c r="T66" s="19">
        <f>IFERROR(VLOOKUP($A66,'[1]Donor-Served OBs'!A:N,12,0),0)</f>
        <v>0</v>
      </c>
      <c r="U66" s="19">
        <f>ROUNDUP(IF(A66=0,0,IF(A66=0,0,IFERROR(VLOOKUP($A66,'[1]Donor''s Assigned Kilos'!A:O,7,0),0))),0)</f>
        <v>0</v>
      </c>
      <c r="V66" s="19">
        <f>IF(A66=0,0,IFERROR(SUMIFS([1]Population!Q:Q,[1]Population!J:J,'MASTER-2025'!A66),0))</f>
        <v>0</v>
      </c>
      <c r="W66" s="20">
        <f>IFERROR(VLOOKUP($A66,'[1]Donor-Served OBs'!A:N,10,0),0)</f>
        <v>0</v>
      </c>
      <c r="X66" s="20">
        <f>ROUNDUP(IF(A66=0,0,IFERROR(VLOOKUP($A66,'[1]Donor''s Assigned Kilos'!A:N,5,0),0)),0)</f>
        <v>0</v>
      </c>
      <c r="Y66" s="20">
        <f>IF(A66=0,0,IFERROR(SUMIFS([1]Population!O:O,[1]Population!J:J,'MASTER-2025'!A66),0))</f>
        <v>0</v>
      </c>
      <c r="Z66" s="18">
        <f>IFERROR(VLOOKUP($A66,'[1]Donor-Served OBs'!A:N,6,0),0)</f>
        <v>0</v>
      </c>
      <c r="AA66" s="18">
        <f>ROUNDUP(IF(A66=0,0,IFERROR(VLOOKUP($A66,'[1]Donor''s Assigned Kilos'!A:N,11,0),0)),0)</f>
        <v>0</v>
      </c>
      <c r="AB66" s="18">
        <f>IF(A66=0,0,IFERROR(SUMIFS([1]Population!U:U,[1]Population!J:J,'MASTER-2025'!A66),0))</f>
        <v>0</v>
      </c>
      <c r="AC66" s="19">
        <f>IFERROR(VLOOKUP($A66,'[1]Donor-Served OBs'!A:N,7,0),0)</f>
        <v>0</v>
      </c>
      <c r="AD66" s="19">
        <f>ROUNDUP(IF(A66=0,0,IFERROR(VLOOKUP($A66,'[1]Donor''s Assigned Kilos'!A:N,8,0),0)),0)</f>
        <v>0</v>
      </c>
      <c r="AE66" s="19">
        <f>IF(A66=0,0,IFERROR(SUMIFS([1]Population!R:R,[1]Population!J:J,'MASTER-2025'!A66),0))</f>
        <v>0</v>
      </c>
      <c r="AF66" s="20">
        <f>IFERROR(VLOOKUP($A66,'[1]Donor-Served OBs'!A:N,8,0),0)</f>
        <v>0</v>
      </c>
      <c r="AG66" s="20">
        <f>ROUNDUP(IF(A66=0,0,IFERROR(VLOOKUP($A66,'[1]Donor''s Assigned Kilos'!A:N,6,0),0)),0)</f>
        <v>0</v>
      </c>
      <c r="AH66" s="20">
        <f>IF(A66=0,0,IFERROR(SUMIFS([1]Population!P:P,[1]Population!J:J,'MASTER-2025'!A66),0))</f>
        <v>0</v>
      </c>
      <c r="AI66" s="18">
        <f>IFERROR(VLOOKUP($A66,'[1]Donor-Served OBs'!A:N,9,0),0)</f>
        <v>0</v>
      </c>
      <c r="AJ66" s="18">
        <f>ROUNDUP(IF(A66=0,0,IFERROR(VLOOKUP($A66,'[1]Donor''s Assigned Kilos'!A:N,12,0),0)),0)</f>
        <v>0</v>
      </c>
      <c r="AK66" s="18">
        <f>IF(A66=0,0,IFERROR(SUMIFS([1]Population!V:V,[1]Population!J:J,'MASTER-2025'!A66),0))</f>
        <v>0</v>
      </c>
      <c r="AL66" s="19">
        <f>IFERROR(VLOOKUP($A66,'[1]Donor-Served OBs'!A:N,16,0),0)</f>
        <v>0</v>
      </c>
      <c r="AM66" s="19">
        <f>ROUNDUP(IF(A66=0,0,IFERROR(VLOOKUP($A66,'[1]Donor''s Assigned Kilos'!A:O,16,0),0)),0)</f>
        <v>0</v>
      </c>
      <c r="AN66" s="19">
        <f>IF(A66=0,0,IFERROR(SUMIFS([1]Population!Z:Z,[1]Population!J:J,'MASTER-2025'!A66),0))</f>
        <v>0</v>
      </c>
      <c r="AO66" s="20">
        <f>IFERROR(VLOOKUP($A66,'[1]Donor-Served OBs'!A:N,11,0),0)</f>
        <v>0</v>
      </c>
      <c r="AP66" s="20">
        <f>ROUNDUP(IF(A66=0,0,IFERROR(VLOOKUP($A66,'[1]Donor''s Assigned Kilos'!A:N,13,0),0)),0)</f>
        <v>0</v>
      </c>
      <c r="AQ66" s="20">
        <f>IF(A66=0,0,IFERROR(SUMIFS([1]Population!W:W,[1]Population!J:J,'MASTER-2025'!A66),0))</f>
        <v>0</v>
      </c>
      <c r="AR66" s="18">
        <f>IFERROR(VLOOKUP($A66,'[1]Donor-Served OBs'!A:N,5,0),0)</f>
        <v>0</v>
      </c>
      <c r="AS66" s="18">
        <f>ROUNDUP(IF(A66=0,0,IFERROR(VLOOKUP($A66,'[1]Donor''s Assigned Kilos'!A:N,10,0),0)),0)</f>
        <v>0</v>
      </c>
      <c r="AT66" s="18">
        <f>IF(A66=0,0,IFERROR(SUMIFS([1]Population!T:T,[1]Population!J:J,'MASTER-2025'!A66),0))</f>
        <v>0</v>
      </c>
      <c r="AU66" s="19">
        <f>IFERROR(VLOOKUP($A66,'[1]Donor-Served OBs'!A:N,13,0),0)</f>
        <v>0</v>
      </c>
      <c r="AV66" s="19">
        <f>ROUNDUP(IF(A66=0,0,IFERROR(VLOOKUP($A66,'[1]Donor''s Assigned Kilos'!A:N,14,0),0)),0)</f>
        <v>0</v>
      </c>
      <c r="AW66" s="19">
        <f>IF(A66=0,0,IFERROR(SUMIFS([1]Population!X:X,[1]Population!J:J,'MASTER-2025'!A66),0))</f>
        <v>0</v>
      </c>
      <c r="AX66" s="20">
        <f>IFERROR(VLOOKUP($A66,'[1]Donor-Served OBs'!A:N,16,0),0)</f>
        <v>0</v>
      </c>
      <c r="AY66" s="20">
        <f>ROUNDUP(IF(A66=0,0,IFERROR(VLOOKUP($A66,'[1]Donor''s Assigned Kilos'!A:O,16,0),0)),0)</f>
        <v>0</v>
      </c>
      <c r="AZ66" s="20">
        <f>IF(A66=0,0,IFERROR(SUMIFS([1]Population!Y:Y,[1]Population!J:J,'MASTER-2025'!A66),0))</f>
        <v>0</v>
      </c>
      <c r="BA66" s="21">
        <f t="shared" si="15"/>
        <v>0</v>
      </c>
      <c r="BB66" s="21">
        <f t="shared" si="29"/>
        <v>0</v>
      </c>
      <c r="BC66" s="21">
        <f t="shared" si="24"/>
        <v>0</v>
      </c>
      <c r="BD66" s="21">
        <f t="shared" si="26"/>
        <v>0</v>
      </c>
      <c r="BE66" s="22" t="e">
        <f>IF(A66=0,0,SUMIFS([1]Population!C:C,[1]Population!A:A,'MASTER-2025'!A66))</f>
        <v>#VALUE!</v>
      </c>
      <c r="BF66" s="22" t="e">
        <f>IF(A66=0,0,SUMIFS([1]Population!D:D,[1]Population!A:A,'MASTER-2025'!A66))</f>
        <v>#VALUE!</v>
      </c>
      <c r="BG66" s="22" t="e">
        <f>IF(A66=0,0,SUMIFS([1]Population!E:E,[1]Population!A:A,'MASTER-2025'!A66))</f>
        <v>#VALUE!</v>
      </c>
      <c r="BH66" s="22" t="e">
        <f>IF(A66=0,0,SUMIFS([1]Population!F:F,[1]Population!A:A,'MASTER-2025'!A66))</f>
        <v>#VALUE!</v>
      </c>
      <c r="BI66" s="22" t="e">
        <f t="shared" si="18"/>
        <v>#VALUE!</v>
      </c>
      <c r="BJ66" s="23" t="e">
        <f t="shared" si="6"/>
        <v>#VALUE!</v>
      </c>
      <c r="BK66" s="22" t="e">
        <f>IF(A66=0,0,SUMIFS([1]Population!G:G,[1]Population!A:A,'MASTER-2025'!A66))</f>
        <v>#VALUE!</v>
      </c>
      <c r="BL66" s="24" cm="1">
        <f t="array" ref="BL66:BW66">IFERROR(VLOOKUP(A66,'[1]Now-OB-kg-POB-25'!A:AQ,{3,4,5,6,7,8,9,10,11,12,13,14},0),0)</f>
        <v>0</v>
      </c>
      <c r="BM66" s="24">
        <v>0</v>
      </c>
      <c r="BN66" s="24">
        <v>0</v>
      </c>
      <c r="BO66" s="24">
        <v>0</v>
      </c>
      <c r="BP66" s="24">
        <v>0</v>
      </c>
      <c r="BQ66" s="24">
        <v>0</v>
      </c>
      <c r="BR66" s="24">
        <v>0</v>
      </c>
      <c r="BS66" s="24">
        <v>0</v>
      </c>
      <c r="BT66" s="24">
        <v>0</v>
      </c>
      <c r="BU66" s="24">
        <v>0</v>
      </c>
      <c r="BV66" s="24">
        <v>0</v>
      </c>
      <c r="BW66" s="24">
        <v>0</v>
      </c>
      <c r="BX66" s="24">
        <f t="shared" si="7"/>
        <v>0</v>
      </c>
      <c r="BY66" s="25" cm="1">
        <f t="array" ref="BY66:CJ66">IFERROR(VLOOKUP(A66,'[1]Now-OB-kg-POB-25'!A:AQ,{17,18,19,20,21,22,23,24,25,26,27,28},0),0)</f>
        <v>0</v>
      </c>
      <c r="BZ66" s="25">
        <v>0</v>
      </c>
      <c r="CA66" s="25">
        <v>0</v>
      </c>
      <c r="CB66" s="25">
        <v>0</v>
      </c>
      <c r="CC66" s="25">
        <v>0</v>
      </c>
      <c r="CD66" s="25">
        <v>0</v>
      </c>
      <c r="CE66" s="25">
        <v>0</v>
      </c>
      <c r="CF66" s="25">
        <v>0</v>
      </c>
      <c r="CG66" s="25">
        <v>0</v>
      </c>
      <c r="CH66" s="25">
        <v>0</v>
      </c>
      <c r="CI66" s="25">
        <v>0</v>
      </c>
      <c r="CJ66" s="25">
        <v>0</v>
      </c>
      <c r="CK66" s="25">
        <f t="shared" si="8"/>
        <v>0</v>
      </c>
      <c r="CL66" s="26" cm="1">
        <f t="array" ref="CL66:CW66">IFERROR(VLOOKUP(A66,'[1]Now-OB-kg-POB-25'!A:AQ,{31,32,33,34,35,36,37,38,39,40,41,42},0),0)</f>
        <v>0</v>
      </c>
      <c r="CM66" s="26">
        <v>0</v>
      </c>
      <c r="CN66" s="26">
        <v>0</v>
      </c>
      <c r="CO66" s="26">
        <v>0</v>
      </c>
      <c r="CP66" s="26">
        <v>0</v>
      </c>
      <c r="CQ66" s="26">
        <v>0</v>
      </c>
      <c r="CR66" s="26">
        <v>0</v>
      </c>
      <c r="CS66" s="26">
        <v>0</v>
      </c>
      <c r="CT66" s="26">
        <v>0</v>
      </c>
      <c r="CU66" s="26">
        <v>0</v>
      </c>
      <c r="CV66" s="26">
        <v>0</v>
      </c>
      <c r="CW66" s="26">
        <v>0</v>
      </c>
      <c r="CX66" s="26">
        <f t="shared" si="9"/>
        <v>0</v>
      </c>
      <c r="CY66" s="14" t="str">
        <f>IF(A66=0,0,IFERROR(VLOOKUP(A66,'[1]Info Donantes'!C:F,2,0),"Sin Contacto"))</f>
        <v>Denisse Castillo</v>
      </c>
      <c r="CZ66" s="14" t="str">
        <f>IF(A66=0,0,IFERROR(VLOOKUP(A66,'[1]Info Donantes'!C:F,3,0),"Sin Correo"))</f>
        <v>denisse.castillo@unilever.com</v>
      </c>
      <c r="DA66" s="14" t="str">
        <f>IF(A66=0,0,IFERROR(VLOOKUP(A66,'[1]Info Donantes'!C:F,4,0),"Sin Telefono"))</f>
        <v>220-1006</v>
      </c>
      <c r="DB66" s="14" t="str">
        <f>IF(A66=0,0,"Reporte de Trazabiidad"&amp;" - "&amp;'[1]Donor Summary'!$C$2&amp;" - "&amp;A66&amp;"")</f>
        <v>Reporte de Trazabiidad -  - UNILEVER DE CENTROAMERICA S.A.</v>
      </c>
    </row>
    <row r="67" spans="1:106" x14ac:dyDescent="0.55000000000000004">
      <c r="A67" s="31" t="s">
        <v>229</v>
      </c>
      <c r="B67" s="15">
        <f>INT(IFERROR(VLOOKUP(A67,'[1]Donor Summary'!C:F,3,0),0))</f>
        <v>0</v>
      </c>
      <c r="C67" s="15">
        <f>INT(ROUND(IFERROR(VLOOKUP(A67,'[1]Donor Summary'!C:F,4,0),0),1))</f>
        <v>0</v>
      </c>
      <c r="D67" s="16">
        <f t="shared" si="19"/>
        <v>0</v>
      </c>
      <c r="E67" s="17" t="str">
        <f t="shared" si="20"/>
        <v>0.00%</v>
      </c>
      <c r="F67" s="17" t="str">
        <f t="shared" si="21"/>
        <v>0.0%</v>
      </c>
      <c r="G67" s="15">
        <f t="shared" si="25"/>
        <v>0</v>
      </c>
      <c r="H67" s="18"/>
      <c r="I67" s="18">
        <f>IFERROR(VLOOKUP(A67,'[1]Lot All by Part'!T:Y,6,0),0)</f>
        <v>0</v>
      </c>
      <c r="J67" s="18"/>
      <c r="K67" s="19">
        <f>IFERROR(VLOOKUP($A67,'[1]Donor-Served OBs'!A:N,3,0),0)</f>
        <v>0</v>
      </c>
      <c r="L67" s="19">
        <f>ROUNDUP(IF(A67=0,0,IFERROR(VLOOKUP($A67,'[1]Donor''s Assigned Kilos'!A:O,3,0),0)),0)</f>
        <v>0</v>
      </c>
      <c r="M67" s="19">
        <f>IF(A67=0,0,IFERROR(SUMIFS([1]Population!M:M,[1]Population!J:J,'MASTER-2025'!A67),0))</f>
        <v>0</v>
      </c>
      <c r="N67" s="20">
        <f>IFERROR(VLOOKUP($A67,'[1]Donor-Served OBs'!A:N,4,0),0)</f>
        <v>0</v>
      </c>
      <c r="O67" s="20">
        <f>ROUNDUP(IF(A67=0,0,IFERROR(VLOOKUP($A67,'[1]Donor''s Assigned Kilos'!A:O,4,0),0)),0)</f>
        <v>0</v>
      </c>
      <c r="P67" s="20">
        <f>IF(A67=0,0,IFERROR(SUMIFS([1]Population!N:N,[1]Population!J:J,'MASTER-2025'!A67),0))</f>
        <v>0</v>
      </c>
      <c r="Q67" s="18">
        <f>IFERROR(VLOOKUP($A67,'[1]Donor-Served OBs'!A:N,2,0),0)</f>
        <v>0</v>
      </c>
      <c r="R67" s="18">
        <f>ROUNDUP(ROUND(IF(A67=0,0,IFERROR(VLOOKUP($A67,'[1]Donor''s Assigned Kilos'!A:O,9,0),0)),1),0)</f>
        <v>0</v>
      </c>
      <c r="S67" s="18">
        <f>IF(A67=0,0,IFERROR(SUMIFS([1]Population!S:S,[1]Population!J:J,'MASTER-2025'!A67),0))</f>
        <v>0</v>
      </c>
      <c r="T67" s="19">
        <f>IFERROR(VLOOKUP($A67,'[1]Donor-Served OBs'!A:N,12,0),0)</f>
        <v>0</v>
      </c>
      <c r="U67" s="19">
        <f>ROUNDUP(IF(A67=0,0,IF(A67=0,0,IFERROR(VLOOKUP($A67,'[1]Donor''s Assigned Kilos'!A:O,7,0),0))),0)</f>
        <v>0</v>
      </c>
      <c r="V67" s="19">
        <f>IF(A67=0,0,IFERROR(SUMIFS([1]Population!Q:Q,[1]Population!J:J,'MASTER-2025'!A67),0))</f>
        <v>0</v>
      </c>
      <c r="W67" s="20">
        <f>IFERROR(VLOOKUP($A67,'[1]Donor-Served OBs'!A:N,10,0),0)</f>
        <v>0</v>
      </c>
      <c r="X67" s="20">
        <f>ROUNDUP(IF(A67=0,0,IFERROR(VLOOKUP($A67,'[1]Donor''s Assigned Kilos'!A:N,5,0),0)),0)</f>
        <v>0</v>
      </c>
      <c r="Y67" s="20">
        <f>IF(A67=0,0,IFERROR(SUMIFS([1]Population!O:O,[1]Population!J:J,'MASTER-2025'!A67),0))</f>
        <v>0</v>
      </c>
      <c r="Z67" s="18">
        <f>IFERROR(VLOOKUP($A67,'[1]Donor-Served OBs'!A:N,6,0),0)</f>
        <v>0</v>
      </c>
      <c r="AA67" s="18">
        <f>ROUNDUP(IF(A67=0,0,IFERROR(VLOOKUP($A67,'[1]Donor''s Assigned Kilos'!A:N,11,0),0)),0)</f>
        <v>0</v>
      </c>
      <c r="AB67" s="18">
        <f>IF(A67=0,0,IFERROR(SUMIFS([1]Population!U:U,[1]Population!J:J,'MASTER-2025'!A67),0))</f>
        <v>0</v>
      </c>
      <c r="AC67" s="19">
        <f>IFERROR(VLOOKUP($A67,'[1]Donor-Served OBs'!A:N,7,0),0)</f>
        <v>0</v>
      </c>
      <c r="AD67" s="19">
        <f>ROUNDUP(IF(A67=0,0,IFERROR(VLOOKUP($A67,'[1]Donor''s Assigned Kilos'!A:N,8,0),0)),0)</f>
        <v>0</v>
      </c>
      <c r="AE67" s="19">
        <f>IF(A67=0,0,IFERROR(SUMIFS([1]Population!R:R,[1]Population!J:J,'MASTER-2025'!A67),0))</f>
        <v>0</v>
      </c>
      <c r="AF67" s="20">
        <f>IFERROR(VLOOKUP($A67,'[1]Donor-Served OBs'!A:N,8,0),0)</f>
        <v>0</v>
      </c>
      <c r="AG67" s="20">
        <f>ROUNDUP(IF(A67=0,0,IFERROR(VLOOKUP($A67,'[1]Donor''s Assigned Kilos'!A:N,6,0),0)),0)</f>
        <v>0</v>
      </c>
      <c r="AH67" s="20">
        <f>IF(A67=0,0,IFERROR(SUMIFS([1]Population!P:P,[1]Population!J:J,'MASTER-2025'!A67),0))</f>
        <v>0</v>
      </c>
      <c r="AI67" s="18">
        <f>IFERROR(VLOOKUP($A67,'[1]Donor-Served OBs'!A:N,9,0),0)</f>
        <v>0</v>
      </c>
      <c r="AJ67" s="18">
        <f>ROUNDUP(IF(A67=0,0,IFERROR(VLOOKUP($A67,'[1]Donor''s Assigned Kilos'!A:N,12,0),0)),0)</f>
        <v>0</v>
      </c>
      <c r="AK67" s="18">
        <f>IF(A67=0,0,IFERROR(SUMIFS([1]Population!V:V,[1]Population!J:J,'MASTER-2025'!A67),0))</f>
        <v>0</v>
      </c>
      <c r="AL67" s="19">
        <f>IFERROR(VLOOKUP($A67,'[1]Donor-Served OBs'!A:N,16,0),0)</f>
        <v>0</v>
      </c>
      <c r="AM67" s="19">
        <f>ROUNDUP(IF(A67=0,0,IFERROR(VLOOKUP($A67,'[1]Donor''s Assigned Kilos'!A:O,16,0),0)),0)</f>
        <v>0</v>
      </c>
      <c r="AN67" s="19">
        <f>IF(A67=0,0,IFERROR(SUMIFS([1]Population!Z:Z,[1]Population!J:J,'MASTER-2025'!A67),0))</f>
        <v>0</v>
      </c>
      <c r="AO67" s="20">
        <f>IFERROR(VLOOKUP($A67,'[1]Donor-Served OBs'!A:N,11,0),0)</f>
        <v>0</v>
      </c>
      <c r="AP67" s="20">
        <f>ROUNDUP(IF(A67=0,0,IFERROR(VLOOKUP($A67,'[1]Donor''s Assigned Kilos'!A:N,13,0),0)),0)</f>
        <v>0</v>
      </c>
      <c r="AQ67" s="20">
        <f>IF(A67=0,0,IFERROR(SUMIFS([1]Population!W:W,[1]Population!J:J,'MASTER-2025'!A67),0))</f>
        <v>0</v>
      </c>
      <c r="AR67" s="18">
        <f>IFERROR(VLOOKUP($A67,'[1]Donor-Served OBs'!A:N,5,0),0)</f>
        <v>0</v>
      </c>
      <c r="AS67" s="18">
        <f>ROUNDUP(IF(A67=0,0,IFERROR(VLOOKUP($A67,'[1]Donor''s Assigned Kilos'!A:N,10,0),0)),0)</f>
        <v>0</v>
      </c>
      <c r="AT67" s="18">
        <f>IF(A67=0,0,IFERROR(SUMIFS([1]Population!T:T,[1]Population!J:J,'MASTER-2025'!A67),0))</f>
        <v>0</v>
      </c>
      <c r="AU67" s="19">
        <f>IFERROR(VLOOKUP($A67,'[1]Donor-Served OBs'!A:N,13,0),0)</f>
        <v>0</v>
      </c>
      <c r="AV67" s="19">
        <f>ROUNDUP(IF(A67=0,0,IFERROR(VLOOKUP($A67,'[1]Donor''s Assigned Kilos'!A:N,14,0),0)),0)</f>
        <v>0</v>
      </c>
      <c r="AW67" s="19">
        <f>IF(A67=0,0,IFERROR(SUMIFS([1]Population!X:X,[1]Population!J:J,'MASTER-2025'!A67),0))</f>
        <v>0</v>
      </c>
      <c r="AX67" s="20">
        <f>IFERROR(VLOOKUP($A67,'[1]Donor-Served OBs'!A:N,16,0),0)</f>
        <v>0</v>
      </c>
      <c r="AY67" s="20">
        <f>ROUNDUP(IF(A67=0,0,IFERROR(VLOOKUP($A67,'[1]Donor''s Assigned Kilos'!A:O,16,0),0)),0)</f>
        <v>0</v>
      </c>
      <c r="AZ67" s="20">
        <f>IF(A67=0,0,IFERROR(SUMIFS([1]Population!Y:Y,[1]Population!J:J,'MASTER-2025'!A67),0))</f>
        <v>0</v>
      </c>
      <c r="BA67" s="21">
        <f t="shared" si="15"/>
        <v>0</v>
      </c>
      <c r="BB67" s="21">
        <f t="shared" si="29"/>
        <v>0</v>
      </c>
      <c r="BC67" s="21">
        <f t="shared" si="24"/>
        <v>0</v>
      </c>
      <c r="BD67" s="21">
        <f t="shared" si="26"/>
        <v>0</v>
      </c>
      <c r="BE67" s="22" t="e">
        <f>IF(A67=0,0,SUMIFS([1]Population!C:C,[1]Population!A:A,'MASTER-2025'!A67))</f>
        <v>#VALUE!</v>
      </c>
      <c r="BF67" s="22" t="e">
        <f>IF(A67=0,0,SUMIFS([1]Population!D:D,[1]Population!A:A,'MASTER-2025'!A67))</f>
        <v>#VALUE!</v>
      </c>
      <c r="BG67" s="22" t="e">
        <f>IF(A67=0,0,SUMIFS([1]Population!E:E,[1]Population!A:A,'MASTER-2025'!A67))</f>
        <v>#VALUE!</v>
      </c>
      <c r="BH67" s="22" t="e">
        <f>IF(A67=0,0,SUMIFS([1]Population!F:F,[1]Population!A:A,'MASTER-2025'!A67))</f>
        <v>#VALUE!</v>
      </c>
      <c r="BI67" s="22" t="e">
        <f t="shared" si="18"/>
        <v>#VALUE!</v>
      </c>
      <c r="BJ67" s="23" t="e">
        <f t="shared" ref="BJ67:BJ130" si="30">+BK67-BI67-BH67-BG67-BF67-BE67</f>
        <v>#VALUE!</v>
      </c>
      <c r="BK67" s="22" t="e">
        <f>IF(A67=0,0,SUMIFS([1]Population!G:G,[1]Population!A:A,'MASTER-2025'!A67))</f>
        <v>#VALUE!</v>
      </c>
      <c r="BL67" s="24" cm="1">
        <f t="array" ref="BL67:BW67">IFERROR(VLOOKUP(A67,'[1]Now-OB-kg-POB-25'!A:AQ,{3,4,5,6,7,8,9,10,11,12,13,14},0),0)</f>
        <v>0</v>
      </c>
      <c r="BM67" s="24">
        <v>0</v>
      </c>
      <c r="BN67" s="24">
        <v>0</v>
      </c>
      <c r="BO67" s="24">
        <v>0</v>
      </c>
      <c r="BP67" s="24">
        <v>0</v>
      </c>
      <c r="BQ67" s="24">
        <v>0</v>
      </c>
      <c r="BR67" s="24">
        <v>0</v>
      </c>
      <c r="BS67" s="24">
        <v>0</v>
      </c>
      <c r="BT67" s="24">
        <v>0</v>
      </c>
      <c r="BU67" s="24">
        <v>0</v>
      </c>
      <c r="BV67" s="24">
        <v>0</v>
      </c>
      <c r="BW67" s="24">
        <v>0</v>
      </c>
      <c r="BX67" s="24">
        <f t="shared" ref="BX67:BX130" si="31">SUM(BL67:BW67)</f>
        <v>0</v>
      </c>
      <c r="BY67" s="25" cm="1">
        <f t="array" ref="BY67:CJ67">IFERROR(VLOOKUP(A67,'[1]Now-OB-kg-POB-25'!A:AQ,{17,18,19,20,21,22,23,24,25,26,27,28},0),0)</f>
        <v>0</v>
      </c>
      <c r="BZ67" s="25">
        <v>0</v>
      </c>
      <c r="CA67" s="25">
        <v>0</v>
      </c>
      <c r="CB67" s="25">
        <v>0</v>
      </c>
      <c r="CC67" s="25">
        <v>0</v>
      </c>
      <c r="CD67" s="25">
        <v>0</v>
      </c>
      <c r="CE67" s="25">
        <v>0</v>
      </c>
      <c r="CF67" s="25">
        <v>0</v>
      </c>
      <c r="CG67" s="25">
        <v>0</v>
      </c>
      <c r="CH67" s="25">
        <v>0</v>
      </c>
      <c r="CI67" s="25">
        <v>0</v>
      </c>
      <c r="CJ67" s="25">
        <v>0</v>
      </c>
      <c r="CK67" s="25">
        <f t="shared" ref="CK67:CK130" si="32">SUM(BY67:CJ67)</f>
        <v>0</v>
      </c>
      <c r="CL67" s="26" cm="1">
        <f t="array" ref="CL67:CW67">IFERROR(VLOOKUP(A67,'[1]Now-OB-kg-POB-25'!A:AQ,{31,32,33,34,35,36,37,38,39,40,41,42},0),0)</f>
        <v>0</v>
      </c>
      <c r="CM67" s="26">
        <v>0</v>
      </c>
      <c r="CN67" s="26">
        <v>0</v>
      </c>
      <c r="CO67" s="26">
        <v>0</v>
      </c>
      <c r="CP67" s="26">
        <v>0</v>
      </c>
      <c r="CQ67" s="26">
        <v>0</v>
      </c>
      <c r="CR67" s="26">
        <v>0</v>
      </c>
      <c r="CS67" s="26">
        <v>0</v>
      </c>
      <c r="CT67" s="26">
        <v>0</v>
      </c>
      <c r="CU67" s="26">
        <v>0</v>
      </c>
      <c r="CV67" s="26">
        <v>0</v>
      </c>
      <c r="CW67" s="26">
        <v>0</v>
      </c>
      <c r="CX67" s="26">
        <f t="shared" ref="CX67:CX130" si="33">SUM(CL67:CW67)</f>
        <v>0</v>
      </c>
      <c r="CY67" s="14" t="str">
        <f>IF(A67=0,0,IFERROR(VLOOKUP(A67,'[1]Info Donantes'!C:F,2,0),"Sin Contacto"))</f>
        <v>Sin Contacto</v>
      </c>
      <c r="CZ67" s="14" t="str">
        <f>IF(A67=0,0,IFERROR(VLOOKUP(A67,'[1]Info Donantes'!C:F,3,0),"Sin Correo"))</f>
        <v>Sin Correo</v>
      </c>
      <c r="DA67" s="14" t="str">
        <f>IF(A67=0,0,IFERROR(VLOOKUP(A67,'[1]Info Donantes'!C:F,4,0),"Sin Telefono"))</f>
        <v>Sin Telefono</v>
      </c>
      <c r="DB67" s="14" t="str">
        <f>IF(A67=0,0,"Reporte de Trazabiidad"&amp;" - "&amp;'[1]Donor Summary'!$C$2&amp;" - "&amp;A67&amp;"")</f>
        <v>Reporte de Trazabiidad -  - VARELA BROTHERS</v>
      </c>
    </row>
    <row r="68" spans="1:106" x14ac:dyDescent="0.55000000000000004">
      <c r="A68" s="31" t="s">
        <v>230</v>
      </c>
      <c r="B68" s="15">
        <f>INT(IFERROR(VLOOKUP(A68,'[1]Donor Summary'!C:F,3,0),0))</f>
        <v>0</v>
      </c>
      <c r="C68" s="15">
        <f>INT(ROUND(IFERROR(VLOOKUP(A68,'[1]Donor Summary'!C:F,4,0),0),1))</f>
        <v>458</v>
      </c>
      <c r="D68" s="16">
        <f t="shared" si="19"/>
        <v>458</v>
      </c>
      <c r="E68" s="17" t="str">
        <f t="shared" si="20"/>
        <v>100.00%</v>
      </c>
      <c r="F68" s="17" t="str">
        <f t="shared" si="21"/>
        <v>0.0%</v>
      </c>
      <c r="G68" s="15">
        <f t="shared" si="25"/>
        <v>1374</v>
      </c>
      <c r="H68" s="18"/>
      <c r="I68" s="18">
        <f>IFERROR(VLOOKUP(A68,'[1]Lot All by Part'!T:Y,6,0),0)</f>
        <v>0</v>
      </c>
      <c r="J68" s="18"/>
      <c r="K68" s="19">
        <f>IFERROR(VLOOKUP($A68,'[1]Donor-Served OBs'!A:N,3,0),0)</f>
        <v>7</v>
      </c>
      <c r="L68" s="19">
        <f>ROUNDUP(IF(A68=0,0,IFERROR(VLOOKUP($A68,'[1]Donor''s Assigned Kilos'!A:O,3,0),0)),0)</f>
        <v>70</v>
      </c>
      <c r="M68" s="19">
        <f>IF(A68=0,0,IFERROR(SUMIFS([1]Population!M:M,[1]Population!J:J,'MASTER-2025'!A68),0))</f>
        <v>0</v>
      </c>
      <c r="N68" s="20">
        <f>IFERROR(VLOOKUP($A68,'[1]Donor-Served OBs'!A:N,4,0),0)</f>
        <v>13</v>
      </c>
      <c r="O68" s="20">
        <f>ROUNDUP(IF(A68=0,0,IFERROR(VLOOKUP($A68,'[1]Donor''s Assigned Kilos'!A:O,4,0),0)),0)</f>
        <v>202</v>
      </c>
      <c r="P68" s="20">
        <f>IF(A68=0,0,IFERROR(SUMIFS([1]Population!N:N,[1]Population!J:J,'MASTER-2025'!A68),0))</f>
        <v>0</v>
      </c>
      <c r="Q68" s="18">
        <f>IFERROR(VLOOKUP($A68,'[1]Donor-Served OBs'!A:N,2,0),0)</f>
        <v>1</v>
      </c>
      <c r="R68" s="18">
        <f>ROUNDUP(ROUND(IF(A68=0,0,IFERROR(VLOOKUP($A68,'[1]Donor''s Assigned Kilos'!A:O,9,0),0)),1),0)</f>
        <v>6</v>
      </c>
      <c r="S68" s="18">
        <f>IF(A68=0,0,IFERROR(SUMIFS([1]Population!S:S,[1]Population!J:J,'MASTER-2025'!A68),0))</f>
        <v>0</v>
      </c>
      <c r="T68" s="19">
        <f>IFERROR(VLOOKUP($A68,'[1]Donor-Served OBs'!A:N,12,0),0)</f>
        <v>2</v>
      </c>
      <c r="U68" s="19">
        <f>ROUNDUP(IF(A68=0,0,IF(A68=0,0,IFERROR(VLOOKUP($A68,'[1]Donor''s Assigned Kilos'!A:O,7,0),0))),0)</f>
        <v>22</v>
      </c>
      <c r="V68" s="19">
        <f>IF(A68=0,0,IFERROR(SUMIFS([1]Population!Q:Q,[1]Population!J:J,'MASTER-2025'!A68),0))</f>
        <v>0</v>
      </c>
      <c r="W68" s="20">
        <f>IFERROR(VLOOKUP($A68,'[1]Donor-Served OBs'!A:N,10,0),0)</f>
        <v>4</v>
      </c>
      <c r="X68" s="20">
        <f>ROUNDUP(IF(A68=0,0,IFERROR(VLOOKUP($A68,'[1]Donor''s Assigned Kilos'!A:N,5,0),0)),0)</f>
        <v>52</v>
      </c>
      <c r="Y68" s="20">
        <f>IF(A68=0,0,IFERROR(SUMIFS([1]Population!O:O,[1]Population!J:J,'MASTER-2025'!A68),0))</f>
        <v>0</v>
      </c>
      <c r="Z68" s="18">
        <f>IFERROR(VLOOKUP($A68,'[1]Donor-Served OBs'!A:N,6,0),0)</f>
        <v>0</v>
      </c>
      <c r="AA68" s="18">
        <f>ROUNDUP(IF(A68=0,0,IFERROR(VLOOKUP($A68,'[1]Donor''s Assigned Kilos'!A:N,11,0),0)),0)</f>
        <v>0</v>
      </c>
      <c r="AB68" s="18">
        <f>IF(A68=0,0,IFERROR(SUMIFS([1]Population!U:U,[1]Population!J:J,'MASTER-2025'!A68),0))</f>
        <v>0</v>
      </c>
      <c r="AC68" s="19">
        <f>IFERROR(VLOOKUP($A68,'[1]Donor-Served OBs'!A:N,7,0),0)</f>
        <v>2</v>
      </c>
      <c r="AD68" s="19">
        <f>ROUNDUP(IF(A68=0,0,IFERROR(VLOOKUP($A68,'[1]Donor''s Assigned Kilos'!A:N,8,0),0)),0)</f>
        <v>106</v>
      </c>
      <c r="AE68" s="19">
        <f>IF(A68=0,0,IFERROR(SUMIFS([1]Population!R:R,[1]Population!J:J,'MASTER-2025'!A68),0))</f>
        <v>0</v>
      </c>
      <c r="AF68" s="20">
        <f>IFERROR(VLOOKUP($A68,'[1]Donor-Served OBs'!A:N,8,0),0)</f>
        <v>0</v>
      </c>
      <c r="AG68" s="20">
        <f>ROUNDUP(IF(A68=0,0,IFERROR(VLOOKUP($A68,'[1]Donor''s Assigned Kilos'!A:N,6,0),0)),0)</f>
        <v>0</v>
      </c>
      <c r="AH68" s="20">
        <f>IF(A68=0,0,IFERROR(SUMIFS([1]Population!P:P,[1]Population!J:J,'MASTER-2025'!A68),0))</f>
        <v>0</v>
      </c>
      <c r="AI68" s="18">
        <f>IFERROR(VLOOKUP($A68,'[1]Donor-Served OBs'!A:N,9,0),0)</f>
        <v>0</v>
      </c>
      <c r="AJ68" s="18">
        <f>ROUNDUP(IF(A68=0,0,IFERROR(VLOOKUP($A68,'[1]Donor''s Assigned Kilos'!A:N,12,0),0)),0)</f>
        <v>0</v>
      </c>
      <c r="AK68" s="18">
        <f>IF(A68=0,0,IFERROR(SUMIFS([1]Population!V:V,[1]Population!J:J,'MASTER-2025'!A68),0))</f>
        <v>0</v>
      </c>
      <c r="AL68" s="19">
        <f>IFERROR(VLOOKUP($A68,'[1]Donor-Served OBs'!A:N,16,0),0)</f>
        <v>0</v>
      </c>
      <c r="AM68" s="19">
        <f>ROUNDUP(IF(A68=0,0,IFERROR(VLOOKUP($A68,'[1]Donor''s Assigned Kilos'!A:O,16,0),0)),0)</f>
        <v>0</v>
      </c>
      <c r="AN68" s="19">
        <f>IF(A68=0,0,IFERROR(SUMIFS([1]Population!Z:Z,[1]Population!J:J,'MASTER-2025'!A68),0))</f>
        <v>0</v>
      </c>
      <c r="AO68" s="20">
        <f>IFERROR(VLOOKUP($A68,'[1]Donor-Served OBs'!A:N,11,0),0)</f>
        <v>0</v>
      </c>
      <c r="AP68" s="20">
        <f>ROUNDUP(IF(A68=0,0,IFERROR(VLOOKUP($A68,'[1]Donor''s Assigned Kilos'!A:N,13,0),0)),0)</f>
        <v>0</v>
      </c>
      <c r="AQ68" s="20">
        <f>IF(A68=0,0,IFERROR(SUMIFS([1]Population!W:W,[1]Population!J:J,'MASTER-2025'!A68),0))</f>
        <v>0</v>
      </c>
      <c r="AR68" s="18">
        <f>IFERROR(VLOOKUP($A68,'[1]Donor-Served OBs'!A:N,5,0),0)</f>
        <v>0</v>
      </c>
      <c r="AS68" s="18">
        <f>ROUNDUP(IF(A68=0,0,IFERROR(VLOOKUP($A68,'[1]Donor''s Assigned Kilos'!A:N,10,0),0)),0)</f>
        <v>0</v>
      </c>
      <c r="AT68" s="18">
        <f>IF(A68=0,0,IFERROR(SUMIFS([1]Population!T:T,[1]Population!J:J,'MASTER-2025'!A68),0))</f>
        <v>0</v>
      </c>
      <c r="AU68" s="19">
        <f>IFERROR(VLOOKUP($A68,'[1]Donor-Served OBs'!A:N,13,0),0)</f>
        <v>0</v>
      </c>
      <c r="AV68" s="19">
        <f>ROUNDUP(IF(A68=0,0,IFERROR(VLOOKUP($A68,'[1]Donor''s Assigned Kilos'!A:N,14,0),0)),0)</f>
        <v>0</v>
      </c>
      <c r="AW68" s="19">
        <f>IF(A68=0,0,IFERROR(SUMIFS([1]Population!X:X,[1]Population!J:J,'MASTER-2025'!A68),0))</f>
        <v>0</v>
      </c>
      <c r="AX68" s="20">
        <f>IFERROR(VLOOKUP($A68,'[1]Donor-Served OBs'!A:N,16,0),0)</f>
        <v>0</v>
      </c>
      <c r="AY68" s="20">
        <f>ROUNDUP(IF(A68=0,0,IFERROR(VLOOKUP($A68,'[1]Donor''s Assigned Kilos'!A:O,16,0),0)),0)</f>
        <v>0</v>
      </c>
      <c r="AZ68" s="20">
        <f>IF(A68=0,0,IFERROR(SUMIFS([1]Population!Y:Y,[1]Population!J:J,'MASTER-2025'!A68),0))</f>
        <v>0</v>
      </c>
      <c r="BA68" s="21">
        <f t="shared" si="15"/>
        <v>29</v>
      </c>
      <c r="BB68" s="21">
        <f t="shared" si="29"/>
        <v>458</v>
      </c>
      <c r="BC68" s="21">
        <f t="shared" si="24"/>
        <v>300</v>
      </c>
      <c r="BD68" s="21">
        <f t="shared" si="26"/>
        <v>0</v>
      </c>
      <c r="BE68" s="22" t="e">
        <f>IF(A68=0,0,SUMIFS([1]Population!C:C,[1]Population!A:A,'MASTER-2025'!A68))</f>
        <v>#VALUE!</v>
      </c>
      <c r="BF68" s="22" t="e">
        <f>IF(A68=0,0,SUMIFS([1]Population!D:D,[1]Population!A:A,'MASTER-2025'!A68))</f>
        <v>#VALUE!</v>
      </c>
      <c r="BG68" s="22" t="e">
        <f>IF(A68=0,0,SUMIFS([1]Population!E:E,[1]Population!A:A,'MASTER-2025'!A68))</f>
        <v>#VALUE!</v>
      </c>
      <c r="BH68" s="22" t="e">
        <f>IF(A68=0,0,SUMIFS([1]Population!F:F,[1]Population!A:A,'MASTER-2025'!A68))</f>
        <v>#VALUE!</v>
      </c>
      <c r="BI68" s="22" t="e">
        <f t="shared" si="18"/>
        <v>#VALUE!</v>
      </c>
      <c r="BJ68" s="23" t="e">
        <f t="shared" si="30"/>
        <v>#VALUE!</v>
      </c>
      <c r="BK68" s="22" t="e">
        <f>IF(A68=0,0,SUMIFS([1]Population!G:G,[1]Population!A:A,'MASTER-2025'!A68))</f>
        <v>#VALUE!</v>
      </c>
      <c r="BL68" s="24" cm="1">
        <f t="array" ref="BL68:BW68">IFERROR(VLOOKUP(A68,'[1]Now-OB-kg-POB-25'!A:AQ,{3,4,5,6,7,8,9,10,11,12,13,14},0),0)</f>
        <v>0</v>
      </c>
      <c r="BM68" s="24">
        <v>44</v>
      </c>
      <c r="BN68" s="24">
        <v>29</v>
      </c>
      <c r="BO68" s="24">
        <v>0</v>
      </c>
      <c r="BP68" s="24">
        <v>0</v>
      </c>
      <c r="BQ68" s="24">
        <v>0</v>
      </c>
      <c r="BR68" s="24">
        <v>0</v>
      </c>
      <c r="BS68" s="24">
        <v>0</v>
      </c>
      <c r="BT68" s="24">
        <v>0</v>
      </c>
      <c r="BU68" s="24">
        <v>0</v>
      </c>
      <c r="BV68" s="24">
        <v>0</v>
      </c>
      <c r="BW68" s="24">
        <v>0</v>
      </c>
      <c r="BX68" s="24">
        <f t="shared" si="31"/>
        <v>73</v>
      </c>
      <c r="BY68" s="25" cm="1">
        <f t="array" ref="BY68:CJ68">IFERROR(VLOOKUP(A68,'[1]Now-OB-kg-POB-25'!A:AQ,{17,18,19,20,21,22,23,24,25,26,27,28},0),0)</f>
        <v>0</v>
      </c>
      <c r="BZ68" s="25">
        <v>432</v>
      </c>
      <c r="CA68" s="25">
        <v>458</v>
      </c>
      <c r="CB68" s="25">
        <v>0</v>
      </c>
      <c r="CC68" s="25">
        <v>0</v>
      </c>
      <c r="CD68" s="25">
        <v>0</v>
      </c>
      <c r="CE68" s="25">
        <v>0</v>
      </c>
      <c r="CF68" s="25">
        <v>0</v>
      </c>
      <c r="CG68" s="25">
        <v>0</v>
      </c>
      <c r="CH68" s="25">
        <v>0</v>
      </c>
      <c r="CI68" s="25">
        <v>0</v>
      </c>
      <c r="CJ68" s="25">
        <v>0</v>
      </c>
      <c r="CK68" s="25">
        <f t="shared" si="32"/>
        <v>890</v>
      </c>
      <c r="CL68" s="26" cm="1">
        <f t="array" ref="CL68:CW68">IFERROR(VLOOKUP(A68,'[1]Now-OB-kg-POB-25'!A:AQ,{31,32,33,34,35,36,37,38,39,40,41,42},0),0)</f>
        <v>0</v>
      </c>
      <c r="CM68" s="26">
        <v>14691</v>
      </c>
      <c r="CN68" s="26">
        <v>11044</v>
      </c>
      <c r="CO68" s="26">
        <v>0</v>
      </c>
      <c r="CP68" s="26">
        <v>0</v>
      </c>
      <c r="CQ68" s="26">
        <v>0</v>
      </c>
      <c r="CR68" s="26">
        <v>0</v>
      </c>
      <c r="CS68" s="26">
        <v>0</v>
      </c>
      <c r="CT68" s="26">
        <v>0</v>
      </c>
      <c r="CU68" s="26">
        <v>0</v>
      </c>
      <c r="CV68" s="26">
        <v>0</v>
      </c>
      <c r="CW68" s="26">
        <v>0</v>
      </c>
      <c r="CX68" s="26">
        <f t="shared" si="33"/>
        <v>25735</v>
      </c>
      <c r="CY68" s="14" t="str">
        <f>IF(A68=0,0,IFERROR(VLOOKUP(A68,'[1]Info Donantes'!C:F,2,0),"Sin Contacto"))</f>
        <v>Dazmara Zelaya</v>
      </c>
      <c r="CZ68" s="14" t="str">
        <f>IF(A68=0,0,IFERROR(VLOOKUP(A68,'[1]Info Donantes'!C:F,3,0),"Sin Correo"))</f>
        <v>dzelaya@goldmills.com.pa</v>
      </c>
      <c r="DA68" s="14" t="str">
        <f>IF(A68=0,0,IFERROR(VLOOKUP(A68,'[1]Info Donantes'!C:F,4,0),"Sin Telefono"))</f>
        <v>3603600</v>
      </c>
      <c r="DB68" s="14" t="str">
        <f>IF(A68=0,0,"Reporte de Trazabiidad"&amp;" - "&amp;'[1]Donor Summary'!$C$2&amp;" - "&amp;A68&amp;"")</f>
        <v>Reporte de Trazabiidad -  - GOLD MILLS</v>
      </c>
    </row>
    <row r="69" spans="1:106" x14ac:dyDescent="0.55000000000000004">
      <c r="A69" s="31" t="s">
        <v>231</v>
      </c>
      <c r="B69" s="15">
        <f>INT(IFERROR(VLOOKUP(A69,'[1]Donor Summary'!C:F,3,0),0))</f>
        <v>0</v>
      </c>
      <c r="C69" s="15">
        <f>INT(ROUND(IFERROR(VLOOKUP(A69,'[1]Donor Summary'!C:F,4,0),0),1))</f>
        <v>0</v>
      </c>
      <c r="D69" s="16">
        <f t="shared" si="19"/>
        <v>0</v>
      </c>
      <c r="E69" s="17" t="str">
        <f t="shared" si="20"/>
        <v>0.00%</v>
      </c>
      <c r="F69" s="17" t="str">
        <f t="shared" si="21"/>
        <v>0.0%</v>
      </c>
      <c r="G69" s="15">
        <f t="shared" si="25"/>
        <v>0</v>
      </c>
      <c r="H69" s="18"/>
      <c r="I69" s="18">
        <f>IFERROR(VLOOKUP(A69,'[1]Lot All by Part'!T:Y,6,0),0)</f>
        <v>0</v>
      </c>
      <c r="J69" s="18"/>
      <c r="K69" s="19">
        <f>IFERROR(VLOOKUP($A69,'[1]Donor-Served OBs'!A:N,3,0),0)</f>
        <v>0</v>
      </c>
      <c r="L69" s="19">
        <f>ROUNDUP(IF(A69=0,0,IFERROR(VLOOKUP($A69,'[1]Donor''s Assigned Kilos'!A:O,3,0),0)),0)</f>
        <v>0</v>
      </c>
      <c r="M69" s="19">
        <f>IF(A69=0,0,IFERROR(SUMIFS([1]Population!M:M,[1]Population!J:J,'MASTER-2025'!A69),0))</f>
        <v>0</v>
      </c>
      <c r="N69" s="20">
        <f>IFERROR(VLOOKUP($A69,'[1]Donor-Served OBs'!A:N,4,0),0)</f>
        <v>0</v>
      </c>
      <c r="O69" s="20">
        <f>ROUNDUP(IF(A69=0,0,IFERROR(VLOOKUP($A69,'[1]Donor''s Assigned Kilos'!A:O,4,0),0)),0)</f>
        <v>0</v>
      </c>
      <c r="P69" s="20">
        <f>IF(A69=0,0,IFERROR(SUMIFS([1]Population!N:N,[1]Population!J:J,'MASTER-2025'!A69),0))</f>
        <v>0</v>
      </c>
      <c r="Q69" s="18">
        <f>IFERROR(VLOOKUP($A69,'[1]Donor-Served OBs'!A:N,2,0),0)</f>
        <v>0</v>
      </c>
      <c r="R69" s="18">
        <f>ROUNDUP(ROUND(IF(A69=0,0,IFERROR(VLOOKUP($A69,'[1]Donor''s Assigned Kilos'!A:O,9,0),0)),1),0)</f>
        <v>0</v>
      </c>
      <c r="S69" s="18">
        <f>IF(A69=0,0,IFERROR(SUMIFS([1]Population!S:S,[1]Population!J:J,'MASTER-2025'!A69),0))</f>
        <v>0</v>
      </c>
      <c r="T69" s="19">
        <f>IFERROR(VLOOKUP($A69,'[1]Donor-Served OBs'!A:N,12,0),0)</f>
        <v>0</v>
      </c>
      <c r="U69" s="19">
        <f>ROUNDUP(IF(A69=0,0,IF(A69=0,0,IFERROR(VLOOKUP($A69,'[1]Donor''s Assigned Kilos'!A:O,7,0),0))),0)</f>
        <v>0</v>
      </c>
      <c r="V69" s="19">
        <f>IF(A69=0,0,IFERROR(SUMIFS([1]Population!Q:Q,[1]Population!J:J,'MASTER-2025'!A69),0))</f>
        <v>0</v>
      </c>
      <c r="W69" s="20">
        <f>IFERROR(VLOOKUP($A69,'[1]Donor-Served OBs'!A:N,10,0),0)</f>
        <v>0</v>
      </c>
      <c r="X69" s="20">
        <f>ROUNDUP(IF(A69=0,0,IFERROR(VLOOKUP($A69,'[1]Donor''s Assigned Kilos'!A:N,5,0),0)),0)</f>
        <v>0</v>
      </c>
      <c r="Y69" s="20">
        <f>IF(A69=0,0,IFERROR(SUMIFS([1]Population!O:O,[1]Population!J:J,'MASTER-2025'!A69),0))</f>
        <v>0</v>
      </c>
      <c r="Z69" s="18">
        <f>IFERROR(VLOOKUP($A69,'[1]Donor-Served OBs'!A:N,6,0),0)</f>
        <v>0</v>
      </c>
      <c r="AA69" s="18">
        <f>ROUNDUP(IF(A69=0,0,IFERROR(VLOOKUP($A69,'[1]Donor''s Assigned Kilos'!A:N,11,0),0)),0)</f>
        <v>0</v>
      </c>
      <c r="AB69" s="18">
        <f>IF(A69=0,0,IFERROR(SUMIFS([1]Population!U:U,[1]Population!J:J,'MASTER-2025'!A69),0))</f>
        <v>0</v>
      </c>
      <c r="AC69" s="19">
        <f>IFERROR(VLOOKUP($A69,'[1]Donor-Served OBs'!A:N,7,0),0)</f>
        <v>0</v>
      </c>
      <c r="AD69" s="19">
        <f>ROUNDUP(IF(A69=0,0,IFERROR(VLOOKUP($A69,'[1]Donor''s Assigned Kilos'!A:N,8,0),0)),0)</f>
        <v>0</v>
      </c>
      <c r="AE69" s="19">
        <f>IF(A69=0,0,IFERROR(SUMIFS([1]Population!R:R,[1]Population!J:J,'MASTER-2025'!A69),0))</f>
        <v>0</v>
      </c>
      <c r="AF69" s="20">
        <f>IFERROR(VLOOKUP($A69,'[1]Donor-Served OBs'!A:N,8,0),0)</f>
        <v>0</v>
      </c>
      <c r="AG69" s="20">
        <f>ROUNDUP(IF(A69=0,0,IFERROR(VLOOKUP($A69,'[1]Donor''s Assigned Kilos'!A:N,6,0),0)),0)</f>
        <v>0</v>
      </c>
      <c r="AH69" s="20">
        <f>IF(A69=0,0,IFERROR(SUMIFS([1]Population!P:P,[1]Population!J:J,'MASTER-2025'!A69),0))</f>
        <v>0</v>
      </c>
      <c r="AI69" s="18">
        <f>IFERROR(VLOOKUP($A69,'[1]Donor-Served OBs'!A:N,9,0),0)</f>
        <v>0</v>
      </c>
      <c r="AJ69" s="18">
        <f>ROUNDUP(IF(A69=0,0,IFERROR(VLOOKUP($A69,'[1]Donor''s Assigned Kilos'!A:N,12,0),0)),0)</f>
        <v>0</v>
      </c>
      <c r="AK69" s="18">
        <f>IF(A69=0,0,IFERROR(SUMIFS([1]Population!V:V,[1]Population!J:J,'MASTER-2025'!A69),0))</f>
        <v>0</v>
      </c>
      <c r="AL69" s="19">
        <f>IFERROR(VLOOKUP($A69,'[1]Donor-Served OBs'!A:N,16,0),0)</f>
        <v>0</v>
      </c>
      <c r="AM69" s="19">
        <f>ROUNDUP(IF(A69=0,0,IFERROR(VLOOKUP($A69,'[1]Donor''s Assigned Kilos'!A:O,16,0),0)),0)</f>
        <v>0</v>
      </c>
      <c r="AN69" s="19">
        <f>IF(A69=0,0,IFERROR(SUMIFS([1]Population!Z:Z,[1]Population!J:J,'MASTER-2025'!A69),0))</f>
        <v>0</v>
      </c>
      <c r="AO69" s="20">
        <f>IFERROR(VLOOKUP($A69,'[1]Donor-Served OBs'!A:N,11,0),0)</f>
        <v>0</v>
      </c>
      <c r="AP69" s="20">
        <f>ROUNDUP(IF(A69=0,0,IFERROR(VLOOKUP($A69,'[1]Donor''s Assigned Kilos'!A:N,13,0),0)),0)</f>
        <v>0</v>
      </c>
      <c r="AQ69" s="20">
        <f>IF(A69=0,0,IFERROR(SUMIFS([1]Population!W:W,[1]Population!J:J,'MASTER-2025'!A69),0))</f>
        <v>0</v>
      </c>
      <c r="AR69" s="18">
        <f>IFERROR(VLOOKUP($A69,'[1]Donor-Served OBs'!A:N,5,0),0)</f>
        <v>0</v>
      </c>
      <c r="AS69" s="18">
        <f>ROUNDUP(IF(A69=0,0,IFERROR(VLOOKUP($A69,'[1]Donor''s Assigned Kilos'!A:N,10,0),0)),0)</f>
        <v>0</v>
      </c>
      <c r="AT69" s="18">
        <f>IF(A69=0,0,IFERROR(SUMIFS([1]Population!T:T,[1]Population!J:J,'MASTER-2025'!A69),0))</f>
        <v>0</v>
      </c>
      <c r="AU69" s="19">
        <f>IFERROR(VLOOKUP($A69,'[1]Donor-Served OBs'!A:N,13,0),0)</f>
        <v>0</v>
      </c>
      <c r="AV69" s="19">
        <f>ROUNDUP(IF(A69=0,0,IFERROR(VLOOKUP($A69,'[1]Donor''s Assigned Kilos'!A:N,14,0),0)),0)</f>
        <v>0</v>
      </c>
      <c r="AW69" s="19">
        <f>IF(A69=0,0,IFERROR(SUMIFS([1]Population!X:X,[1]Population!J:J,'MASTER-2025'!A69),0))</f>
        <v>0</v>
      </c>
      <c r="AX69" s="20">
        <f>IFERROR(VLOOKUP($A69,'[1]Donor-Served OBs'!A:N,16,0),0)</f>
        <v>0</v>
      </c>
      <c r="AY69" s="20">
        <f>ROUNDUP(IF(A69=0,0,IFERROR(VLOOKUP($A69,'[1]Donor''s Assigned Kilos'!A:O,16,0),0)),0)</f>
        <v>0</v>
      </c>
      <c r="AZ69" s="20">
        <f>IF(A69=0,0,IFERROR(SUMIFS([1]Population!Y:Y,[1]Population!J:J,'MASTER-2025'!A69),0))</f>
        <v>0</v>
      </c>
      <c r="BA69" s="21">
        <f t="shared" si="15"/>
        <v>0</v>
      </c>
      <c r="BB69" s="21">
        <f t="shared" si="29"/>
        <v>0</v>
      </c>
      <c r="BC69" s="21">
        <f t="shared" si="24"/>
        <v>0</v>
      </c>
      <c r="BD69" s="21">
        <f t="shared" si="26"/>
        <v>0</v>
      </c>
      <c r="BE69" s="22" t="e">
        <f>IF(A69=0,0,SUMIFS([1]Population!C:C,[1]Population!A:A,'MASTER-2025'!A69))</f>
        <v>#VALUE!</v>
      </c>
      <c r="BF69" s="22" t="e">
        <f>IF(A69=0,0,SUMIFS([1]Population!D:D,[1]Population!A:A,'MASTER-2025'!A69))</f>
        <v>#VALUE!</v>
      </c>
      <c r="BG69" s="22" t="e">
        <f>IF(A69=0,0,SUMIFS([1]Population!E:E,[1]Population!A:A,'MASTER-2025'!A69))</f>
        <v>#VALUE!</v>
      </c>
      <c r="BH69" s="22" t="e">
        <f>IF(A69=0,0,SUMIFS([1]Population!F:F,[1]Population!A:A,'MASTER-2025'!A69))</f>
        <v>#VALUE!</v>
      </c>
      <c r="BI69" s="22" t="e">
        <f t="shared" si="18"/>
        <v>#VALUE!</v>
      </c>
      <c r="BJ69" s="23" t="e">
        <f t="shared" si="30"/>
        <v>#VALUE!</v>
      </c>
      <c r="BK69" s="22" t="e">
        <f>IF(A69=0,0,SUMIFS([1]Population!G:G,[1]Population!A:A,'MASTER-2025'!A69))</f>
        <v>#VALUE!</v>
      </c>
      <c r="BL69" s="24" cm="1">
        <f t="array" ref="BL69:BW69">IFERROR(VLOOKUP(A69,'[1]Now-OB-kg-POB-25'!A:AQ,{3,4,5,6,7,8,9,10,11,12,13,14},0),0)</f>
        <v>0</v>
      </c>
      <c r="BM69" s="24">
        <v>0</v>
      </c>
      <c r="BN69" s="24">
        <v>0</v>
      </c>
      <c r="BO69" s="24">
        <v>0</v>
      </c>
      <c r="BP69" s="24">
        <v>0</v>
      </c>
      <c r="BQ69" s="24">
        <v>0</v>
      </c>
      <c r="BR69" s="24">
        <v>0</v>
      </c>
      <c r="BS69" s="24">
        <v>0</v>
      </c>
      <c r="BT69" s="24">
        <v>0</v>
      </c>
      <c r="BU69" s="24">
        <v>0</v>
      </c>
      <c r="BV69" s="24">
        <v>0</v>
      </c>
      <c r="BW69" s="24">
        <v>0</v>
      </c>
      <c r="BX69" s="24">
        <f t="shared" si="31"/>
        <v>0</v>
      </c>
      <c r="BY69" s="25" cm="1">
        <f t="array" ref="BY69:CJ69">IFERROR(VLOOKUP(A69,'[1]Now-OB-kg-POB-25'!A:AQ,{17,18,19,20,21,22,23,24,25,26,27,28},0),0)</f>
        <v>0</v>
      </c>
      <c r="BZ69" s="25">
        <v>0</v>
      </c>
      <c r="CA69" s="25">
        <v>0</v>
      </c>
      <c r="CB69" s="25">
        <v>0</v>
      </c>
      <c r="CC69" s="25">
        <v>0</v>
      </c>
      <c r="CD69" s="25">
        <v>0</v>
      </c>
      <c r="CE69" s="25">
        <v>0</v>
      </c>
      <c r="CF69" s="25">
        <v>0</v>
      </c>
      <c r="CG69" s="25">
        <v>0</v>
      </c>
      <c r="CH69" s="25">
        <v>0</v>
      </c>
      <c r="CI69" s="25">
        <v>0</v>
      </c>
      <c r="CJ69" s="25">
        <v>0</v>
      </c>
      <c r="CK69" s="25">
        <f t="shared" si="32"/>
        <v>0</v>
      </c>
      <c r="CL69" s="26" cm="1">
        <f t="array" ref="CL69:CW69">IFERROR(VLOOKUP(A69,'[1]Now-OB-kg-POB-25'!A:AQ,{31,32,33,34,35,36,37,38,39,40,41,42},0),0)</f>
        <v>0</v>
      </c>
      <c r="CM69" s="26">
        <v>0</v>
      </c>
      <c r="CN69" s="26">
        <v>0</v>
      </c>
      <c r="CO69" s="26">
        <v>0</v>
      </c>
      <c r="CP69" s="26">
        <v>0</v>
      </c>
      <c r="CQ69" s="26">
        <v>0</v>
      </c>
      <c r="CR69" s="26">
        <v>0</v>
      </c>
      <c r="CS69" s="26">
        <v>0</v>
      </c>
      <c r="CT69" s="26">
        <v>0</v>
      </c>
      <c r="CU69" s="26">
        <v>0</v>
      </c>
      <c r="CV69" s="26">
        <v>0</v>
      </c>
      <c r="CW69" s="26">
        <v>0</v>
      </c>
      <c r="CX69" s="26">
        <f t="shared" si="33"/>
        <v>0</v>
      </c>
      <c r="CY69" s="14" t="str">
        <f>IF(A69=0,0,IFERROR(VLOOKUP(A69,'[1]Info Donantes'!C:F,2,0),"Sin Contacto"))</f>
        <v>Roselys Brito</v>
      </c>
      <c r="CZ69" s="14" t="str">
        <f>IF(A69=0,0,IFERROR(VLOOKUP(A69,'[1]Info Donantes'!C:F,3,0),"Sin Correo"))</f>
        <v>rbrito@subway.com.pa</v>
      </c>
      <c r="DA69" s="14" t="str">
        <f>IF(A69=0,0,IFERROR(VLOOKUP(A69,'[1]Info Donantes'!C:F,4,0),"Sin Telefono"))</f>
        <v>204-5555</v>
      </c>
      <c r="DB69" s="14" t="str">
        <f>IF(A69=0,0,"Reporte de Trazabiidad"&amp;" - "&amp;'[1]Donor Summary'!$C$2&amp;" - "&amp;A69&amp;"")</f>
        <v>Reporte de Trazabiidad -  - International Franchise Food Service/Subway</v>
      </c>
    </row>
    <row r="70" spans="1:106" x14ac:dyDescent="0.55000000000000004">
      <c r="A70" s="31" t="s">
        <v>232</v>
      </c>
      <c r="B70" s="15">
        <f>INT(IFERROR(VLOOKUP(A70,'[1]Donor Summary'!C:F,3,0),0))</f>
        <v>0</v>
      </c>
      <c r="C70" s="15">
        <f>INT(ROUND(IFERROR(VLOOKUP(A70,'[1]Donor Summary'!C:F,4,0),0),1))</f>
        <v>0</v>
      </c>
      <c r="D70" s="16">
        <f t="shared" si="19"/>
        <v>0</v>
      </c>
      <c r="E70" s="17" t="str">
        <f t="shared" si="20"/>
        <v>0.00%</v>
      </c>
      <c r="F70" s="17" t="str">
        <f t="shared" si="21"/>
        <v>0.0%</v>
      </c>
      <c r="G70" s="15">
        <f t="shared" si="25"/>
        <v>0</v>
      </c>
      <c r="H70" s="18"/>
      <c r="I70" s="18">
        <f>IFERROR(VLOOKUP(A70,'[1]Lot All by Part'!T:Y,6,0),0)</f>
        <v>0</v>
      </c>
      <c r="J70" s="18"/>
      <c r="K70" s="19">
        <f>IFERROR(VLOOKUP($A70,'[1]Donor-Served OBs'!A:N,3,0),0)</f>
        <v>0</v>
      </c>
      <c r="L70" s="19">
        <f>ROUNDUP(IF(A70=0,0,IFERROR(VLOOKUP($A70,'[1]Donor''s Assigned Kilos'!A:O,3,0),0)),0)</f>
        <v>0</v>
      </c>
      <c r="M70" s="19">
        <f>IF(A70=0,0,IFERROR(SUMIFS([1]Population!M:M,[1]Population!J:J,'MASTER-2025'!A70),0))</f>
        <v>0</v>
      </c>
      <c r="N70" s="20">
        <f>IFERROR(VLOOKUP($A70,'[1]Donor-Served OBs'!A:N,4,0),0)</f>
        <v>0</v>
      </c>
      <c r="O70" s="20">
        <f>ROUNDUP(IF(A70=0,0,IFERROR(VLOOKUP($A70,'[1]Donor''s Assigned Kilos'!A:O,4,0),0)),0)</f>
        <v>0</v>
      </c>
      <c r="P70" s="20">
        <f>IF(A70=0,0,IFERROR(SUMIFS([1]Population!N:N,[1]Population!J:J,'MASTER-2025'!A70),0))</f>
        <v>0</v>
      </c>
      <c r="Q70" s="18">
        <f>IFERROR(VLOOKUP($A70,'[1]Donor-Served OBs'!A:N,2,0),0)</f>
        <v>0</v>
      </c>
      <c r="R70" s="18">
        <f>ROUNDUP(ROUND(IF(A70=0,0,IFERROR(VLOOKUP($A70,'[1]Donor''s Assigned Kilos'!A:O,9,0),0)),1),0)</f>
        <v>0</v>
      </c>
      <c r="S70" s="18">
        <f>IF(A70=0,0,IFERROR(SUMIFS([1]Population!S:S,[1]Population!J:J,'MASTER-2025'!A70),0))</f>
        <v>0</v>
      </c>
      <c r="T70" s="19">
        <f>IFERROR(VLOOKUP($A70,'[1]Donor-Served OBs'!A:N,12,0),0)</f>
        <v>0</v>
      </c>
      <c r="U70" s="19">
        <f>ROUNDUP(IF(A70=0,0,IF(A70=0,0,IFERROR(VLOOKUP($A70,'[1]Donor''s Assigned Kilos'!A:O,7,0),0))),0)</f>
        <v>0</v>
      </c>
      <c r="V70" s="19">
        <f>IF(A70=0,0,IFERROR(SUMIFS([1]Population!Q:Q,[1]Population!J:J,'MASTER-2025'!A70),0))</f>
        <v>0</v>
      </c>
      <c r="W70" s="20">
        <f>IFERROR(VLOOKUP($A70,'[1]Donor-Served OBs'!A:N,10,0),0)</f>
        <v>0</v>
      </c>
      <c r="X70" s="20">
        <f>ROUNDUP(IF(A70=0,0,IFERROR(VLOOKUP($A70,'[1]Donor''s Assigned Kilos'!A:N,5,0),0)),0)</f>
        <v>0</v>
      </c>
      <c r="Y70" s="20">
        <f>IF(A70=0,0,IFERROR(SUMIFS([1]Population!O:O,[1]Population!J:J,'MASTER-2025'!A70),0))</f>
        <v>0</v>
      </c>
      <c r="Z70" s="18">
        <f>IFERROR(VLOOKUP($A70,'[1]Donor-Served OBs'!A:N,6,0),0)</f>
        <v>0</v>
      </c>
      <c r="AA70" s="18">
        <f>ROUNDUP(IF(A70=0,0,IFERROR(VLOOKUP($A70,'[1]Donor''s Assigned Kilos'!A:N,11,0),0)),0)</f>
        <v>0</v>
      </c>
      <c r="AB70" s="18">
        <f>IF(A70=0,0,IFERROR(SUMIFS([1]Population!U:U,[1]Population!J:J,'MASTER-2025'!A70),0))</f>
        <v>0</v>
      </c>
      <c r="AC70" s="19">
        <f>IFERROR(VLOOKUP($A70,'[1]Donor-Served OBs'!A:N,7,0),0)</f>
        <v>0</v>
      </c>
      <c r="AD70" s="19">
        <f>ROUNDUP(IF(A70=0,0,IFERROR(VLOOKUP($A70,'[1]Donor''s Assigned Kilos'!A:N,8,0),0)),0)</f>
        <v>0</v>
      </c>
      <c r="AE70" s="19">
        <f>IF(A70=0,0,IFERROR(SUMIFS([1]Population!R:R,[1]Population!J:J,'MASTER-2025'!A70),0))</f>
        <v>0</v>
      </c>
      <c r="AF70" s="20">
        <f>IFERROR(VLOOKUP($A70,'[1]Donor-Served OBs'!A:N,8,0),0)</f>
        <v>0</v>
      </c>
      <c r="AG70" s="20">
        <f>ROUNDUP(IF(A70=0,0,IFERROR(VLOOKUP($A70,'[1]Donor''s Assigned Kilos'!A:N,6,0),0)),0)</f>
        <v>0</v>
      </c>
      <c r="AH70" s="20">
        <f>IF(A70=0,0,IFERROR(SUMIFS([1]Population!P:P,[1]Population!J:J,'MASTER-2025'!A70),0))</f>
        <v>0</v>
      </c>
      <c r="AI70" s="18">
        <f>IFERROR(VLOOKUP($A70,'[1]Donor-Served OBs'!A:N,9,0),0)</f>
        <v>0</v>
      </c>
      <c r="AJ70" s="18">
        <f>ROUNDUP(IF(A70=0,0,IFERROR(VLOOKUP($A70,'[1]Donor''s Assigned Kilos'!A:N,12,0),0)),0)</f>
        <v>0</v>
      </c>
      <c r="AK70" s="18">
        <f>IF(A70=0,0,IFERROR(SUMIFS([1]Population!V:V,[1]Population!J:J,'MASTER-2025'!A70),0))</f>
        <v>0</v>
      </c>
      <c r="AL70" s="19">
        <f>IFERROR(VLOOKUP($A70,'[1]Donor-Served OBs'!A:N,16,0),0)</f>
        <v>0</v>
      </c>
      <c r="AM70" s="19">
        <f>ROUNDUP(IF(A70=0,0,IFERROR(VLOOKUP($A70,'[1]Donor''s Assigned Kilos'!A:O,16,0),0)),0)</f>
        <v>0</v>
      </c>
      <c r="AN70" s="19">
        <f>IF(A70=0,0,IFERROR(SUMIFS([1]Population!Z:Z,[1]Population!J:J,'MASTER-2025'!A70),0))</f>
        <v>0</v>
      </c>
      <c r="AO70" s="20">
        <f>IFERROR(VLOOKUP($A70,'[1]Donor-Served OBs'!A:N,11,0),0)</f>
        <v>0</v>
      </c>
      <c r="AP70" s="20">
        <f>ROUNDUP(IF(A70=0,0,IFERROR(VLOOKUP($A70,'[1]Donor''s Assigned Kilos'!A:N,13,0),0)),0)</f>
        <v>0</v>
      </c>
      <c r="AQ70" s="20">
        <f>IF(A70=0,0,IFERROR(SUMIFS([1]Population!W:W,[1]Population!J:J,'MASTER-2025'!A70),0))</f>
        <v>0</v>
      </c>
      <c r="AR70" s="18">
        <f>IFERROR(VLOOKUP($A70,'[1]Donor-Served OBs'!A:N,5,0),0)</f>
        <v>0</v>
      </c>
      <c r="AS70" s="18">
        <f>ROUNDUP(IF(A70=0,0,IFERROR(VLOOKUP($A70,'[1]Donor''s Assigned Kilos'!A:N,10,0),0)),0)</f>
        <v>0</v>
      </c>
      <c r="AT70" s="18">
        <f>IF(A70=0,0,IFERROR(SUMIFS([1]Population!T:T,[1]Population!J:J,'MASTER-2025'!A70),0))</f>
        <v>0</v>
      </c>
      <c r="AU70" s="19">
        <f>IFERROR(VLOOKUP($A70,'[1]Donor-Served OBs'!A:N,13,0),0)</f>
        <v>0</v>
      </c>
      <c r="AV70" s="19">
        <f>ROUNDUP(IF(A70=0,0,IFERROR(VLOOKUP($A70,'[1]Donor''s Assigned Kilos'!A:N,14,0),0)),0)</f>
        <v>0</v>
      </c>
      <c r="AW70" s="19">
        <f>IF(A70=0,0,IFERROR(SUMIFS([1]Population!X:X,[1]Population!J:J,'MASTER-2025'!A70),0))</f>
        <v>0</v>
      </c>
      <c r="AX70" s="20">
        <f>IFERROR(VLOOKUP($A70,'[1]Donor-Served OBs'!A:N,16,0),0)</f>
        <v>0</v>
      </c>
      <c r="AY70" s="20">
        <f>ROUNDUP(IF(A70=0,0,IFERROR(VLOOKUP($A70,'[1]Donor''s Assigned Kilos'!A:O,16,0),0)),0)</f>
        <v>0</v>
      </c>
      <c r="AZ70" s="20">
        <f>IF(A70=0,0,IFERROR(SUMIFS([1]Population!Y:Y,[1]Population!J:J,'MASTER-2025'!A70),0))</f>
        <v>0</v>
      </c>
      <c r="BA70" s="21">
        <f t="shared" si="15"/>
        <v>0</v>
      </c>
      <c r="BB70" s="21">
        <f t="shared" si="29"/>
        <v>0</v>
      </c>
      <c r="BC70" s="21">
        <f t="shared" si="24"/>
        <v>0</v>
      </c>
      <c r="BD70" s="21">
        <f t="shared" si="26"/>
        <v>0</v>
      </c>
      <c r="BE70" s="22" t="e">
        <f>IF(A70=0,0,SUMIFS([1]Population!C:C,[1]Population!A:A,'MASTER-2025'!A70))</f>
        <v>#VALUE!</v>
      </c>
      <c r="BF70" s="22" t="e">
        <f>IF(A70=0,0,SUMIFS([1]Population!D:D,[1]Population!A:A,'MASTER-2025'!A70))</f>
        <v>#VALUE!</v>
      </c>
      <c r="BG70" s="22" t="e">
        <f>IF(A70=0,0,SUMIFS([1]Population!E:E,[1]Population!A:A,'MASTER-2025'!A70))</f>
        <v>#VALUE!</v>
      </c>
      <c r="BH70" s="22" t="e">
        <f>IF(A70=0,0,SUMIFS([1]Population!F:F,[1]Population!A:A,'MASTER-2025'!A70))</f>
        <v>#VALUE!</v>
      </c>
      <c r="BI70" s="22" t="e">
        <f t="shared" si="18"/>
        <v>#VALUE!</v>
      </c>
      <c r="BJ70" s="23" t="e">
        <f t="shared" si="30"/>
        <v>#VALUE!</v>
      </c>
      <c r="BK70" s="22" t="e">
        <f>IF(A70=0,0,SUMIFS([1]Population!G:G,[1]Population!A:A,'MASTER-2025'!A70))</f>
        <v>#VALUE!</v>
      </c>
      <c r="BL70" s="24" cm="1">
        <f t="array" ref="BL70:BW70">IFERROR(VLOOKUP(A70,'[1]Now-OB-kg-POB-25'!A:AQ,{3,4,5,6,7,8,9,10,11,12,13,14},0),0)</f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0</v>
      </c>
      <c r="BT70" s="24">
        <v>0</v>
      </c>
      <c r="BU70" s="24">
        <v>0</v>
      </c>
      <c r="BV70" s="24">
        <v>0</v>
      </c>
      <c r="BW70" s="24">
        <v>0</v>
      </c>
      <c r="BX70" s="24">
        <f t="shared" si="31"/>
        <v>0</v>
      </c>
      <c r="BY70" s="25" cm="1">
        <f t="array" ref="BY70:CJ70">IFERROR(VLOOKUP(A70,'[1]Now-OB-kg-POB-25'!A:AQ,{17,18,19,20,21,22,23,24,25,26,27,28},0),0)</f>
        <v>0</v>
      </c>
      <c r="BZ70" s="25">
        <v>0</v>
      </c>
      <c r="CA70" s="25">
        <v>0</v>
      </c>
      <c r="CB70" s="25">
        <v>0</v>
      </c>
      <c r="CC70" s="25">
        <v>0</v>
      </c>
      <c r="CD70" s="25">
        <v>0</v>
      </c>
      <c r="CE70" s="25">
        <v>0</v>
      </c>
      <c r="CF70" s="25">
        <v>0</v>
      </c>
      <c r="CG70" s="25">
        <v>0</v>
      </c>
      <c r="CH70" s="25">
        <v>0</v>
      </c>
      <c r="CI70" s="25">
        <v>0</v>
      </c>
      <c r="CJ70" s="25">
        <v>0</v>
      </c>
      <c r="CK70" s="25">
        <f t="shared" si="32"/>
        <v>0</v>
      </c>
      <c r="CL70" s="26" cm="1">
        <f t="array" ref="CL70:CW70">IFERROR(VLOOKUP(A70,'[1]Now-OB-kg-POB-25'!A:AQ,{31,32,33,34,35,36,37,38,39,40,41,42},0),0)</f>
        <v>0</v>
      </c>
      <c r="CM70" s="26">
        <v>0</v>
      </c>
      <c r="CN70" s="26">
        <v>0</v>
      </c>
      <c r="CO70" s="26">
        <v>0</v>
      </c>
      <c r="CP70" s="26">
        <v>0</v>
      </c>
      <c r="CQ70" s="26">
        <v>0</v>
      </c>
      <c r="CR70" s="26">
        <v>0</v>
      </c>
      <c r="CS70" s="26">
        <v>0</v>
      </c>
      <c r="CT70" s="26">
        <v>0</v>
      </c>
      <c r="CU70" s="26">
        <v>0</v>
      </c>
      <c r="CV70" s="26">
        <v>0</v>
      </c>
      <c r="CW70" s="26">
        <v>0</v>
      </c>
      <c r="CX70" s="26">
        <f t="shared" si="33"/>
        <v>0</v>
      </c>
      <c r="CY70" s="14" t="str">
        <f>IF(A70=0,0,IFERROR(VLOOKUP(A70,'[1]Info Donantes'!C:F,2,0),"Sin Contacto"))</f>
        <v>Monica Lucero</v>
      </c>
      <c r="CZ70" s="14" t="str">
        <f>IF(A70=0,0,IFERROR(VLOOKUP(A70,'[1]Info Donantes'!C:F,3,0),"Sin Correo"))</f>
        <v>monica.lucero@kcc.com</v>
      </c>
      <c r="DA70" s="14" t="str">
        <f>IF(A70=0,0,IFERROR(VLOOKUP(A70,'[1]Info Donantes'!C:F,4,0),"Sin Telefono"))</f>
        <v>366-1700</v>
      </c>
      <c r="DB70" s="14" t="str">
        <f>IF(A70=0,0,"Reporte de Trazabiidad"&amp;" - "&amp;'[1]Donor Summary'!$C$2&amp;" - "&amp;A70&amp;"")</f>
        <v>Reporte de Trazabiidad -  - KIMBERLY-CLARK CENTRAL AMERICAN HOLDING, S.A</v>
      </c>
    </row>
    <row r="71" spans="1:106" x14ac:dyDescent="0.55000000000000004">
      <c r="A71" s="31" t="s">
        <v>233</v>
      </c>
      <c r="B71" s="15">
        <f>INT(IFERROR(VLOOKUP(A71,'[1]Donor Summary'!C:F,3,0),0))</f>
        <v>0</v>
      </c>
      <c r="C71" s="15">
        <f>INT(ROUND(IFERROR(VLOOKUP(A71,'[1]Donor Summary'!C:F,4,0),0),1))</f>
        <v>0</v>
      </c>
      <c r="D71" s="16">
        <f t="shared" si="19"/>
        <v>0</v>
      </c>
      <c r="E71" s="17" t="str">
        <f t="shared" si="20"/>
        <v>0.00%</v>
      </c>
      <c r="F71" s="17" t="str">
        <f t="shared" si="21"/>
        <v>0.0%</v>
      </c>
      <c r="G71" s="15">
        <f t="shared" si="25"/>
        <v>0</v>
      </c>
      <c r="H71" s="18"/>
      <c r="I71" s="18">
        <f>IFERROR(VLOOKUP(A71,'[1]Lot All by Part'!T:Y,6,0),0)</f>
        <v>0</v>
      </c>
      <c r="J71" s="18"/>
      <c r="K71" s="19">
        <f>IFERROR(VLOOKUP($A71,'[1]Donor-Served OBs'!A:N,3,0),0)</f>
        <v>0</v>
      </c>
      <c r="L71" s="19">
        <f>ROUNDUP(IF(A71=0,0,IFERROR(VLOOKUP($A71,'[1]Donor''s Assigned Kilos'!A:O,3,0),0)),0)</f>
        <v>0</v>
      </c>
      <c r="M71" s="19">
        <f>IF(A71=0,0,IFERROR(SUMIFS([1]Population!M:M,[1]Population!J:J,'MASTER-2025'!A71),0))</f>
        <v>0</v>
      </c>
      <c r="N71" s="20">
        <f>IFERROR(VLOOKUP($A71,'[1]Donor-Served OBs'!A:N,4,0),0)</f>
        <v>0</v>
      </c>
      <c r="O71" s="20">
        <f>ROUNDUP(IF(A71=0,0,IFERROR(VLOOKUP($A71,'[1]Donor''s Assigned Kilos'!A:O,4,0),0)),0)</f>
        <v>0</v>
      </c>
      <c r="P71" s="20">
        <f>IF(A71=0,0,IFERROR(SUMIFS([1]Population!N:N,[1]Population!J:J,'MASTER-2025'!A71),0))</f>
        <v>0</v>
      </c>
      <c r="Q71" s="18">
        <f>IFERROR(VLOOKUP($A71,'[1]Donor-Served OBs'!A:N,2,0),0)</f>
        <v>0</v>
      </c>
      <c r="R71" s="18">
        <f>ROUNDUP(ROUND(IF(A71=0,0,IFERROR(VLOOKUP($A71,'[1]Donor''s Assigned Kilos'!A:O,9,0),0)),1),0)</f>
        <v>0</v>
      </c>
      <c r="S71" s="18">
        <f>IF(A71=0,0,IFERROR(SUMIFS([1]Population!S:S,[1]Population!J:J,'MASTER-2025'!A71),0))</f>
        <v>0</v>
      </c>
      <c r="T71" s="19">
        <f>IFERROR(VLOOKUP($A71,'[1]Donor-Served OBs'!A:N,12,0),0)</f>
        <v>0</v>
      </c>
      <c r="U71" s="19">
        <f>ROUNDUP(IF(A71=0,0,IF(A71=0,0,IFERROR(VLOOKUP($A71,'[1]Donor''s Assigned Kilos'!A:O,7,0),0))),0)</f>
        <v>0</v>
      </c>
      <c r="V71" s="19">
        <f>IF(A71=0,0,IFERROR(SUMIFS([1]Population!Q:Q,[1]Population!J:J,'MASTER-2025'!A71),0))</f>
        <v>0</v>
      </c>
      <c r="W71" s="20">
        <f>IFERROR(VLOOKUP($A71,'[1]Donor-Served OBs'!A:N,10,0),0)</f>
        <v>0</v>
      </c>
      <c r="X71" s="20">
        <f>ROUNDUP(IF(A71=0,0,IFERROR(VLOOKUP($A71,'[1]Donor''s Assigned Kilos'!A:N,5,0),0)),0)</f>
        <v>0</v>
      </c>
      <c r="Y71" s="20">
        <f>IF(A71=0,0,IFERROR(SUMIFS([1]Population!O:O,[1]Population!J:J,'MASTER-2025'!A71),0))</f>
        <v>0</v>
      </c>
      <c r="Z71" s="18">
        <f>IFERROR(VLOOKUP($A71,'[1]Donor-Served OBs'!A:N,6,0),0)</f>
        <v>0</v>
      </c>
      <c r="AA71" s="18">
        <f>ROUNDUP(IF(A71=0,0,IFERROR(VLOOKUP($A71,'[1]Donor''s Assigned Kilos'!A:N,11,0),0)),0)</f>
        <v>0</v>
      </c>
      <c r="AB71" s="18">
        <f>IF(A71=0,0,IFERROR(SUMIFS([1]Population!U:U,[1]Population!J:J,'MASTER-2025'!A71),0))</f>
        <v>0</v>
      </c>
      <c r="AC71" s="19">
        <f>IFERROR(VLOOKUP($A71,'[1]Donor-Served OBs'!A:N,7,0),0)</f>
        <v>0</v>
      </c>
      <c r="AD71" s="19">
        <f>ROUNDUP(IF(A71=0,0,IFERROR(VLOOKUP($A71,'[1]Donor''s Assigned Kilos'!A:N,8,0),0)),0)</f>
        <v>0</v>
      </c>
      <c r="AE71" s="19">
        <f>IF(A71=0,0,IFERROR(SUMIFS([1]Population!R:R,[1]Population!J:J,'MASTER-2025'!A71),0))</f>
        <v>0</v>
      </c>
      <c r="AF71" s="20">
        <f>IFERROR(VLOOKUP($A71,'[1]Donor-Served OBs'!A:N,8,0),0)</f>
        <v>0</v>
      </c>
      <c r="AG71" s="20">
        <f>ROUNDUP(IF(A71=0,0,IFERROR(VLOOKUP($A71,'[1]Donor''s Assigned Kilos'!A:N,6,0),0)),0)</f>
        <v>0</v>
      </c>
      <c r="AH71" s="20">
        <f>IF(A71=0,0,IFERROR(SUMIFS([1]Population!P:P,[1]Population!J:J,'MASTER-2025'!A71),0))</f>
        <v>0</v>
      </c>
      <c r="AI71" s="18">
        <f>IFERROR(VLOOKUP($A71,'[1]Donor-Served OBs'!A:N,9,0),0)</f>
        <v>0</v>
      </c>
      <c r="AJ71" s="18">
        <f>ROUNDUP(IF(A71=0,0,IFERROR(VLOOKUP($A71,'[1]Donor''s Assigned Kilos'!A:N,12,0),0)),0)</f>
        <v>0</v>
      </c>
      <c r="AK71" s="18">
        <f>IF(A71=0,0,IFERROR(SUMIFS([1]Population!V:V,[1]Population!J:J,'MASTER-2025'!A71),0))</f>
        <v>0</v>
      </c>
      <c r="AL71" s="19">
        <f>IFERROR(VLOOKUP($A71,'[1]Donor-Served OBs'!A:N,16,0),0)</f>
        <v>0</v>
      </c>
      <c r="AM71" s="19">
        <f>ROUNDUP(IF(A71=0,0,IFERROR(VLOOKUP($A71,'[1]Donor''s Assigned Kilos'!A:O,16,0),0)),0)</f>
        <v>0</v>
      </c>
      <c r="AN71" s="19">
        <f>IF(A71=0,0,IFERROR(SUMIFS([1]Population!Z:Z,[1]Population!J:J,'MASTER-2025'!A71),0))</f>
        <v>0</v>
      </c>
      <c r="AO71" s="20">
        <f>IFERROR(VLOOKUP($A71,'[1]Donor-Served OBs'!A:N,11,0),0)</f>
        <v>0</v>
      </c>
      <c r="AP71" s="20">
        <f>ROUNDUP(IF(A71=0,0,IFERROR(VLOOKUP($A71,'[1]Donor''s Assigned Kilos'!A:N,13,0),0)),0)</f>
        <v>0</v>
      </c>
      <c r="AQ71" s="20">
        <f>IF(A71=0,0,IFERROR(SUMIFS([1]Population!W:W,[1]Population!J:J,'MASTER-2025'!A71),0))</f>
        <v>0</v>
      </c>
      <c r="AR71" s="18">
        <f>IFERROR(VLOOKUP($A71,'[1]Donor-Served OBs'!A:N,5,0),0)</f>
        <v>0</v>
      </c>
      <c r="AS71" s="18">
        <f>ROUNDUP(IF(A71=0,0,IFERROR(VLOOKUP($A71,'[1]Donor''s Assigned Kilos'!A:N,10,0),0)),0)</f>
        <v>0</v>
      </c>
      <c r="AT71" s="18">
        <f>IF(A71=0,0,IFERROR(SUMIFS([1]Population!T:T,[1]Population!J:J,'MASTER-2025'!A71),0))</f>
        <v>0</v>
      </c>
      <c r="AU71" s="19">
        <f>IFERROR(VLOOKUP($A71,'[1]Donor-Served OBs'!A:N,13,0),0)</f>
        <v>0</v>
      </c>
      <c r="AV71" s="19">
        <f>ROUNDUP(IF(A71=0,0,IFERROR(VLOOKUP($A71,'[1]Donor''s Assigned Kilos'!A:N,14,0),0)),0)</f>
        <v>0</v>
      </c>
      <c r="AW71" s="19">
        <f>IF(A71=0,0,IFERROR(SUMIFS([1]Population!X:X,[1]Population!J:J,'MASTER-2025'!A71),0))</f>
        <v>0</v>
      </c>
      <c r="AX71" s="20">
        <f>IFERROR(VLOOKUP($A71,'[1]Donor-Served OBs'!A:N,16,0),0)</f>
        <v>0</v>
      </c>
      <c r="AY71" s="20">
        <f>ROUNDUP(IF(A71=0,0,IFERROR(VLOOKUP($A71,'[1]Donor''s Assigned Kilos'!A:O,16,0),0)),0)</f>
        <v>0</v>
      </c>
      <c r="AZ71" s="20">
        <f>IF(A71=0,0,IFERROR(SUMIFS([1]Population!Y:Y,[1]Population!J:J,'MASTER-2025'!A71),0))</f>
        <v>0</v>
      </c>
      <c r="BA71" s="21">
        <f t="shared" si="15"/>
        <v>0</v>
      </c>
      <c r="BB71" s="21">
        <f t="shared" si="29"/>
        <v>0</v>
      </c>
      <c r="BC71" s="21">
        <f t="shared" si="24"/>
        <v>0</v>
      </c>
      <c r="BD71" s="21">
        <f t="shared" si="26"/>
        <v>0</v>
      </c>
      <c r="BE71" s="22" t="e">
        <f>IF(A71=0,0,SUMIFS([1]Population!C:C,[1]Population!A:A,'MASTER-2025'!A71))</f>
        <v>#VALUE!</v>
      </c>
      <c r="BF71" s="22" t="e">
        <f>IF(A71=0,0,SUMIFS([1]Population!D:D,[1]Population!A:A,'MASTER-2025'!A71))</f>
        <v>#VALUE!</v>
      </c>
      <c r="BG71" s="22" t="e">
        <f>IF(A71=0,0,SUMIFS([1]Population!E:E,[1]Population!A:A,'MASTER-2025'!A71))</f>
        <v>#VALUE!</v>
      </c>
      <c r="BH71" s="22" t="e">
        <f>IF(A71=0,0,SUMIFS([1]Population!F:F,[1]Population!A:A,'MASTER-2025'!A71))</f>
        <v>#VALUE!</v>
      </c>
      <c r="BI71" s="22" t="e">
        <f t="shared" si="18"/>
        <v>#VALUE!</v>
      </c>
      <c r="BJ71" s="23" t="e">
        <f t="shared" si="30"/>
        <v>#VALUE!</v>
      </c>
      <c r="BK71" s="22" t="e">
        <f>IF(A71=0,0,SUMIFS([1]Population!G:G,[1]Population!A:A,'MASTER-2025'!A71))</f>
        <v>#VALUE!</v>
      </c>
      <c r="BL71" s="24" cm="1">
        <f t="array" ref="BL71:BW71">IFERROR(VLOOKUP(A71,'[1]Now-OB-kg-POB-25'!A:AQ,{3,4,5,6,7,8,9,10,11,12,13,14},0),0)</f>
        <v>0</v>
      </c>
      <c r="BM71" s="24">
        <v>0</v>
      </c>
      <c r="BN71" s="24">
        <v>0</v>
      </c>
      <c r="BO71" s="24">
        <v>0</v>
      </c>
      <c r="BP71" s="24">
        <v>0</v>
      </c>
      <c r="BQ71" s="24">
        <v>0</v>
      </c>
      <c r="BR71" s="24">
        <v>0</v>
      </c>
      <c r="BS71" s="24">
        <v>0</v>
      </c>
      <c r="BT71" s="24">
        <v>0</v>
      </c>
      <c r="BU71" s="24">
        <v>0</v>
      </c>
      <c r="BV71" s="24">
        <v>0</v>
      </c>
      <c r="BW71" s="24">
        <v>0</v>
      </c>
      <c r="BX71" s="24">
        <f t="shared" si="31"/>
        <v>0</v>
      </c>
      <c r="BY71" s="25" cm="1">
        <f t="array" ref="BY71:CJ71">IFERROR(VLOOKUP(A71,'[1]Now-OB-kg-POB-25'!A:AQ,{17,18,19,20,21,22,23,24,25,26,27,28},0),0)</f>
        <v>0</v>
      </c>
      <c r="BZ71" s="25">
        <v>0</v>
      </c>
      <c r="CA71" s="25">
        <v>0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0</v>
      </c>
      <c r="CI71" s="25">
        <v>0</v>
      </c>
      <c r="CJ71" s="25">
        <v>0</v>
      </c>
      <c r="CK71" s="25">
        <f t="shared" si="32"/>
        <v>0</v>
      </c>
      <c r="CL71" s="26" cm="1">
        <f t="array" ref="CL71:CW71">IFERROR(VLOOKUP(A71,'[1]Now-OB-kg-POB-25'!A:AQ,{31,32,33,34,35,36,37,38,39,40,41,42},0),0)</f>
        <v>0</v>
      </c>
      <c r="CM71" s="26">
        <v>0</v>
      </c>
      <c r="CN71" s="26">
        <v>0</v>
      </c>
      <c r="CO71" s="26">
        <v>0</v>
      </c>
      <c r="CP71" s="26">
        <v>0</v>
      </c>
      <c r="CQ71" s="26">
        <v>0</v>
      </c>
      <c r="CR71" s="26">
        <v>0</v>
      </c>
      <c r="CS71" s="26">
        <v>0</v>
      </c>
      <c r="CT71" s="26">
        <v>0</v>
      </c>
      <c r="CU71" s="26">
        <v>0</v>
      </c>
      <c r="CV71" s="26">
        <v>0</v>
      </c>
      <c r="CW71" s="26">
        <v>0</v>
      </c>
      <c r="CX71" s="26">
        <f t="shared" si="33"/>
        <v>0</v>
      </c>
      <c r="CY71" s="14" t="str">
        <f>IF(A71=0,0,IFERROR(VLOOKUP(A71,'[1]Info Donantes'!C:F,2,0),"Sin Contacto"))</f>
        <v>Sin Contacto</v>
      </c>
      <c r="CZ71" s="14" t="str">
        <f>IF(A71=0,0,IFERROR(VLOOKUP(A71,'[1]Info Donantes'!C:F,3,0),"Sin Correo"))</f>
        <v>Sin Correo</v>
      </c>
      <c r="DA71" s="14" t="str">
        <f>IF(A71=0,0,IFERROR(VLOOKUP(A71,'[1]Info Donantes'!C:F,4,0),"Sin Telefono"))</f>
        <v>Sin Telefono</v>
      </c>
      <c r="DB71" s="14" t="str">
        <f>IF(A71=0,0,"Reporte de Trazabiidad"&amp;" - "&amp;'[1]Donor Summary'!$C$2&amp;" - "&amp;A71&amp;"")</f>
        <v>Reporte de Trazabiidad -  - GREENS &amp; CO</v>
      </c>
    </row>
    <row r="72" spans="1:106" x14ac:dyDescent="0.55000000000000004">
      <c r="A72" s="31" t="s">
        <v>234</v>
      </c>
      <c r="B72" s="15">
        <f>INT(IFERROR(VLOOKUP(A72,'[1]Donor Summary'!C:F,3,0),0))</f>
        <v>0</v>
      </c>
      <c r="C72" s="15">
        <f>INT(ROUND(IFERROR(VLOOKUP(A72,'[1]Donor Summary'!C:F,4,0),0),1))</f>
        <v>0</v>
      </c>
      <c r="D72" s="16">
        <f t="shared" si="19"/>
        <v>0</v>
      </c>
      <c r="E72" s="17" t="str">
        <f t="shared" si="20"/>
        <v>0.00%</v>
      </c>
      <c r="F72" s="17" t="str">
        <f t="shared" si="21"/>
        <v>0.0%</v>
      </c>
      <c r="G72" s="15">
        <f t="shared" si="25"/>
        <v>0</v>
      </c>
      <c r="H72" s="18"/>
      <c r="I72" s="18">
        <f>IFERROR(VLOOKUP(A72,'[1]Lot All by Part'!T:Y,6,0),0)</f>
        <v>0</v>
      </c>
      <c r="J72" s="18"/>
      <c r="K72" s="19">
        <f>IFERROR(VLOOKUP($A72,'[1]Donor-Served OBs'!A:N,3,0),0)</f>
        <v>0</v>
      </c>
      <c r="L72" s="19">
        <f>ROUNDUP(IF(A72=0,0,IFERROR(VLOOKUP($A72,'[1]Donor''s Assigned Kilos'!A:O,3,0),0)),0)</f>
        <v>0</v>
      </c>
      <c r="M72" s="19">
        <f>IF(A72=0,0,IFERROR(SUMIFS([1]Population!M:M,[1]Population!J:J,'MASTER-2025'!A72),0))</f>
        <v>0</v>
      </c>
      <c r="N72" s="20">
        <f>IFERROR(VLOOKUP($A72,'[1]Donor-Served OBs'!A:N,4,0),0)</f>
        <v>0</v>
      </c>
      <c r="O72" s="20">
        <f>ROUNDUP(IF(A72=0,0,IFERROR(VLOOKUP($A72,'[1]Donor''s Assigned Kilos'!A:O,4,0),0)),0)</f>
        <v>0</v>
      </c>
      <c r="P72" s="20">
        <f>IF(A72=0,0,IFERROR(SUMIFS([1]Population!N:N,[1]Population!J:J,'MASTER-2025'!A72),0))</f>
        <v>0</v>
      </c>
      <c r="Q72" s="18">
        <f>IFERROR(VLOOKUP($A72,'[1]Donor-Served OBs'!A:N,2,0),0)</f>
        <v>0</v>
      </c>
      <c r="R72" s="18">
        <f>ROUNDUP(ROUND(IF(A72=0,0,IFERROR(VLOOKUP($A72,'[1]Donor''s Assigned Kilos'!A:O,9,0),0)),1),0)</f>
        <v>0</v>
      </c>
      <c r="S72" s="18">
        <f>IF(A72=0,0,IFERROR(SUMIFS([1]Population!S:S,[1]Population!J:J,'MASTER-2025'!A72),0))</f>
        <v>0</v>
      </c>
      <c r="T72" s="19">
        <f>IFERROR(VLOOKUP($A72,'[1]Donor-Served OBs'!A:N,12,0),0)</f>
        <v>0</v>
      </c>
      <c r="U72" s="19">
        <f>ROUNDUP(IF(A72=0,0,IF(A72=0,0,IFERROR(VLOOKUP($A72,'[1]Donor''s Assigned Kilos'!A:O,7,0),0))),0)</f>
        <v>0</v>
      </c>
      <c r="V72" s="19">
        <f>IF(A72=0,0,IFERROR(SUMIFS([1]Population!Q:Q,[1]Population!J:J,'MASTER-2025'!A72),0))</f>
        <v>0</v>
      </c>
      <c r="W72" s="20">
        <f>IFERROR(VLOOKUP($A72,'[1]Donor-Served OBs'!A:N,10,0),0)</f>
        <v>0</v>
      </c>
      <c r="X72" s="20">
        <f>ROUNDUP(IF(A72=0,0,IFERROR(VLOOKUP($A72,'[1]Donor''s Assigned Kilos'!A:N,5,0),0)),0)</f>
        <v>0</v>
      </c>
      <c r="Y72" s="20">
        <f>IF(A72=0,0,IFERROR(SUMIFS([1]Population!O:O,[1]Population!J:J,'MASTER-2025'!A72),0))</f>
        <v>0</v>
      </c>
      <c r="Z72" s="18">
        <f>IFERROR(VLOOKUP($A72,'[1]Donor-Served OBs'!A:N,6,0),0)</f>
        <v>0</v>
      </c>
      <c r="AA72" s="18">
        <f>ROUNDUP(IF(A72=0,0,IFERROR(VLOOKUP($A72,'[1]Donor''s Assigned Kilos'!A:N,11,0),0)),0)</f>
        <v>0</v>
      </c>
      <c r="AB72" s="18">
        <f>IF(A72=0,0,IFERROR(SUMIFS([1]Population!U:U,[1]Population!J:J,'MASTER-2025'!A72),0))</f>
        <v>0</v>
      </c>
      <c r="AC72" s="19">
        <f>IFERROR(VLOOKUP($A72,'[1]Donor-Served OBs'!A:N,7,0),0)</f>
        <v>0</v>
      </c>
      <c r="AD72" s="19">
        <f>ROUNDUP(IF(A72=0,0,IFERROR(VLOOKUP($A72,'[1]Donor''s Assigned Kilos'!A:N,8,0),0)),0)</f>
        <v>0</v>
      </c>
      <c r="AE72" s="19">
        <f>IF(A72=0,0,IFERROR(SUMIFS([1]Population!R:R,[1]Population!J:J,'MASTER-2025'!A72),0))</f>
        <v>0</v>
      </c>
      <c r="AF72" s="20">
        <f>IFERROR(VLOOKUP($A72,'[1]Donor-Served OBs'!A:N,8,0),0)</f>
        <v>0</v>
      </c>
      <c r="AG72" s="20">
        <f>ROUNDUP(IF(A72=0,0,IFERROR(VLOOKUP($A72,'[1]Donor''s Assigned Kilos'!A:N,6,0),0)),0)</f>
        <v>0</v>
      </c>
      <c r="AH72" s="20">
        <f>IF(A72=0,0,IFERROR(SUMIFS([1]Population!P:P,[1]Population!J:J,'MASTER-2025'!A72),0))</f>
        <v>0</v>
      </c>
      <c r="AI72" s="18">
        <f>IFERROR(VLOOKUP($A72,'[1]Donor-Served OBs'!A:N,9,0),0)</f>
        <v>0</v>
      </c>
      <c r="AJ72" s="18">
        <f>ROUNDUP(IF(A72=0,0,IFERROR(VLOOKUP($A72,'[1]Donor''s Assigned Kilos'!A:N,12,0),0)),0)</f>
        <v>0</v>
      </c>
      <c r="AK72" s="18">
        <f>IF(A72=0,0,IFERROR(SUMIFS([1]Population!V:V,[1]Population!J:J,'MASTER-2025'!A72),0))</f>
        <v>0</v>
      </c>
      <c r="AL72" s="19">
        <f>IFERROR(VLOOKUP($A72,'[1]Donor-Served OBs'!A:N,16,0),0)</f>
        <v>0</v>
      </c>
      <c r="AM72" s="19">
        <f>ROUNDUP(IF(A72=0,0,IFERROR(VLOOKUP($A72,'[1]Donor''s Assigned Kilos'!A:O,16,0),0)),0)</f>
        <v>0</v>
      </c>
      <c r="AN72" s="19">
        <f>IF(A72=0,0,IFERROR(SUMIFS([1]Population!Z:Z,[1]Population!J:J,'MASTER-2025'!A72),0))</f>
        <v>0</v>
      </c>
      <c r="AO72" s="20">
        <f>IFERROR(VLOOKUP($A72,'[1]Donor-Served OBs'!A:N,11,0),0)</f>
        <v>0</v>
      </c>
      <c r="AP72" s="20">
        <f>ROUNDUP(IF(A72=0,0,IFERROR(VLOOKUP($A72,'[1]Donor''s Assigned Kilos'!A:N,13,0),0)),0)</f>
        <v>0</v>
      </c>
      <c r="AQ72" s="20">
        <f>IF(A72=0,0,IFERROR(SUMIFS([1]Population!W:W,[1]Population!J:J,'MASTER-2025'!A72),0))</f>
        <v>0</v>
      </c>
      <c r="AR72" s="18">
        <f>IFERROR(VLOOKUP($A72,'[1]Donor-Served OBs'!A:N,5,0),0)</f>
        <v>0</v>
      </c>
      <c r="AS72" s="18">
        <f>ROUNDUP(IF(A72=0,0,IFERROR(VLOOKUP($A72,'[1]Donor''s Assigned Kilos'!A:N,10,0),0)),0)</f>
        <v>0</v>
      </c>
      <c r="AT72" s="18">
        <f>IF(A72=0,0,IFERROR(SUMIFS([1]Population!T:T,[1]Population!J:J,'MASTER-2025'!A72),0))</f>
        <v>0</v>
      </c>
      <c r="AU72" s="19">
        <f>IFERROR(VLOOKUP($A72,'[1]Donor-Served OBs'!A:N,13,0),0)</f>
        <v>0</v>
      </c>
      <c r="AV72" s="19">
        <f>ROUNDUP(IF(A72=0,0,IFERROR(VLOOKUP($A72,'[1]Donor''s Assigned Kilos'!A:N,14,0),0)),0)</f>
        <v>0</v>
      </c>
      <c r="AW72" s="19">
        <f>IF(A72=0,0,IFERROR(SUMIFS([1]Population!X:X,[1]Population!J:J,'MASTER-2025'!A72),0))</f>
        <v>0</v>
      </c>
      <c r="AX72" s="20">
        <f>IFERROR(VLOOKUP($A72,'[1]Donor-Served OBs'!A:N,16,0),0)</f>
        <v>0</v>
      </c>
      <c r="AY72" s="20">
        <f>ROUNDUP(IF(A72=0,0,IFERROR(VLOOKUP($A72,'[1]Donor''s Assigned Kilos'!A:O,16,0),0)),0)</f>
        <v>0</v>
      </c>
      <c r="AZ72" s="20">
        <f>IF(A72=0,0,IFERROR(SUMIFS([1]Population!Y:Y,[1]Population!J:J,'MASTER-2025'!A72),0))</f>
        <v>0</v>
      </c>
      <c r="BA72" s="21">
        <f t="shared" si="15"/>
        <v>0</v>
      </c>
      <c r="BB72" s="21">
        <f t="shared" si="29"/>
        <v>0</v>
      </c>
      <c r="BC72" s="21">
        <f t="shared" si="24"/>
        <v>0</v>
      </c>
      <c r="BD72" s="21">
        <f t="shared" si="26"/>
        <v>0</v>
      </c>
      <c r="BE72" s="22" t="e">
        <f>IF(A72=0,0,SUMIFS([1]Population!C:C,[1]Population!A:A,'MASTER-2025'!A72))</f>
        <v>#VALUE!</v>
      </c>
      <c r="BF72" s="22" t="e">
        <f>IF(A72=0,0,SUMIFS([1]Population!D:D,[1]Population!A:A,'MASTER-2025'!A72))</f>
        <v>#VALUE!</v>
      </c>
      <c r="BG72" s="22" t="e">
        <f>IF(A72=0,0,SUMIFS([1]Population!E:E,[1]Population!A:A,'MASTER-2025'!A72))</f>
        <v>#VALUE!</v>
      </c>
      <c r="BH72" s="22" t="e">
        <f>IF(A72=0,0,SUMIFS([1]Population!F:F,[1]Population!A:A,'MASTER-2025'!A72))</f>
        <v>#VALUE!</v>
      </c>
      <c r="BI72" s="22" t="e">
        <f t="shared" si="18"/>
        <v>#VALUE!</v>
      </c>
      <c r="BJ72" s="23" t="e">
        <f t="shared" si="30"/>
        <v>#VALUE!</v>
      </c>
      <c r="BK72" s="22" t="e">
        <f>IF(A72=0,0,SUMIFS([1]Population!G:G,[1]Population!A:A,'MASTER-2025'!A72))</f>
        <v>#VALUE!</v>
      </c>
      <c r="BL72" s="24" cm="1">
        <f t="array" ref="BL72:BW72">IFERROR(VLOOKUP(A72,'[1]Now-OB-kg-POB-25'!A:AQ,{3,4,5,6,7,8,9,10,11,12,13,14},0),0)</f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4">
        <v>0</v>
      </c>
      <c r="BS72" s="24">
        <v>0</v>
      </c>
      <c r="BT72" s="24">
        <v>0</v>
      </c>
      <c r="BU72" s="24">
        <v>0</v>
      </c>
      <c r="BV72" s="24">
        <v>0</v>
      </c>
      <c r="BW72" s="24">
        <v>0</v>
      </c>
      <c r="BX72" s="24">
        <f t="shared" si="31"/>
        <v>0</v>
      </c>
      <c r="BY72" s="25" cm="1">
        <f t="array" ref="BY72:CJ72">IFERROR(VLOOKUP(A72,'[1]Now-OB-kg-POB-25'!A:AQ,{17,18,19,20,21,22,23,24,25,26,27,28},0),0)</f>
        <v>0</v>
      </c>
      <c r="BZ72" s="25">
        <v>0</v>
      </c>
      <c r="CA72" s="25">
        <v>0</v>
      </c>
      <c r="CB72" s="25">
        <v>0</v>
      </c>
      <c r="CC72" s="25">
        <v>0</v>
      </c>
      <c r="CD72" s="25">
        <v>0</v>
      </c>
      <c r="CE72" s="25">
        <v>0</v>
      </c>
      <c r="CF72" s="25">
        <v>0</v>
      </c>
      <c r="CG72" s="25">
        <v>0</v>
      </c>
      <c r="CH72" s="25">
        <v>0</v>
      </c>
      <c r="CI72" s="25">
        <v>0</v>
      </c>
      <c r="CJ72" s="25">
        <v>0</v>
      </c>
      <c r="CK72" s="25">
        <f t="shared" si="32"/>
        <v>0</v>
      </c>
      <c r="CL72" s="26" cm="1">
        <f t="array" ref="CL72:CW72">IFERROR(VLOOKUP(A72,'[1]Now-OB-kg-POB-25'!A:AQ,{31,32,33,34,35,36,37,38,39,40,41,42},0),0)</f>
        <v>0</v>
      </c>
      <c r="CM72" s="26">
        <v>0</v>
      </c>
      <c r="CN72" s="26">
        <v>0</v>
      </c>
      <c r="CO72" s="26">
        <v>0</v>
      </c>
      <c r="CP72" s="26">
        <v>0</v>
      </c>
      <c r="CQ72" s="26">
        <v>0</v>
      </c>
      <c r="CR72" s="26">
        <v>0</v>
      </c>
      <c r="CS72" s="26">
        <v>0</v>
      </c>
      <c r="CT72" s="26">
        <v>0</v>
      </c>
      <c r="CU72" s="26">
        <v>0</v>
      </c>
      <c r="CV72" s="26">
        <v>0</v>
      </c>
      <c r="CW72" s="26">
        <v>0</v>
      </c>
      <c r="CX72" s="26">
        <f t="shared" si="33"/>
        <v>0</v>
      </c>
      <c r="CY72" s="14" t="str">
        <f>IF(A72=0,0,IFERROR(VLOOKUP(A72,'[1]Info Donantes'!C:F,2,0),"Sin Contacto"))</f>
        <v>Sin Contacto</v>
      </c>
      <c r="CZ72" s="14" t="str">
        <f>IF(A72=0,0,IFERROR(VLOOKUP(A72,'[1]Info Donantes'!C:F,3,0),"Sin Correo"))</f>
        <v>Sin Correo</v>
      </c>
      <c r="DA72" s="14" t="str">
        <f>IF(A72=0,0,IFERROR(VLOOKUP(A72,'[1]Info Donantes'!C:F,4,0),"Sin Telefono"))</f>
        <v>Sin Telefono</v>
      </c>
      <c r="DB72" s="14" t="str">
        <f>IF(A72=0,0,"Reporte de Trazabiidad"&amp;" - "&amp;'[1]Donor Summary'!$C$2&amp;" - "&amp;A72&amp;"")</f>
        <v>Reporte de Trazabiidad -  - PALM LOPEZ AGENCY</v>
      </c>
    </row>
    <row r="73" spans="1:106" x14ac:dyDescent="0.55000000000000004">
      <c r="A73" s="31" t="s">
        <v>235</v>
      </c>
      <c r="B73" s="15">
        <f>INT(IFERROR(VLOOKUP(A73,'[1]Donor Summary'!C:F,3,0),0))</f>
        <v>0</v>
      </c>
      <c r="C73" s="15">
        <f>INT(ROUND(IFERROR(VLOOKUP(A73,'[1]Donor Summary'!C:F,4,0),0),1))</f>
        <v>0</v>
      </c>
      <c r="D73" s="16">
        <f t="shared" si="19"/>
        <v>0</v>
      </c>
      <c r="E73" s="17" t="str">
        <f t="shared" si="20"/>
        <v>0.00%</v>
      </c>
      <c r="F73" s="17" t="str">
        <f t="shared" si="21"/>
        <v>0.0%</v>
      </c>
      <c r="G73" s="15">
        <f t="shared" si="25"/>
        <v>0</v>
      </c>
      <c r="H73" s="18"/>
      <c r="I73" s="18">
        <f>IFERROR(VLOOKUP(A73,'[1]Lot All by Part'!T:Y,6,0),0)</f>
        <v>0</v>
      </c>
      <c r="J73" s="18"/>
      <c r="K73" s="19">
        <f>IFERROR(VLOOKUP($A73,'[1]Donor-Served OBs'!A:N,3,0),0)</f>
        <v>0</v>
      </c>
      <c r="L73" s="19">
        <f>ROUNDUP(IF(A73=0,0,IFERROR(VLOOKUP($A73,'[1]Donor''s Assigned Kilos'!A:O,3,0),0)),0)</f>
        <v>0</v>
      </c>
      <c r="M73" s="19">
        <f>IF(A73=0,0,IFERROR(SUMIFS([1]Population!M:M,[1]Population!J:J,'MASTER-2025'!A73),0))</f>
        <v>0</v>
      </c>
      <c r="N73" s="20">
        <f>IFERROR(VLOOKUP($A73,'[1]Donor-Served OBs'!A:N,4,0),0)</f>
        <v>0</v>
      </c>
      <c r="O73" s="20">
        <f>ROUNDUP(IF(A73=0,0,IFERROR(VLOOKUP($A73,'[1]Donor''s Assigned Kilos'!A:O,4,0),0)),0)</f>
        <v>0</v>
      </c>
      <c r="P73" s="20">
        <f>IF(A73=0,0,IFERROR(SUMIFS([1]Population!N:N,[1]Population!J:J,'MASTER-2025'!A73),0))</f>
        <v>0</v>
      </c>
      <c r="Q73" s="18">
        <f>IFERROR(VLOOKUP($A73,'[1]Donor-Served OBs'!A:N,2,0),0)</f>
        <v>0</v>
      </c>
      <c r="R73" s="18">
        <f>ROUNDUP(ROUND(IF(A73=0,0,IFERROR(VLOOKUP($A73,'[1]Donor''s Assigned Kilos'!A:O,9,0),0)),1),0)</f>
        <v>0</v>
      </c>
      <c r="S73" s="18">
        <f>IF(A73=0,0,IFERROR(SUMIFS([1]Population!S:S,[1]Population!J:J,'MASTER-2025'!A73),0))</f>
        <v>0</v>
      </c>
      <c r="T73" s="19">
        <f>IFERROR(VLOOKUP($A73,'[1]Donor-Served OBs'!A:N,12,0),0)</f>
        <v>0</v>
      </c>
      <c r="U73" s="19">
        <f>ROUNDUP(IF(A73=0,0,IF(A73=0,0,IFERROR(VLOOKUP($A73,'[1]Donor''s Assigned Kilos'!A:O,7,0),0))),0)</f>
        <v>0</v>
      </c>
      <c r="V73" s="19">
        <f>IF(A73=0,0,IFERROR(SUMIFS([1]Population!Q:Q,[1]Population!J:J,'MASTER-2025'!A73),0))</f>
        <v>0</v>
      </c>
      <c r="W73" s="20">
        <f>IFERROR(VLOOKUP($A73,'[1]Donor-Served OBs'!A:N,10,0),0)</f>
        <v>0</v>
      </c>
      <c r="X73" s="20">
        <f>ROUNDUP(IF(A73=0,0,IFERROR(VLOOKUP($A73,'[1]Donor''s Assigned Kilos'!A:N,5,0),0)),0)</f>
        <v>0</v>
      </c>
      <c r="Y73" s="20">
        <f>IF(A73=0,0,IFERROR(SUMIFS([1]Population!O:O,[1]Population!J:J,'MASTER-2025'!A73),0))</f>
        <v>0</v>
      </c>
      <c r="Z73" s="18">
        <f>IFERROR(VLOOKUP($A73,'[1]Donor-Served OBs'!A:N,6,0),0)</f>
        <v>0</v>
      </c>
      <c r="AA73" s="18">
        <f>ROUNDUP(IF(A73=0,0,IFERROR(VLOOKUP($A73,'[1]Donor''s Assigned Kilos'!A:N,11,0),0)),0)</f>
        <v>0</v>
      </c>
      <c r="AB73" s="18">
        <f>IF(A73=0,0,IFERROR(SUMIFS([1]Population!U:U,[1]Population!J:J,'MASTER-2025'!A73),0))</f>
        <v>0</v>
      </c>
      <c r="AC73" s="19">
        <f>IFERROR(VLOOKUP($A73,'[1]Donor-Served OBs'!A:N,7,0),0)</f>
        <v>0</v>
      </c>
      <c r="AD73" s="19">
        <f>ROUNDUP(IF(A73=0,0,IFERROR(VLOOKUP($A73,'[1]Donor''s Assigned Kilos'!A:N,8,0),0)),0)</f>
        <v>0</v>
      </c>
      <c r="AE73" s="19">
        <f>IF(A73=0,0,IFERROR(SUMIFS([1]Population!R:R,[1]Population!J:J,'MASTER-2025'!A73),0))</f>
        <v>0</v>
      </c>
      <c r="AF73" s="20">
        <f>IFERROR(VLOOKUP($A73,'[1]Donor-Served OBs'!A:N,8,0),0)</f>
        <v>0</v>
      </c>
      <c r="AG73" s="20">
        <f>ROUNDUP(IF(A73=0,0,IFERROR(VLOOKUP($A73,'[1]Donor''s Assigned Kilos'!A:N,6,0),0)),0)</f>
        <v>0</v>
      </c>
      <c r="AH73" s="20">
        <f>IF(A73=0,0,IFERROR(SUMIFS([1]Population!P:P,[1]Population!J:J,'MASTER-2025'!A73),0))</f>
        <v>0</v>
      </c>
      <c r="AI73" s="18">
        <f>IFERROR(VLOOKUP($A73,'[1]Donor-Served OBs'!A:N,9,0),0)</f>
        <v>0</v>
      </c>
      <c r="AJ73" s="18">
        <f>ROUNDUP(IF(A73=0,0,IFERROR(VLOOKUP($A73,'[1]Donor''s Assigned Kilos'!A:N,12,0),0)),0)</f>
        <v>0</v>
      </c>
      <c r="AK73" s="18">
        <f>IF(A73=0,0,IFERROR(SUMIFS([1]Population!V:V,[1]Population!J:J,'MASTER-2025'!A73),0))</f>
        <v>0</v>
      </c>
      <c r="AL73" s="19">
        <f>IFERROR(VLOOKUP($A73,'[1]Donor-Served OBs'!A:N,16,0),0)</f>
        <v>0</v>
      </c>
      <c r="AM73" s="19">
        <f>ROUNDUP(IF(A73=0,0,IFERROR(VLOOKUP($A73,'[1]Donor''s Assigned Kilos'!A:O,16,0),0)),0)</f>
        <v>0</v>
      </c>
      <c r="AN73" s="19">
        <f>IF(A73=0,0,IFERROR(SUMIFS([1]Population!Z:Z,[1]Population!J:J,'MASTER-2025'!A73),0))</f>
        <v>0</v>
      </c>
      <c r="AO73" s="20">
        <f>IFERROR(VLOOKUP($A73,'[1]Donor-Served OBs'!A:N,11,0),0)</f>
        <v>0</v>
      </c>
      <c r="AP73" s="20">
        <f>ROUNDUP(IF(A73=0,0,IFERROR(VLOOKUP($A73,'[1]Donor''s Assigned Kilos'!A:N,13,0),0)),0)</f>
        <v>0</v>
      </c>
      <c r="AQ73" s="20">
        <f>IF(A73=0,0,IFERROR(SUMIFS([1]Population!W:W,[1]Population!J:J,'MASTER-2025'!A73),0))</f>
        <v>0</v>
      </c>
      <c r="AR73" s="18">
        <f>IFERROR(VLOOKUP($A73,'[1]Donor-Served OBs'!A:N,5,0),0)</f>
        <v>0</v>
      </c>
      <c r="AS73" s="18">
        <f>ROUNDUP(IF(A73=0,0,IFERROR(VLOOKUP($A73,'[1]Donor''s Assigned Kilos'!A:N,10,0),0)),0)</f>
        <v>0</v>
      </c>
      <c r="AT73" s="18">
        <f>IF(A73=0,0,IFERROR(SUMIFS([1]Population!T:T,[1]Population!J:J,'MASTER-2025'!A73),0))</f>
        <v>0</v>
      </c>
      <c r="AU73" s="19">
        <f>IFERROR(VLOOKUP($A73,'[1]Donor-Served OBs'!A:N,13,0),0)</f>
        <v>0</v>
      </c>
      <c r="AV73" s="19">
        <f>ROUNDUP(IF(A73=0,0,IFERROR(VLOOKUP($A73,'[1]Donor''s Assigned Kilos'!A:N,14,0),0)),0)</f>
        <v>0</v>
      </c>
      <c r="AW73" s="19">
        <f>IF(A73=0,0,IFERROR(SUMIFS([1]Population!X:X,[1]Population!J:J,'MASTER-2025'!A73),0))</f>
        <v>0</v>
      </c>
      <c r="AX73" s="20">
        <f>IFERROR(VLOOKUP($A73,'[1]Donor-Served OBs'!A:N,16,0),0)</f>
        <v>0</v>
      </c>
      <c r="AY73" s="20">
        <f>ROUNDUP(IF(A73=0,0,IFERROR(VLOOKUP($A73,'[1]Donor''s Assigned Kilos'!A:O,16,0),0)),0)</f>
        <v>0</v>
      </c>
      <c r="AZ73" s="20">
        <f>IF(A73=0,0,IFERROR(SUMIFS([1]Population!Y:Y,[1]Population!J:J,'MASTER-2025'!A73),0))</f>
        <v>0</v>
      </c>
      <c r="BA73" s="21">
        <f t="shared" si="15"/>
        <v>0</v>
      </c>
      <c r="BB73" s="21">
        <f t="shared" si="29"/>
        <v>0</v>
      </c>
      <c r="BC73" s="21">
        <f t="shared" si="24"/>
        <v>0</v>
      </c>
      <c r="BD73" s="21">
        <f t="shared" si="26"/>
        <v>0</v>
      </c>
      <c r="BE73" s="22" t="e">
        <f>IF(A73=0,0,SUMIFS([1]Population!C:C,[1]Population!A:A,'MASTER-2025'!A73))</f>
        <v>#VALUE!</v>
      </c>
      <c r="BF73" s="22" t="e">
        <f>IF(A73=0,0,SUMIFS([1]Population!D:D,[1]Population!A:A,'MASTER-2025'!A73))</f>
        <v>#VALUE!</v>
      </c>
      <c r="BG73" s="22" t="e">
        <f>IF(A73=0,0,SUMIFS([1]Population!E:E,[1]Population!A:A,'MASTER-2025'!A73))</f>
        <v>#VALUE!</v>
      </c>
      <c r="BH73" s="22" t="e">
        <f>IF(A73=0,0,SUMIFS([1]Population!F:F,[1]Population!A:A,'MASTER-2025'!A73))</f>
        <v>#VALUE!</v>
      </c>
      <c r="BI73" s="22" t="e">
        <f t="shared" si="18"/>
        <v>#VALUE!</v>
      </c>
      <c r="BJ73" s="23" t="e">
        <f t="shared" si="30"/>
        <v>#VALUE!</v>
      </c>
      <c r="BK73" s="22" t="e">
        <f>IF(A73=0,0,SUMIFS([1]Population!G:G,[1]Population!A:A,'MASTER-2025'!A73))</f>
        <v>#VALUE!</v>
      </c>
      <c r="BL73" s="24" cm="1">
        <f t="array" ref="BL73:BW73">IFERROR(VLOOKUP(A73,'[1]Now-OB-kg-POB-25'!A:AQ,{3,4,5,6,7,8,9,10,11,12,13,14},0),0)</f>
        <v>0</v>
      </c>
      <c r="BM73" s="24">
        <v>0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24">
        <v>0</v>
      </c>
      <c r="BU73" s="24">
        <v>0</v>
      </c>
      <c r="BV73" s="24">
        <v>0</v>
      </c>
      <c r="BW73" s="24">
        <v>0</v>
      </c>
      <c r="BX73" s="24">
        <f t="shared" si="31"/>
        <v>0</v>
      </c>
      <c r="BY73" s="25" cm="1">
        <f t="array" ref="BY73:CJ73">IFERROR(VLOOKUP(A73,'[1]Now-OB-kg-POB-25'!A:AQ,{17,18,19,20,21,22,23,24,25,26,27,28},0),0)</f>
        <v>0</v>
      </c>
      <c r="BZ73" s="25">
        <v>0</v>
      </c>
      <c r="CA73" s="25">
        <v>0</v>
      </c>
      <c r="CB73" s="25">
        <v>0</v>
      </c>
      <c r="CC73" s="25">
        <v>0</v>
      </c>
      <c r="CD73" s="25">
        <v>0</v>
      </c>
      <c r="CE73" s="25">
        <v>0</v>
      </c>
      <c r="CF73" s="25">
        <v>0</v>
      </c>
      <c r="CG73" s="25">
        <v>0</v>
      </c>
      <c r="CH73" s="25">
        <v>0</v>
      </c>
      <c r="CI73" s="25">
        <v>0</v>
      </c>
      <c r="CJ73" s="25">
        <v>0</v>
      </c>
      <c r="CK73" s="25">
        <f t="shared" si="32"/>
        <v>0</v>
      </c>
      <c r="CL73" s="26" cm="1">
        <f t="array" ref="CL73:CW73">IFERROR(VLOOKUP(A73,'[1]Now-OB-kg-POB-25'!A:AQ,{31,32,33,34,35,36,37,38,39,40,41,42},0),0)</f>
        <v>0</v>
      </c>
      <c r="CM73" s="26">
        <v>0</v>
      </c>
      <c r="CN73" s="26">
        <v>0</v>
      </c>
      <c r="CO73" s="26">
        <v>0</v>
      </c>
      <c r="CP73" s="26">
        <v>0</v>
      </c>
      <c r="CQ73" s="26">
        <v>0</v>
      </c>
      <c r="CR73" s="26">
        <v>0</v>
      </c>
      <c r="CS73" s="26">
        <v>0</v>
      </c>
      <c r="CT73" s="26">
        <v>0</v>
      </c>
      <c r="CU73" s="26">
        <v>0</v>
      </c>
      <c r="CV73" s="26">
        <v>0</v>
      </c>
      <c r="CW73" s="26">
        <v>0</v>
      </c>
      <c r="CX73" s="26">
        <f t="shared" si="33"/>
        <v>0</v>
      </c>
      <c r="CY73" s="14" t="str">
        <f>IF(A73=0,0,IFERROR(VLOOKUP(A73,'[1]Info Donantes'!C:F,2,0),"Sin Contacto"))</f>
        <v>Sin Contacto</v>
      </c>
      <c r="CZ73" s="14" t="str">
        <f>IF(A73=0,0,IFERROR(VLOOKUP(A73,'[1]Info Donantes'!C:F,3,0),"Sin Correo"))</f>
        <v>Sin Correo</v>
      </c>
      <c r="DA73" s="14" t="str">
        <f>IF(A73=0,0,IFERROR(VLOOKUP(A73,'[1]Info Donantes'!C:F,4,0),"Sin Telefono"))</f>
        <v>Sin Telefono</v>
      </c>
      <c r="DB73" s="14" t="str">
        <f>IF(A73=0,0,"Reporte de Trazabiidad"&amp;" - "&amp;'[1]Donor Summary'!$C$2&amp;" - "&amp;A73&amp;"")</f>
        <v>Reporte de Trazabiidad -  - AGROINVESA - Agroindustrias Alimentarias de Veraguas, S.A. - La Parmigiana</v>
      </c>
    </row>
    <row r="74" spans="1:106" x14ac:dyDescent="0.55000000000000004">
      <c r="A74" s="31" t="s">
        <v>236</v>
      </c>
      <c r="B74" s="15">
        <f>INT(IFERROR(VLOOKUP(A74,'[1]Donor Summary'!C:F,3,0),0))</f>
        <v>0</v>
      </c>
      <c r="C74" s="15">
        <f>INT(ROUND(IFERROR(VLOOKUP(A74,'[1]Donor Summary'!C:F,4,0),0),1))</f>
        <v>46</v>
      </c>
      <c r="D74" s="16">
        <f t="shared" si="19"/>
        <v>46</v>
      </c>
      <c r="E74" s="17" t="str">
        <f t="shared" si="20"/>
        <v>100.00%</v>
      </c>
      <c r="F74" s="17" t="str">
        <f t="shared" si="21"/>
        <v>0.0%</v>
      </c>
      <c r="G74" s="15">
        <f t="shared" si="25"/>
        <v>138</v>
      </c>
      <c r="H74" s="18"/>
      <c r="I74" s="18">
        <f>IFERROR(VLOOKUP(A74,'[1]Lot All by Part'!T:Y,6,0),0)</f>
        <v>0</v>
      </c>
      <c r="J74" s="18"/>
      <c r="K74" s="19">
        <f>IFERROR(VLOOKUP($A74,'[1]Donor-Served OBs'!A:N,3,0),0)</f>
        <v>6</v>
      </c>
      <c r="L74" s="19">
        <f>ROUNDUP(IF(A74=0,0,IFERROR(VLOOKUP($A74,'[1]Donor''s Assigned Kilos'!A:O,3,0),0)),0)</f>
        <v>14</v>
      </c>
      <c r="M74" s="19">
        <f>IF(A74=0,0,IFERROR(SUMIFS([1]Population!M:M,[1]Population!J:J,'MASTER-2025'!A74),0))</f>
        <v>0</v>
      </c>
      <c r="N74" s="20">
        <f>IFERROR(VLOOKUP($A74,'[1]Donor-Served OBs'!A:N,4,0),0)</f>
        <v>7</v>
      </c>
      <c r="O74" s="20">
        <f>ROUNDUP(IF(A74=0,0,IFERROR(VLOOKUP($A74,'[1]Donor''s Assigned Kilos'!A:O,4,0),0)),0)</f>
        <v>12</v>
      </c>
      <c r="P74" s="20">
        <f>IF(A74=0,0,IFERROR(SUMIFS([1]Population!N:N,[1]Population!J:J,'MASTER-2025'!A74),0))</f>
        <v>0</v>
      </c>
      <c r="Q74" s="18">
        <f>IFERROR(VLOOKUP($A74,'[1]Donor-Served OBs'!A:N,2,0),0)</f>
        <v>2</v>
      </c>
      <c r="R74" s="18">
        <f>ROUNDUP(ROUND(IF(A74=0,0,IFERROR(VLOOKUP($A74,'[1]Donor''s Assigned Kilos'!A:O,9,0),0)),1),0)</f>
        <v>3</v>
      </c>
      <c r="S74" s="18">
        <f>IF(A74=0,0,IFERROR(SUMIFS([1]Population!S:S,[1]Population!J:J,'MASTER-2025'!A74),0))</f>
        <v>0</v>
      </c>
      <c r="T74" s="19">
        <f>IFERROR(VLOOKUP($A74,'[1]Donor-Served OBs'!A:N,12,0),0)</f>
        <v>2</v>
      </c>
      <c r="U74" s="19">
        <f>ROUNDUP(IF(A74=0,0,IF(A74=0,0,IFERROR(VLOOKUP($A74,'[1]Donor''s Assigned Kilos'!A:O,7,0),0))),0)</f>
        <v>3</v>
      </c>
      <c r="V74" s="19">
        <f>IF(A74=0,0,IFERROR(SUMIFS([1]Population!Q:Q,[1]Population!J:J,'MASTER-2025'!A74),0))</f>
        <v>0</v>
      </c>
      <c r="W74" s="20">
        <f>IFERROR(VLOOKUP($A74,'[1]Donor-Served OBs'!A:N,10,0),0)</f>
        <v>6</v>
      </c>
      <c r="X74" s="20">
        <f>ROUNDUP(IF(A74=0,0,IFERROR(VLOOKUP($A74,'[1]Donor''s Assigned Kilos'!A:N,5,0),0)),0)</f>
        <v>12</v>
      </c>
      <c r="Y74" s="20">
        <f>IF(A74=0,0,IFERROR(SUMIFS([1]Population!O:O,[1]Population!J:J,'MASTER-2025'!A74),0))</f>
        <v>0</v>
      </c>
      <c r="Z74" s="18">
        <f>IFERROR(VLOOKUP($A74,'[1]Donor-Served OBs'!A:N,6,0),0)</f>
        <v>0</v>
      </c>
      <c r="AA74" s="18">
        <f>ROUNDUP(IF(A74=0,0,IFERROR(VLOOKUP($A74,'[1]Donor''s Assigned Kilos'!A:N,11,0),0)),0)</f>
        <v>0</v>
      </c>
      <c r="AB74" s="18">
        <f>IF(A74=0,0,IFERROR(SUMIFS([1]Population!U:U,[1]Population!J:J,'MASTER-2025'!A74),0))</f>
        <v>0</v>
      </c>
      <c r="AC74" s="19">
        <f>IFERROR(VLOOKUP($A74,'[1]Donor-Served OBs'!A:N,7,0),0)</f>
        <v>0</v>
      </c>
      <c r="AD74" s="19">
        <f>ROUNDUP(IF(A74=0,0,IFERROR(VLOOKUP($A74,'[1]Donor''s Assigned Kilos'!A:N,8,0),0)),0)</f>
        <v>0</v>
      </c>
      <c r="AE74" s="19">
        <f>IF(A74=0,0,IFERROR(SUMIFS([1]Population!R:R,[1]Population!J:J,'MASTER-2025'!A74),0))</f>
        <v>0</v>
      </c>
      <c r="AF74" s="20">
        <f>IFERROR(VLOOKUP($A74,'[1]Donor-Served OBs'!A:N,8,0),0)</f>
        <v>1</v>
      </c>
      <c r="AG74" s="20">
        <f>ROUNDUP(IF(A74=0,0,IFERROR(VLOOKUP($A74,'[1]Donor''s Assigned Kilos'!A:N,6,0),0)),0)</f>
        <v>3</v>
      </c>
      <c r="AH74" s="20">
        <f>IF(A74=0,0,IFERROR(SUMIFS([1]Population!P:P,[1]Population!J:J,'MASTER-2025'!A74),0))</f>
        <v>0</v>
      </c>
      <c r="AI74" s="18">
        <f>IFERROR(VLOOKUP($A74,'[1]Donor-Served OBs'!A:N,9,0),0)</f>
        <v>0</v>
      </c>
      <c r="AJ74" s="18">
        <f>ROUNDUP(IF(A74=0,0,IFERROR(VLOOKUP($A74,'[1]Donor''s Assigned Kilos'!A:N,12,0),0)),0)</f>
        <v>0</v>
      </c>
      <c r="AK74" s="18">
        <f>IF(A74=0,0,IFERROR(SUMIFS([1]Population!V:V,[1]Population!J:J,'MASTER-2025'!A74),0))</f>
        <v>0</v>
      </c>
      <c r="AL74" s="19">
        <f>IFERROR(VLOOKUP($A74,'[1]Donor-Served OBs'!A:N,16,0),0)</f>
        <v>0</v>
      </c>
      <c r="AM74" s="19">
        <f>ROUNDUP(IF(A74=0,0,IFERROR(VLOOKUP($A74,'[1]Donor''s Assigned Kilos'!A:O,16,0),0)),0)</f>
        <v>0</v>
      </c>
      <c r="AN74" s="19">
        <f>IF(A74=0,0,IFERROR(SUMIFS([1]Population!Z:Z,[1]Population!J:J,'MASTER-2025'!A74),0))</f>
        <v>0</v>
      </c>
      <c r="AO74" s="20">
        <f>IFERROR(VLOOKUP($A74,'[1]Donor-Served OBs'!A:N,11,0),0)</f>
        <v>0</v>
      </c>
      <c r="AP74" s="20">
        <f>ROUNDUP(IF(A74=0,0,IFERROR(VLOOKUP($A74,'[1]Donor''s Assigned Kilos'!A:N,13,0),0)),0)</f>
        <v>0</v>
      </c>
      <c r="AQ74" s="20">
        <f>IF(A74=0,0,IFERROR(SUMIFS([1]Population!W:W,[1]Population!J:J,'MASTER-2025'!A74),0))</f>
        <v>0</v>
      </c>
      <c r="AR74" s="18">
        <f>IFERROR(VLOOKUP($A74,'[1]Donor-Served OBs'!A:N,5,0),0)</f>
        <v>0</v>
      </c>
      <c r="AS74" s="18">
        <f>ROUNDUP(IF(A74=0,0,IFERROR(VLOOKUP($A74,'[1]Donor''s Assigned Kilos'!A:N,10,0),0)),0)</f>
        <v>0</v>
      </c>
      <c r="AT74" s="18">
        <f>IF(A74=0,0,IFERROR(SUMIFS([1]Population!T:T,[1]Population!J:J,'MASTER-2025'!A74),0))</f>
        <v>0</v>
      </c>
      <c r="AU74" s="19">
        <f>IFERROR(VLOOKUP($A74,'[1]Donor-Served OBs'!A:N,13,0),0)</f>
        <v>0</v>
      </c>
      <c r="AV74" s="19">
        <f>ROUNDUP(IF(A74=0,0,IFERROR(VLOOKUP($A74,'[1]Donor''s Assigned Kilos'!A:N,14,0),0)),0)</f>
        <v>0</v>
      </c>
      <c r="AW74" s="19">
        <f>IF(A74=0,0,IFERROR(SUMIFS([1]Population!X:X,[1]Population!J:J,'MASTER-2025'!A74),0))</f>
        <v>0</v>
      </c>
      <c r="AX74" s="20">
        <f>IFERROR(VLOOKUP($A74,'[1]Donor-Served OBs'!A:N,16,0),0)</f>
        <v>0</v>
      </c>
      <c r="AY74" s="20">
        <f>ROUNDUP(IF(A74=0,0,IFERROR(VLOOKUP($A74,'[1]Donor''s Assigned Kilos'!A:O,16,0),0)),0)</f>
        <v>0</v>
      </c>
      <c r="AZ74" s="20">
        <f>IF(A74=0,0,IFERROR(SUMIFS([1]Population!Y:Y,[1]Population!J:J,'MASTER-2025'!A74),0))</f>
        <v>0</v>
      </c>
      <c r="BA74" s="21">
        <f t="shared" si="15"/>
        <v>24</v>
      </c>
      <c r="BB74" s="21">
        <f t="shared" si="29"/>
        <v>47</v>
      </c>
      <c r="BC74" s="21">
        <f t="shared" si="24"/>
        <v>32</v>
      </c>
      <c r="BD74" s="21">
        <f t="shared" si="26"/>
        <v>0</v>
      </c>
      <c r="BE74" s="22" t="e">
        <f>IF(A74=0,0,SUMIFS([1]Population!C:C,[1]Population!A:A,'MASTER-2025'!A74))</f>
        <v>#VALUE!</v>
      </c>
      <c r="BF74" s="22" t="e">
        <f>IF(A74=0,0,SUMIFS([1]Population!D:D,[1]Population!A:A,'MASTER-2025'!A74))</f>
        <v>#VALUE!</v>
      </c>
      <c r="BG74" s="22" t="e">
        <f>IF(A74=0,0,SUMIFS([1]Population!E:E,[1]Population!A:A,'MASTER-2025'!A74))</f>
        <v>#VALUE!</v>
      </c>
      <c r="BH74" s="22" t="e">
        <f>IF(A74=0,0,SUMIFS([1]Population!F:F,[1]Population!A:A,'MASTER-2025'!A74))</f>
        <v>#VALUE!</v>
      </c>
      <c r="BI74" s="22" t="e">
        <f t="shared" si="18"/>
        <v>#VALUE!</v>
      </c>
      <c r="BJ74" s="23" t="e">
        <f t="shared" si="30"/>
        <v>#VALUE!</v>
      </c>
      <c r="BK74" s="22" t="e">
        <f>IF(A74=0,0,SUMIFS([1]Population!G:G,[1]Population!A:A,'MASTER-2025'!A74))</f>
        <v>#VALUE!</v>
      </c>
      <c r="BL74" s="24" cm="1">
        <f t="array" ref="BL74:BW74">IFERROR(VLOOKUP(A74,'[1]Now-OB-kg-POB-25'!A:AQ,{3,4,5,6,7,8,9,10,11,12,13,14},0),0)</f>
        <v>0</v>
      </c>
      <c r="BM74" s="24">
        <v>0</v>
      </c>
      <c r="BN74" s="24">
        <v>24</v>
      </c>
      <c r="BO74" s="24">
        <v>0</v>
      </c>
      <c r="BP74" s="24">
        <v>0</v>
      </c>
      <c r="BQ74" s="24">
        <v>0</v>
      </c>
      <c r="BR74" s="24">
        <v>0</v>
      </c>
      <c r="BS74" s="24">
        <v>0</v>
      </c>
      <c r="BT74" s="24">
        <v>0</v>
      </c>
      <c r="BU74" s="24">
        <v>0</v>
      </c>
      <c r="BV74" s="24">
        <v>0</v>
      </c>
      <c r="BW74" s="24">
        <v>0</v>
      </c>
      <c r="BX74" s="24">
        <f t="shared" si="31"/>
        <v>24</v>
      </c>
      <c r="BY74" s="25" cm="1">
        <f t="array" ref="BY74:CJ74">IFERROR(VLOOKUP(A74,'[1]Now-OB-kg-POB-25'!A:AQ,{17,18,19,20,21,22,23,24,25,26,27,28},0),0)</f>
        <v>0</v>
      </c>
      <c r="BZ74" s="25">
        <v>0</v>
      </c>
      <c r="CA74" s="25">
        <v>46</v>
      </c>
      <c r="CB74" s="25">
        <v>0</v>
      </c>
      <c r="CC74" s="25">
        <v>0</v>
      </c>
      <c r="CD74" s="25">
        <v>0</v>
      </c>
      <c r="CE74" s="25">
        <v>0</v>
      </c>
      <c r="CF74" s="25">
        <v>0</v>
      </c>
      <c r="CG74" s="25">
        <v>0</v>
      </c>
      <c r="CH74" s="25">
        <v>0</v>
      </c>
      <c r="CI74" s="25">
        <v>0</v>
      </c>
      <c r="CJ74" s="25">
        <v>0</v>
      </c>
      <c r="CK74" s="25">
        <f t="shared" si="32"/>
        <v>46</v>
      </c>
      <c r="CL74" s="26" cm="1">
        <f t="array" ref="CL74:CW74">IFERROR(VLOOKUP(A74,'[1]Now-OB-kg-POB-25'!A:AQ,{31,32,33,34,35,36,37,38,39,40,41,42},0),0)</f>
        <v>0</v>
      </c>
      <c r="CM74" s="26">
        <v>0</v>
      </c>
      <c r="CN74" s="26">
        <v>6259</v>
      </c>
      <c r="CO74" s="26">
        <v>0</v>
      </c>
      <c r="CP74" s="26">
        <v>0</v>
      </c>
      <c r="CQ74" s="26">
        <v>0</v>
      </c>
      <c r="CR74" s="26">
        <v>0</v>
      </c>
      <c r="CS74" s="26">
        <v>0</v>
      </c>
      <c r="CT74" s="26">
        <v>0</v>
      </c>
      <c r="CU74" s="26">
        <v>0</v>
      </c>
      <c r="CV74" s="26">
        <v>0</v>
      </c>
      <c r="CW74" s="26">
        <v>0</v>
      </c>
      <c r="CX74" s="26">
        <f t="shared" si="33"/>
        <v>6259</v>
      </c>
      <c r="CY74" s="14" t="str">
        <f>IF(A74=0,0,IFERROR(VLOOKUP(A74,'[1]Info Donantes'!C:F,2,0),"Sin Contacto"))</f>
        <v>Amado Barrios</v>
      </c>
      <c r="CZ74" s="14" t="str">
        <f>IF(A74=0,0,IFERROR(VLOOKUP(A74,'[1]Info Donantes'!C:F,3,0),"Sin Correo"))</f>
        <v>abarrios@super99.com</v>
      </c>
      <c r="DA74" s="14" t="str">
        <f>IF(A74=0,0,IFERROR(VLOOKUP(A74,'[1]Info Donantes'!C:F,4,0),"Sin Telefono"))</f>
        <v>323 8700</v>
      </c>
      <c r="DB74" s="14" t="str">
        <f>IF(A74=0,0,"Reporte de Trazabiidad"&amp;" - "&amp;'[1]Donor Summary'!$C$2&amp;" - "&amp;A74&amp;"")</f>
        <v>Reporte de Trazabiidad -  - IMPORTADORA RICAMAR - SUPER 99</v>
      </c>
    </row>
    <row r="75" spans="1:106" x14ac:dyDescent="0.55000000000000004">
      <c r="A75" s="31" t="s">
        <v>237</v>
      </c>
      <c r="B75" s="15">
        <f>INT(IFERROR(VLOOKUP(A75,'[1]Donor Summary'!C:F,3,0),0))</f>
        <v>0</v>
      </c>
      <c r="C75" s="15">
        <f>INT(ROUND(IFERROR(VLOOKUP(A75,'[1]Donor Summary'!C:F,4,0),0),1))</f>
        <v>0</v>
      </c>
      <c r="D75" s="16">
        <f t="shared" si="19"/>
        <v>0</v>
      </c>
      <c r="E75" s="17" t="str">
        <f t="shared" si="20"/>
        <v>0.00%</v>
      </c>
      <c r="F75" s="17" t="str">
        <f t="shared" si="21"/>
        <v>0.0%</v>
      </c>
      <c r="G75" s="15">
        <f t="shared" si="25"/>
        <v>0</v>
      </c>
      <c r="H75" s="18"/>
      <c r="I75" s="18">
        <f>IFERROR(VLOOKUP(A75,'[1]Lot All by Part'!T:Y,6,0),0)</f>
        <v>0</v>
      </c>
      <c r="J75" s="18"/>
      <c r="K75" s="19">
        <f>IFERROR(VLOOKUP($A75,'[1]Donor-Served OBs'!A:N,3,0),0)</f>
        <v>0</v>
      </c>
      <c r="L75" s="19">
        <f>ROUNDUP(IF(A75=0,0,IFERROR(VLOOKUP($A75,'[1]Donor''s Assigned Kilos'!A:O,3,0),0)),0)</f>
        <v>0</v>
      </c>
      <c r="M75" s="19">
        <f>IF(A75=0,0,IFERROR(SUMIFS([1]Population!M:M,[1]Population!J:J,'MASTER-2025'!A75),0))</f>
        <v>0</v>
      </c>
      <c r="N75" s="20">
        <f>IFERROR(VLOOKUP($A75,'[1]Donor-Served OBs'!A:N,4,0),0)</f>
        <v>0</v>
      </c>
      <c r="O75" s="20">
        <f>ROUNDUP(IF(A75=0,0,IFERROR(VLOOKUP($A75,'[1]Donor''s Assigned Kilos'!A:O,4,0),0)),0)</f>
        <v>0</v>
      </c>
      <c r="P75" s="20">
        <f>IF(A75=0,0,IFERROR(SUMIFS([1]Population!N:N,[1]Population!J:J,'MASTER-2025'!A75),0))</f>
        <v>0</v>
      </c>
      <c r="Q75" s="18">
        <f>IFERROR(VLOOKUP($A75,'[1]Donor-Served OBs'!A:N,2,0),0)</f>
        <v>0</v>
      </c>
      <c r="R75" s="18">
        <f>ROUNDUP(ROUND(IF(A75=0,0,IFERROR(VLOOKUP($A75,'[1]Donor''s Assigned Kilos'!A:O,9,0),0)),1),0)</f>
        <v>0</v>
      </c>
      <c r="S75" s="18">
        <f>IF(A75=0,0,IFERROR(SUMIFS([1]Population!S:S,[1]Population!J:J,'MASTER-2025'!A75),0))</f>
        <v>0</v>
      </c>
      <c r="T75" s="19">
        <f>IFERROR(VLOOKUP($A75,'[1]Donor-Served OBs'!A:N,12,0),0)</f>
        <v>0</v>
      </c>
      <c r="U75" s="19">
        <f>ROUNDUP(IF(A75=0,0,IF(A75=0,0,IFERROR(VLOOKUP($A75,'[1]Donor''s Assigned Kilos'!A:O,7,0),0))),0)</f>
        <v>0</v>
      </c>
      <c r="V75" s="19">
        <f>IF(A75=0,0,IFERROR(SUMIFS([1]Population!Q:Q,[1]Population!J:J,'MASTER-2025'!A75),0))</f>
        <v>0</v>
      </c>
      <c r="W75" s="20">
        <f>IFERROR(VLOOKUP($A75,'[1]Donor-Served OBs'!A:N,10,0),0)</f>
        <v>0</v>
      </c>
      <c r="X75" s="20">
        <f>ROUNDUP(IF(A75=0,0,IFERROR(VLOOKUP($A75,'[1]Donor''s Assigned Kilos'!A:N,5,0),0)),0)</f>
        <v>0</v>
      </c>
      <c r="Y75" s="20">
        <f>IF(A75=0,0,IFERROR(SUMIFS([1]Population!O:O,[1]Population!J:J,'MASTER-2025'!A75),0))</f>
        <v>0</v>
      </c>
      <c r="Z75" s="18">
        <f>IFERROR(VLOOKUP($A75,'[1]Donor-Served OBs'!A:N,6,0),0)</f>
        <v>0</v>
      </c>
      <c r="AA75" s="18">
        <f>ROUNDUP(IF(A75=0,0,IFERROR(VLOOKUP($A75,'[1]Donor''s Assigned Kilos'!A:N,11,0),0)),0)</f>
        <v>0</v>
      </c>
      <c r="AB75" s="18">
        <f>IF(A75=0,0,IFERROR(SUMIFS([1]Population!U:U,[1]Population!J:J,'MASTER-2025'!A75),0))</f>
        <v>0</v>
      </c>
      <c r="AC75" s="19">
        <f>IFERROR(VLOOKUP($A75,'[1]Donor-Served OBs'!A:N,7,0),0)</f>
        <v>0</v>
      </c>
      <c r="AD75" s="19">
        <f>ROUNDUP(IF(A75=0,0,IFERROR(VLOOKUP($A75,'[1]Donor''s Assigned Kilos'!A:N,8,0),0)),0)</f>
        <v>0</v>
      </c>
      <c r="AE75" s="19">
        <f>IF(A75=0,0,IFERROR(SUMIFS([1]Population!R:R,[1]Population!J:J,'MASTER-2025'!A75),0))</f>
        <v>0</v>
      </c>
      <c r="AF75" s="20">
        <f>IFERROR(VLOOKUP($A75,'[1]Donor-Served OBs'!A:N,8,0),0)</f>
        <v>0</v>
      </c>
      <c r="AG75" s="20">
        <f>ROUNDUP(IF(A75=0,0,IFERROR(VLOOKUP($A75,'[1]Donor''s Assigned Kilos'!A:N,6,0),0)),0)</f>
        <v>0</v>
      </c>
      <c r="AH75" s="20">
        <f>IF(A75=0,0,IFERROR(SUMIFS([1]Population!P:P,[1]Population!J:J,'MASTER-2025'!A75),0))</f>
        <v>0</v>
      </c>
      <c r="AI75" s="18">
        <f>IFERROR(VLOOKUP($A75,'[1]Donor-Served OBs'!A:N,9,0),0)</f>
        <v>0</v>
      </c>
      <c r="AJ75" s="18">
        <f>ROUNDUP(IF(A75=0,0,IFERROR(VLOOKUP($A75,'[1]Donor''s Assigned Kilos'!A:N,12,0),0)),0)</f>
        <v>0</v>
      </c>
      <c r="AK75" s="18">
        <f>IF(A75=0,0,IFERROR(SUMIFS([1]Population!V:V,[1]Population!J:J,'MASTER-2025'!A75),0))</f>
        <v>0</v>
      </c>
      <c r="AL75" s="19">
        <f>IFERROR(VLOOKUP($A75,'[1]Donor-Served OBs'!A:N,16,0),0)</f>
        <v>0</v>
      </c>
      <c r="AM75" s="19">
        <f>ROUNDUP(IF(A75=0,0,IFERROR(VLOOKUP($A75,'[1]Donor''s Assigned Kilos'!A:O,16,0),0)),0)</f>
        <v>0</v>
      </c>
      <c r="AN75" s="19">
        <f>IF(A75=0,0,IFERROR(SUMIFS([1]Population!Z:Z,[1]Population!J:J,'MASTER-2025'!A75),0))</f>
        <v>0</v>
      </c>
      <c r="AO75" s="20">
        <f>IFERROR(VLOOKUP($A75,'[1]Donor-Served OBs'!A:N,11,0),0)</f>
        <v>0</v>
      </c>
      <c r="AP75" s="20">
        <f>ROUNDUP(IF(A75=0,0,IFERROR(VLOOKUP($A75,'[1]Donor''s Assigned Kilos'!A:N,13,0),0)),0)</f>
        <v>0</v>
      </c>
      <c r="AQ75" s="20">
        <f>IF(A75=0,0,IFERROR(SUMIFS([1]Population!W:W,[1]Population!J:J,'MASTER-2025'!A75),0))</f>
        <v>0</v>
      </c>
      <c r="AR75" s="18">
        <f>IFERROR(VLOOKUP($A75,'[1]Donor-Served OBs'!A:N,5,0),0)</f>
        <v>0</v>
      </c>
      <c r="AS75" s="18">
        <f>ROUNDUP(IF(A75=0,0,IFERROR(VLOOKUP($A75,'[1]Donor''s Assigned Kilos'!A:N,10,0),0)),0)</f>
        <v>0</v>
      </c>
      <c r="AT75" s="18">
        <f>IF(A75=0,0,IFERROR(SUMIFS([1]Population!T:T,[1]Population!J:J,'MASTER-2025'!A75),0))</f>
        <v>0</v>
      </c>
      <c r="AU75" s="19">
        <f>IFERROR(VLOOKUP($A75,'[1]Donor-Served OBs'!A:N,13,0),0)</f>
        <v>0</v>
      </c>
      <c r="AV75" s="19">
        <f>ROUNDUP(IF(A75=0,0,IFERROR(VLOOKUP($A75,'[1]Donor''s Assigned Kilos'!A:N,14,0),0)),0)</f>
        <v>0</v>
      </c>
      <c r="AW75" s="19">
        <f>IF(A75=0,0,IFERROR(SUMIFS([1]Population!X:X,[1]Population!J:J,'MASTER-2025'!A75),0))</f>
        <v>0</v>
      </c>
      <c r="AX75" s="20">
        <f>IFERROR(VLOOKUP($A75,'[1]Donor-Served OBs'!A:N,16,0),0)</f>
        <v>0</v>
      </c>
      <c r="AY75" s="20">
        <f>ROUNDUP(IF(A75=0,0,IFERROR(VLOOKUP($A75,'[1]Donor''s Assigned Kilos'!A:O,16,0),0)),0)</f>
        <v>0</v>
      </c>
      <c r="AZ75" s="20">
        <f>IF(A75=0,0,IFERROR(SUMIFS([1]Population!Y:Y,[1]Population!J:J,'MASTER-2025'!A75),0))</f>
        <v>0</v>
      </c>
      <c r="BA75" s="21">
        <f t="shared" si="15"/>
        <v>0</v>
      </c>
      <c r="BB75" s="21">
        <f t="shared" si="29"/>
        <v>0</v>
      </c>
      <c r="BC75" s="21">
        <f t="shared" si="24"/>
        <v>0</v>
      </c>
      <c r="BD75" s="21">
        <f t="shared" si="26"/>
        <v>0</v>
      </c>
      <c r="BE75" s="22" t="e">
        <f>IF(A75=0,0,SUMIFS([1]Population!C:C,[1]Population!A:A,'MASTER-2025'!A75))</f>
        <v>#VALUE!</v>
      </c>
      <c r="BF75" s="22" t="e">
        <f>IF(A75=0,0,SUMIFS([1]Population!D:D,[1]Population!A:A,'MASTER-2025'!A75))</f>
        <v>#VALUE!</v>
      </c>
      <c r="BG75" s="22" t="e">
        <f>IF(A75=0,0,SUMIFS([1]Population!E:E,[1]Population!A:A,'MASTER-2025'!A75))</f>
        <v>#VALUE!</v>
      </c>
      <c r="BH75" s="22" t="e">
        <f>IF(A75=0,0,SUMIFS([1]Population!F:F,[1]Population!A:A,'MASTER-2025'!A75))</f>
        <v>#VALUE!</v>
      </c>
      <c r="BI75" s="22" t="e">
        <f t="shared" si="18"/>
        <v>#VALUE!</v>
      </c>
      <c r="BJ75" s="23" t="e">
        <f t="shared" si="30"/>
        <v>#VALUE!</v>
      </c>
      <c r="BK75" s="22" t="e">
        <f>IF(A75=0,0,SUMIFS([1]Population!G:G,[1]Population!A:A,'MASTER-2025'!A75))</f>
        <v>#VALUE!</v>
      </c>
      <c r="BL75" s="24" cm="1">
        <f t="array" ref="BL75:BW75">IFERROR(VLOOKUP(A75,'[1]Now-OB-kg-POB-25'!A:AQ,{3,4,5,6,7,8,9,10,11,12,13,14},0),0)</f>
        <v>0</v>
      </c>
      <c r="BM75" s="24">
        <v>26</v>
      </c>
      <c r="BN75" s="24">
        <v>47</v>
      </c>
      <c r="BO75" s="24">
        <v>0</v>
      </c>
      <c r="BP75" s="24">
        <v>0</v>
      </c>
      <c r="BQ75" s="24">
        <v>0</v>
      </c>
      <c r="BR75" s="24">
        <v>0</v>
      </c>
      <c r="BS75" s="24">
        <v>0</v>
      </c>
      <c r="BT75" s="24">
        <v>0</v>
      </c>
      <c r="BU75" s="24">
        <v>0</v>
      </c>
      <c r="BV75" s="24">
        <v>0</v>
      </c>
      <c r="BW75" s="24">
        <v>0</v>
      </c>
      <c r="BX75" s="24">
        <f t="shared" si="31"/>
        <v>73</v>
      </c>
      <c r="BY75" s="25" cm="1">
        <f t="array" ref="BY75:CJ75">IFERROR(VLOOKUP(A75,'[1]Now-OB-kg-POB-25'!A:AQ,{17,18,19,20,21,22,23,24,25,26,27,28},0),0)</f>
        <v>0</v>
      </c>
      <c r="BZ75" s="25">
        <v>606</v>
      </c>
      <c r="CA75" s="25">
        <v>90</v>
      </c>
      <c r="CB75" s="25">
        <v>0</v>
      </c>
      <c r="CC75" s="25">
        <v>0</v>
      </c>
      <c r="CD75" s="25">
        <v>0</v>
      </c>
      <c r="CE75" s="25">
        <v>0</v>
      </c>
      <c r="CF75" s="25">
        <v>0</v>
      </c>
      <c r="CG75" s="25">
        <v>0</v>
      </c>
      <c r="CH75" s="25">
        <v>0</v>
      </c>
      <c r="CI75" s="25">
        <v>0</v>
      </c>
      <c r="CJ75" s="25">
        <v>0</v>
      </c>
      <c r="CK75" s="25">
        <f t="shared" si="32"/>
        <v>696</v>
      </c>
      <c r="CL75" s="26" cm="1">
        <f t="array" ref="CL75:CW75">IFERROR(VLOOKUP(A75,'[1]Now-OB-kg-POB-25'!A:AQ,{31,32,33,34,35,36,37,38,39,40,41,42},0),0)</f>
        <v>0</v>
      </c>
      <c r="CM75" s="26">
        <v>13497</v>
      </c>
      <c r="CN75" s="26">
        <v>12025.6</v>
      </c>
      <c r="CO75" s="26">
        <v>0</v>
      </c>
      <c r="CP75" s="26">
        <v>0</v>
      </c>
      <c r="CQ75" s="26">
        <v>0</v>
      </c>
      <c r="CR75" s="26">
        <v>0</v>
      </c>
      <c r="CS75" s="26">
        <v>0</v>
      </c>
      <c r="CT75" s="26">
        <v>0</v>
      </c>
      <c r="CU75" s="26">
        <v>0</v>
      </c>
      <c r="CV75" s="26">
        <v>0</v>
      </c>
      <c r="CW75" s="26">
        <v>0</v>
      </c>
      <c r="CX75" s="26">
        <f t="shared" si="33"/>
        <v>25522.6</v>
      </c>
      <c r="CY75" s="14" t="str">
        <f>IF(A75=0,0,IFERROR(VLOOKUP(A75,'[1]Info Donantes'!C:F,2,0),"Sin Contacto"))</f>
        <v>Sin Contacto</v>
      </c>
      <c r="CZ75" s="14" t="str">
        <f>IF(A75=0,0,IFERROR(VLOOKUP(A75,'[1]Info Donantes'!C:F,3,0),"Sin Correo"))</f>
        <v>Sin Correo</v>
      </c>
      <c r="DA75" s="14" t="str">
        <f>IF(A75=0,0,IFERROR(VLOOKUP(A75,'[1]Info Donantes'!C:F,4,0),"Sin Telefono"))</f>
        <v>Sin Telefono</v>
      </c>
      <c r="DB75" s="14" t="str">
        <f>IF(A75=0,0,"Reporte de Trazabiidad"&amp;" - "&amp;'[1]Donor Summary'!$C$2&amp;" - "&amp;A75&amp;"")</f>
        <v>Reporte de Trazabiidad -  - NEW HUNG SHENG</v>
      </c>
    </row>
    <row r="76" spans="1:106" x14ac:dyDescent="0.55000000000000004">
      <c r="A76" s="31" t="s">
        <v>238</v>
      </c>
      <c r="B76" s="15">
        <f>INT(IFERROR(VLOOKUP(A76,'[1]Donor Summary'!C:F,3,0),0))</f>
        <v>0</v>
      </c>
      <c r="C76" s="15">
        <f>INT(ROUND(IFERROR(VLOOKUP(A76,'[1]Donor Summary'!C:F,4,0),0),1))</f>
        <v>0</v>
      </c>
      <c r="D76" s="16">
        <f t="shared" si="19"/>
        <v>0</v>
      </c>
      <c r="E76" s="17" t="str">
        <f t="shared" si="20"/>
        <v>0.00%</v>
      </c>
      <c r="F76" s="17" t="str">
        <f t="shared" si="21"/>
        <v>0.0%</v>
      </c>
      <c r="G76" s="15">
        <f t="shared" si="25"/>
        <v>0</v>
      </c>
      <c r="H76" s="18"/>
      <c r="I76" s="18">
        <f>IFERROR(VLOOKUP(A76,'[1]Lot All by Part'!T:Y,6,0),0)</f>
        <v>0</v>
      </c>
      <c r="J76" s="18"/>
      <c r="K76" s="19">
        <f>IFERROR(VLOOKUP($A76,'[1]Donor-Served OBs'!A:N,3,0),0)</f>
        <v>0</v>
      </c>
      <c r="L76" s="19">
        <f>ROUNDUP(IF(A76=0,0,IFERROR(VLOOKUP($A76,'[1]Donor''s Assigned Kilos'!A:O,3,0),0)),0)</f>
        <v>0</v>
      </c>
      <c r="M76" s="19">
        <f>IF(A76=0,0,IFERROR(SUMIFS([1]Population!M:M,[1]Population!J:J,'MASTER-2025'!A76),0))</f>
        <v>0</v>
      </c>
      <c r="N76" s="20">
        <f>IFERROR(VLOOKUP($A76,'[1]Donor-Served OBs'!A:N,4,0),0)</f>
        <v>0</v>
      </c>
      <c r="O76" s="20">
        <f>ROUNDUP(IF(A76=0,0,IFERROR(VLOOKUP($A76,'[1]Donor''s Assigned Kilos'!A:O,4,0),0)),0)</f>
        <v>0</v>
      </c>
      <c r="P76" s="20">
        <f>IF(A76=0,0,IFERROR(SUMIFS([1]Population!N:N,[1]Population!J:J,'MASTER-2025'!A76),0))</f>
        <v>0</v>
      </c>
      <c r="Q76" s="18">
        <f>IFERROR(VLOOKUP($A76,'[1]Donor-Served OBs'!A:N,2,0),0)</f>
        <v>0</v>
      </c>
      <c r="R76" s="18">
        <f>ROUNDUP(ROUND(IF(A76=0,0,IFERROR(VLOOKUP($A76,'[1]Donor''s Assigned Kilos'!A:O,9,0),0)),1),0)</f>
        <v>0</v>
      </c>
      <c r="S76" s="18">
        <f>IF(A76=0,0,IFERROR(SUMIFS([1]Population!S:S,[1]Population!J:J,'MASTER-2025'!A76),0))</f>
        <v>0</v>
      </c>
      <c r="T76" s="19">
        <f>IFERROR(VLOOKUP($A76,'[1]Donor-Served OBs'!A:N,12,0),0)</f>
        <v>0</v>
      </c>
      <c r="U76" s="19">
        <f>ROUNDUP(IF(A76=0,0,IF(A76=0,0,IFERROR(VLOOKUP($A76,'[1]Donor''s Assigned Kilos'!A:O,7,0),0))),0)</f>
        <v>0</v>
      </c>
      <c r="V76" s="19">
        <f>IF(A76=0,0,IFERROR(SUMIFS([1]Population!Q:Q,[1]Population!J:J,'MASTER-2025'!A76),0))</f>
        <v>0</v>
      </c>
      <c r="W76" s="20">
        <f>IFERROR(VLOOKUP($A76,'[1]Donor-Served OBs'!A:N,10,0),0)</f>
        <v>0</v>
      </c>
      <c r="X76" s="20">
        <f>ROUNDUP(IF(A76=0,0,IFERROR(VLOOKUP($A76,'[1]Donor''s Assigned Kilos'!A:N,5,0),0)),0)</f>
        <v>0</v>
      </c>
      <c r="Y76" s="20">
        <f>IF(A76=0,0,IFERROR(SUMIFS([1]Population!O:O,[1]Population!J:J,'MASTER-2025'!A76),0))</f>
        <v>0</v>
      </c>
      <c r="Z76" s="18">
        <f>IFERROR(VLOOKUP($A76,'[1]Donor-Served OBs'!A:N,6,0),0)</f>
        <v>0</v>
      </c>
      <c r="AA76" s="18">
        <f>ROUNDUP(IF(A76=0,0,IFERROR(VLOOKUP($A76,'[1]Donor''s Assigned Kilos'!A:N,11,0),0)),0)</f>
        <v>0</v>
      </c>
      <c r="AB76" s="18">
        <f>IF(A76=0,0,IFERROR(SUMIFS([1]Population!U:U,[1]Population!J:J,'MASTER-2025'!A76),0))</f>
        <v>0</v>
      </c>
      <c r="AC76" s="19">
        <f>IFERROR(VLOOKUP($A76,'[1]Donor-Served OBs'!A:N,7,0),0)</f>
        <v>0</v>
      </c>
      <c r="AD76" s="19">
        <f>ROUNDUP(IF(A76=0,0,IFERROR(VLOOKUP($A76,'[1]Donor''s Assigned Kilos'!A:N,8,0),0)),0)</f>
        <v>0</v>
      </c>
      <c r="AE76" s="19">
        <f>IF(A76=0,0,IFERROR(SUMIFS([1]Population!R:R,[1]Population!J:J,'MASTER-2025'!A76),0))</f>
        <v>0</v>
      </c>
      <c r="AF76" s="20">
        <f>IFERROR(VLOOKUP($A76,'[1]Donor-Served OBs'!A:N,8,0),0)</f>
        <v>0</v>
      </c>
      <c r="AG76" s="20">
        <f>ROUNDUP(IF(A76=0,0,IFERROR(VLOOKUP($A76,'[1]Donor''s Assigned Kilos'!A:N,6,0),0)),0)</f>
        <v>0</v>
      </c>
      <c r="AH76" s="20">
        <f>IF(A76=0,0,IFERROR(SUMIFS([1]Population!P:P,[1]Population!J:J,'MASTER-2025'!A76),0))</f>
        <v>0</v>
      </c>
      <c r="AI76" s="18">
        <f>IFERROR(VLOOKUP($A76,'[1]Donor-Served OBs'!A:N,9,0),0)</f>
        <v>0</v>
      </c>
      <c r="AJ76" s="18">
        <f>ROUNDUP(IF(A76=0,0,IFERROR(VLOOKUP($A76,'[1]Donor''s Assigned Kilos'!A:N,12,0),0)),0)</f>
        <v>0</v>
      </c>
      <c r="AK76" s="18">
        <f>IF(A76=0,0,IFERROR(SUMIFS([1]Population!V:V,[1]Population!J:J,'MASTER-2025'!A76),0))</f>
        <v>0</v>
      </c>
      <c r="AL76" s="19">
        <f>IFERROR(VLOOKUP($A76,'[1]Donor-Served OBs'!A:N,16,0),0)</f>
        <v>0</v>
      </c>
      <c r="AM76" s="19">
        <f>ROUNDUP(IF(A76=0,0,IFERROR(VLOOKUP($A76,'[1]Donor''s Assigned Kilos'!A:O,16,0),0)),0)</f>
        <v>0</v>
      </c>
      <c r="AN76" s="19">
        <f>IF(A76=0,0,IFERROR(SUMIFS([1]Population!Z:Z,[1]Population!J:J,'MASTER-2025'!A76),0))</f>
        <v>0</v>
      </c>
      <c r="AO76" s="20">
        <f>IFERROR(VLOOKUP($A76,'[1]Donor-Served OBs'!A:N,11,0),0)</f>
        <v>0</v>
      </c>
      <c r="AP76" s="20">
        <f>ROUNDUP(IF(A76=0,0,IFERROR(VLOOKUP($A76,'[1]Donor''s Assigned Kilos'!A:N,13,0),0)),0)</f>
        <v>0</v>
      </c>
      <c r="AQ76" s="20">
        <f>IF(A76=0,0,IFERROR(SUMIFS([1]Population!W:W,[1]Population!J:J,'MASTER-2025'!A76),0))</f>
        <v>0</v>
      </c>
      <c r="AR76" s="18">
        <f>IFERROR(VLOOKUP($A76,'[1]Donor-Served OBs'!A:N,5,0),0)</f>
        <v>0</v>
      </c>
      <c r="AS76" s="18">
        <f>ROUNDUP(IF(A76=0,0,IFERROR(VLOOKUP($A76,'[1]Donor''s Assigned Kilos'!A:N,10,0),0)),0)</f>
        <v>0</v>
      </c>
      <c r="AT76" s="18">
        <f>IF(A76=0,0,IFERROR(SUMIFS([1]Population!T:T,[1]Population!J:J,'MASTER-2025'!A76),0))</f>
        <v>0</v>
      </c>
      <c r="AU76" s="19">
        <f>IFERROR(VLOOKUP($A76,'[1]Donor-Served OBs'!A:N,13,0),0)</f>
        <v>0</v>
      </c>
      <c r="AV76" s="19">
        <f>ROUNDUP(IF(A76=0,0,IFERROR(VLOOKUP($A76,'[1]Donor''s Assigned Kilos'!A:N,14,0),0)),0)</f>
        <v>0</v>
      </c>
      <c r="AW76" s="19">
        <f>IF(A76=0,0,IFERROR(SUMIFS([1]Population!X:X,[1]Population!J:J,'MASTER-2025'!A76),0))</f>
        <v>0</v>
      </c>
      <c r="AX76" s="20">
        <f>IFERROR(VLOOKUP($A76,'[1]Donor-Served OBs'!A:N,16,0),0)</f>
        <v>0</v>
      </c>
      <c r="AY76" s="20">
        <f>ROUNDUP(IF(A76=0,0,IFERROR(VLOOKUP($A76,'[1]Donor''s Assigned Kilos'!A:O,16,0),0)),0)</f>
        <v>0</v>
      </c>
      <c r="AZ76" s="20">
        <f>IF(A76=0,0,IFERROR(SUMIFS([1]Population!Y:Y,[1]Population!J:J,'MASTER-2025'!A76),0))</f>
        <v>0</v>
      </c>
      <c r="BA76" s="21">
        <f t="shared" ref="BA76:BA108" si="34">+H76+K76+N76+Q76+T76+W76+Z76+AC76+AF76+AI76+AL76+AO76+AR76+AU76+AX76</f>
        <v>0</v>
      </c>
      <c r="BB76" s="21">
        <f t="shared" si="29"/>
        <v>0</v>
      </c>
      <c r="BC76" s="21">
        <f t="shared" si="24"/>
        <v>0</v>
      </c>
      <c r="BD76" s="21">
        <f t="shared" si="26"/>
        <v>0</v>
      </c>
      <c r="BE76" s="22" t="e">
        <f>IF(A76=0,0,SUMIFS([1]Population!C:C,[1]Population!A:A,'MASTER-2025'!A76))</f>
        <v>#VALUE!</v>
      </c>
      <c r="BF76" s="22" t="e">
        <f>IF(A76=0,0,SUMIFS([1]Population!D:D,[1]Population!A:A,'MASTER-2025'!A76))</f>
        <v>#VALUE!</v>
      </c>
      <c r="BG76" s="22" t="e">
        <f>IF(A76=0,0,SUMIFS([1]Population!E:E,[1]Population!A:A,'MASTER-2025'!A76))</f>
        <v>#VALUE!</v>
      </c>
      <c r="BH76" s="22" t="e">
        <f>IF(A76=0,0,SUMIFS([1]Population!F:F,[1]Population!A:A,'MASTER-2025'!A76))</f>
        <v>#VALUE!</v>
      </c>
      <c r="BI76" s="22" t="e">
        <f t="shared" ref="BI76:BI130" si="35">+BF76+BG76+BH76</f>
        <v>#VALUE!</v>
      </c>
      <c r="BJ76" s="23" t="e">
        <f t="shared" si="30"/>
        <v>#VALUE!</v>
      </c>
      <c r="BK76" s="22" t="e">
        <f>IF(A76=0,0,SUMIFS([1]Population!G:G,[1]Population!A:A,'MASTER-2025'!A76))</f>
        <v>#VALUE!</v>
      </c>
      <c r="BL76" s="24" cm="1">
        <f t="array" ref="BL76:BW76">IFERROR(VLOOKUP(A76,'[1]Now-OB-kg-POB-25'!A:AQ,{3,4,5,6,7,8,9,10,11,12,13,14},0),0)</f>
        <v>0</v>
      </c>
      <c r="BM76" s="24">
        <v>0</v>
      </c>
      <c r="BN76" s="24">
        <v>0</v>
      </c>
      <c r="BO76" s="24">
        <v>0</v>
      </c>
      <c r="BP76" s="24">
        <v>0</v>
      </c>
      <c r="BQ76" s="24">
        <v>0</v>
      </c>
      <c r="BR76" s="24">
        <v>0</v>
      </c>
      <c r="BS76" s="24">
        <v>0</v>
      </c>
      <c r="BT76" s="24">
        <v>0</v>
      </c>
      <c r="BU76" s="24">
        <v>0</v>
      </c>
      <c r="BV76" s="24">
        <v>0</v>
      </c>
      <c r="BW76" s="24">
        <v>0</v>
      </c>
      <c r="BX76" s="24">
        <f t="shared" si="31"/>
        <v>0</v>
      </c>
      <c r="BY76" s="25" cm="1">
        <f t="array" ref="BY76:CJ76">IFERROR(VLOOKUP(A76,'[1]Now-OB-kg-POB-25'!A:AQ,{17,18,19,20,21,22,23,24,25,26,27,28},0),0)</f>
        <v>0</v>
      </c>
      <c r="BZ76" s="25">
        <v>0</v>
      </c>
      <c r="CA76" s="25">
        <v>0</v>
      </c>
      <c r="CB76" s="25">
        <v>0</v>
      </c>
      <c r="CC76" s="25">
        <v>0</v>
      </c>
      <c r="CD76" s="25">
        <v>0</v>
      </c>
      <c r="CE76" s="25">
        <v>0</v>
      </c>
      <c r="CF76" s="25">
        <v>0</v>
      </c>
      <c r="CG76" s="25">
        <v>0</v>
      </c>
      <c r="CH76" s="25">
        <v>0</v>
      </c>
      <c r="CI76" s="25">
        <v>0</v>
      </c>
      <c r="CJ76" s="25">
        <v>0</v>
      </c>
      <c r="CK76" s="25">
        <f t="shared" si="32"/>
        <v>0</v>
      </c>
      <c r="CL76" s="26" cm="1">
        <f t="array" ref="CL76:CW76">IFERROR(VLOOKUP(A76,'[1]Now-OB-kg-POB-25'!A:AQ,{31,32,33,34,35,36,37,38,39,40,41,42},0),0)</f>
        <v>0</v>
      </c>
      <c r="CM76" s="26">
        <v>0</v>
      </c>
      <c r="CN76" s="26">
        <v>0</v>
      </c>
      <c r="CO76" s="26">
        <v>0</v>
      </c>
      <c r="CP76" s="26">
        <v>0</v>
      </c>
      <c r="CQ76" s="26">
        <v>0</v>
      </c>
      <c r="CR76" s="26">
        <v>0</v>
      </c>
      <c r="CS76" s="26">
        <v>0</v>
      </c>
      <c r="CT76" s="26">
        <v>0</v>
      </c>
      <c r="CU76" s="26">
        <v>0</v>
      </c>
      <c r="CV76" s="26">
        <v>0</v>
      </c>
      <c r="CW76" s="26">
        <v>0</v>
      </c>
      <c r="CX76" s="26">
        <f t="shared" si="33"/>
        <v>0</v>
      </c>
      <c r="CY76" s="14" t="str">
        <f>IF(A76=0,0,IFERROR(VLOOKUP(A76,'[1]Info Donantes'!C:F,2,0),"Sin Contacto"))</f>
        <v>Jean Pierre Leignadier</v>
      </c>
      <c r="CZ76" s="14" t="str">
        <f>IF(A76=0,0,IFERROR(VLOOKUP(A76,'[1]Info Donantes'!C:F,3,0),"Sin Correo"))</f>
        <v>gerencia@proprestigio.com</v>
      </c>
      <c r="DA76" s="14" t="str">
        <f>IF(A76=0,0,IFERROR(VLOOKUP(A76,'[1]Info Donantes'!C:F,4,0),"Sin Telefono"))</f>
        <v>320-8400</v>
      </c>
      <c r="DB76" s="14" t="str">
        <f>IF(A76=0,0,"Reporte de Trazabiidad"&amp;" - "&amp;'[1]Donor Summary'!$C$2&amp;" - "&amp;A76&amp;"")</f>
        <v>Reporte de Trazabiidad -  - PRODUCTOS DE PRESTIGIO, S.A</v>
      </c>
    </row>
    <row r="77" spans="1:106" x14ac:dyDescent="0.55000000000000004">
      <c r="A77" s="31" t="s">
        <v>239</v>
      </c>
      <c r="B77" s="15">
        <f>INT(IFERROR(VLOOKUP(A77,'[1]Donor Summary'!C:F,3,0),0))</f>
        <v>0</v>
      </c>
      <c r="C77" s="15">
        <f>INT(ROUND(IFERROR(VLOOKUP(A77,'[1]Donor Summary'!C:F,4,0),0),1))</f>
        <v>0</v>
      </c>
      <c r="D77" s="16">
        <f t="shared" ref="D77:D130" si="36">INT(ROUND(C77-B77,1))</f>
        <v>0</v>
      </c>
      <c r="E77" s="17" t="str">
        <f t="shared" ref="E77:E130" si="37">IF(A77=0,"",TEXT((IFERROR(D77/C77,0)),"0.00%"))</f>
        <v>0.00%</v>
      </c>
      <c r="F77" s="17" t="str">
        <f t="shared" ref="F77:F130" si="38">IF(A77=0,"",TEXT((IFERROR(B77/C77,0)),"0.0%"))</f>
        <v>0.0%</v>
      </c>
      <c r="G77" s="15">
        <f t="shared" si="25"/>
        <v>0</v>
      </c>
      <c r="H77" s="18"/>
      <c r="I77" s="18">
        <f>IFERROR(VLOOKUP(A77,'[1]Lot All by Part'!T:Y,6,0),0)</f>
        <v>0</v>
      </c>
      <c r="J77" s="18"/>
      <c r="K77" s="19">
        <f>IFERROR(VLOOKUP($A77,'[1]Donor-Served OBs'!A:N,3,0),0)</f>
        <v>0</v>
      </c>
      <c r="L77" s="19">
        <f>ROUNDUP(IF(A77=0,0,IFERROR(VLOOKUP($A77,'[1]Donor''s Assigned Kilos'!A:O,3,0),0)),0)</f>
        <v>0</v>
      </c>
      <c r="M77" s="19">
        <f>IF(A77=0,0,IFERROR(SUMIFS([1]Population!M:M,[1]Population!J:J,'MASTER-2025'!A77),0))</f>
        <v>0</v>
      </c>
      <c r="N77" s="20">
        <f>IFERROR(VLOOKUP($A77,'[1]Donor-Served OBs'!A:N,4,0),0)</f>
        <v>0</v>
      </c>
      <c r="O77" s="20">
        <f>ROUNDUP(IF(A77=0,0,IFERROR(VLOOKUP($A77,'[1]Donor''s Assigned Kilos'!A:O,4,0),0)),0)</f>
        <v>0</v>
      </c>
      <c r="P77" s="20">
        <f>IF(A77=0,0,IFERROR(SUMIFS([1]Population!N:N,[1]Population!J:J,'MASTER-2025'!A77),0))</f>
        <v>0</v>
      </c>
      <c r="Q77" s="18">
        <f>IFERROR(VLOOKUP($A77,'[1]Donor-Served OBs'!A:N,2,0),0)</f>
        <v>0</v>
      </c>
      <c r="R77" s="18">
        <f>ROUNDUP(ROUND(IF(A77=0,0,IFERROR(VLOOKUP($A77,'[1]Donor''s Assigned Kilos'!A:O,9,0),0)),1),0)</f>
        <v>0</v>
      </c>
      <c r="S77" s="18">
        <f>IF(A77=0,0,IFERROR(SUMIFS([1]Population!S:S,[1]Population!J:J,'MASTER-2025'!A77),0))</f>
        <v>0</v>
      </c>
      <c r="T77" s="19">
        <f>IFERROR(VLOOKUP($A77,'[1]Donor-Served OBs'!A:N,12,0),0)</f>
        <v>0</v>
      </c>
      <c r="U77" s="19">
        <f>ROUNDUP(IF(A77=0,0,IF(A77=0,0,IFERROR(VLOOKUP($A77,'[1]Donor''s Assigned Kilos'!A:O,7,0),0))),0)</f>
        <v>0</v>
      </c>
      <c r="V77" s="19">
        <f>IF(A77=0,0,IFERROR(SUMIFS([1]Population!Q:Q,[1]Population!J:J,'MASTER-2025'!A77),0))</f>
        <v>0</v>
      </c>
      <c r="W77" s="20">
        <f>IFERROR(VLOOKUP($A77,'[1]Donor-Served OBs'!A:N,10,0),0)</f>
        <v>0</v>
      </c>
      <c r="X77" s="20">
        <f>ROUNDUP(IF(A77=0,0,IFERROR(VLOOKUP($A77,'[1]Donor''s Assigned Kilos'!A:N,5,0),0)),0)</f>
        <v>0</v>
      </c>
      <c r="Y77" s="20">
        <f>IF(A77=0,0,IFERROR(SUMIFS([1]Population!O:O,[1]Population!J:J,'MASTER-2025'!A77),0))</f>
        <v>0</v>
      </c>
      <c r="Z77" s="18">
        <f>IFERROR(VLOOKUP($A77,'[1]Donor-Served OBs'!A:N,6,0),0)</f>
        <v>0</v>
      </c>
      <c r="AA77" s="18">
        <f>ROUNDUP(IF(A77=0,0,IFERROR(VLOOKUP($A77,'[1]Donor''s Assigned Kilos'!A:N,11,0),0)),0)</f>
        <v>0</v>
      </c>
      <c r="AB77" s="18">
        <f>IF(A77=0,0,IFERROR(SUMIFS([1]Population!U:U,[1]Population!J:J,'MASTER-2025'!A77),0))</f>
        <v>0</v>
      </c>
      <c r="AC77" s="19">
        <f>IFERROR(VLOOKUP($A77,'[1]Donor-Served OBs'!A:N,7,0),0)</f>
        <v>0</v>
      </c>
      <c r="AD77" s="19">
        <f>ROUNDUP(IF(A77=0,0,IFERROR(VLOOKUP($A77,'[1]Donor''s Assigned Kilos'!A:N,8,0),0)),0)</f>
        <v>0</v>
      </c>
      <c r="AE77" s="19">
        <f>IF(A77=0,0,IFERROR(SUMIFS([1]Population!R:R,[1]Population!J:J,'MASTER-2025'!A77),0))</f>
        <v>0</v>
      </c>
      <c r="AF77" s="20">
        <f>IFERROR(VLOOKUP($A77,'[1]Donor-Served OBs'!A:N,8,0),0)</f>
        <v>0</v>
      </c>
      <c r="AG77" s="20">
        <f>ROUNDUP(IF(A77=0,0,IFERROR(VLOOKUP($A77,'[1]Donor''s Assigned Kilos'!A:N,6,0),0)),0)</f>
        <v>0</v>
      </c>
      <c r="AH77" s="20">
        <f>IF(A77=0,0,IFERROR(SUMIFS([1]Population!P:P,[1]Population!J:J,'MASTER-2025'!A77),0))</f>
        <v>0</v>
      </c>
      <c r="AI77" s="18">
        <f>IFERROR(VLOOKUP($A77,'[1]Donor-Served OBs'!A:N,9,0),0)</f>
        <v>0</v>
      </c>
      <c r="AJ77" s="18">
        <f>ROUNDUP(IF(A77=0,0,IFERROR(VLOOKUP($A77,'[1]Donor''s Assigned Kilos'!A:N,12,0),0)),0)</f>
        <v>0</v>
      </c>
      <c r="AK77" s="18">
        <f>IF(A77=0,0,IFERROR(SUMIFS([1]Population!V:V,[1]Population!J:J,'MASTER-2025'!A77),0))</f>
        <v>0</v>
      </c>
      <c r="AL77" s="19">
        <f>IFERROR(VLOOKUP($A77,'[1]Donor-Served OBs'!A:N,16,0),0)</f>
        <v>0</v>
      </c>
      <c r="AM77" s="19">
        <f>ROUNDUP(IF(A77=0,0,IFERROR(VLOOKUP($A77,'[1]Donor''s Assigned Kilos'!A:O,16,0),0)),0)</f>
        <v>0</v>
      </c>
      <c r="AN77" s="19">
        <f>IF(A77=0,0,IFERROR(SUMIFS([1]Population!Z:Z,[1]Population!J:J,'MASTER-2025'!A77),0))</f>
        <v>0</v>
      </c>
      <c r="AO77" s="20">
        <f>IFERROR(VLOOKUP($A77,'[1]Donor-Served OBs'!A:N,11,0),0)</f>
        <v>0</v>
      </c>
      <c r="AP77" s="20">
        <f>ROUNDUP(IF(A77=0,0,IFERROR(VLOOKUP($A77,'[1]Donor''s Assigned Kilos'!A:N,13,0),0)),0)</f>
        <v>0</v>
      </c>
      <c r="AQ77" s="20">
        <f>IF(A77=0,0,IFERROR(SUMIFS([1]Population!W:W,[1]Population!J:J,'MASTER-2025'!A77),0))</f>
        <v>0</v>
      </c>
      <c r="AR77" s="18">
        <f>IFERROR(VLOOKUP($A77,'[1]Donor-Served OBs'!A:N,5,0),0)</f>
        <v>0</v>
      </c>
      <c r="AS77" s="18">
        <f>ROUNDUP(IF(A77=0,0,IFERROR(VLOOKUP($A77,'[1]Donor''s Assigned Kilos'!A:N,10,0),0)),0)</f>
        <v>0</v>
      </c>
      <c r="AT77" s="18">
        <f>IF(A77=0,0,IFERROR(SUMIFS([1]Population!T:T,[1]Population!J:J,'MASTER-2025'!A77),0))</f>
        <v>0</v>
      </c>
      <c r="AU77" s="19">
        <f>IFERROR(VLOOKUP($A77,'[1]Donor-Served OBs'!A:N,13,0),0)</f>
        <v>0</v>
      </c>
      <c r="AV77" s="19">
        <f>ROUNDUP(IF(A77=0,0,IFERROR(VLOOKUP($A77,'[1]Donor''s Assigned Kilos'!A:N,14,0),0)),0)</f>
        <v>0</v>
      </c>
      <c r="AW77" s="19">
        <f>IF(A77=0,0,IFERROR(SUMIFS([1]Population!X:X,[1]Population!J:J,'MASTER-2025'!A77),0))</f>
        <v>0</v>
      </c>
      <c r="AX77" s="20">
        <f>IFERROR(VLOOKUP($A77,'[1]Donor-Served OBs'!A:N,16,0),0)</f>
        <v>0</v>
      </c>
      <c r="AY77" s="20">
        <f>ROUNDUP(IF(A77=0,0,IFERROR(VLOOKUP($A77,'[1]Donor''s Assigned Kilos'!A:O,16,0),0)),0)</f>
        <v>0</v>
      </c>
      <c r="AZ77" s="20">
        <f>IF(A77=0,0,IFERROR(SUMIFS([1]Population!Y:Y,[1]Population!J:J,'MASTER-2025'!A77),0))</f>
        <v>0</v>
      </c>
      <c r="BA77" s="21">
        <f t="shared" si="34"/>
        <v>0</v>
      </c>
      <c r="BB77" s="21">
        <f t="shared" si="29"/>
        <v>0</v>
      </c>
      <c r="BC77" s="21">
        <f t="shared" si="24"/>
        <v>0</v>
      </c>
      <c r="BD77" s="21">
        <f t="shared" si="26"/>
        <v>0</v>
      </c>
      <c r="BE77" s="22" t="e">
        <f>IF(A77=0,0,SUMIFS([1]Population!C:C,[1]Population!A:A,'MASTER-2025'!A77))</f>
        <v>#VALUE!</v>
      </c>
      <c r="BF77" s="22" t="e">
        <f>IF(A77=0,0,SUMIFS([1]Population!D:D,[1]Population!A:A,'MASTER-2025'!A77))</f>
        <v>#VALUE!</v>
      </c>
      <c r="BG77" s="22" t="e">
        <f>IF(A77=0,0,SUMIFS([1]Population!E:E,[1]Population!A:A,'MASTER-2025'!A77))</f>
        <v>#VALUE!</v>
      </c>
      <c r="BH77" s="22" t="e">
        <f>IF(A77=0,0,SUMIFS([1]Population!F:F,[1]Population!A:A,'MASTER-2025'!A77))</f>
        <v>#VALUE!</v>
      </c>
      <c r="BI77" s="22" t="e">
        <f t="shared" si="35"/>
        <v>#VALUE!</v>
      </c>
      <c r="BJ77" s="23" t="e">
        <f t="shared" si="30"/>
        <v>#VALUE!</v>
      </c>
      <c r="BK77" s="22" t="e">
        <f>IF(A77=0,0,SUMIFS([1]Population!G:G,[1]Population!A:A,'MASTER-2025'!A77))</f>
        <v>#VALUE!</v>
      </c>
      <c r="BL77" s="24" cm="1">
        <f t="array" ref="BL77:BW77">IFERROR(VLOOKUP(A77,'[1]Now-OB-kg-POB-25'!A:AQ,{3,4,5,6,7,8,9,10,11,12,13,14},0),0)</f>
        <v>0</v>
      </c>
      <c r="BM77" s="24">
        <v>0</v>
      </c>
      <c r="BN77" s="24">
        <v>0</v>
      </c>
      <c r="BO77" s="24">
        <v>0</v>
      </c>
      <c r="BP77" s="24">
        <v>0</v>
      </c>
      <c r="BQ77" s="24">
        <v>0</v>
      </c>
      <c r="BR77" s="24">
        <v>0</v>
      </c>
      <c r="BS77" s="24">
        <v>0</v>
      </c>
      <c r="BT77" s="24">
        <v>0</v>
      </c>
      <c r="BU77" s="24">
        <v>0</v>
      </c>
      <c r="BV77" s="24">
        <v>0</v>
      </c>
      <c r="BW77" s="24">
        <v>0</v>
      </c>
      <c r="BX77" s="24">
        <f t="shared" si="31"/>
        <v>0</v>
      </c>
      <c r="BY77" s="25" cm="1">
        <f t="array" ref="BY77:CJ77">IFERROR(VLOOKUP(A77,'[1]Now-OB-kg-POB-25'!A:AQ,{17,18,19,20,21,22,23,24,25,26,27,28},0),0)</f>
        <v>0</v>
      </c>
      <c r="BZ77" s="25">
        <v>0</v>
      </c>
      <c r="CA77" s="25">
        <v>0</v>
      </c>
      <c r="CB77" s="25">
        <v>0</v>
      </c>
      <c r="CC77" s="25">
        <v>0</v>
      </c>
      <c r="CD77" s="25">
        <v>0</v>
      </c>
      <c r="CE77" s="25">
        <v>0</v>
      </c>
      <c r="CF77" s="25">
        <v>0</v>
      </c>
      <c r="CG77" s="25">
        <v>0</v>
      </c>
      <c r="CH77" s="25">
        <v>0</v>
      </c>
      <c r="CI77" s="25">
        <v>0</v>
      </c>
      <c r="CJ77" s="25">
        <v>0</v>
      </c>
      <c r="CK77" s="25">
        <f t="shared" si="32"/>
        <v>0</v>
      </c>
      <c r="CL77" s="26" cm="1">
        <f t="array" ref="CL77:CW77">IFERROR(VLOOKUP(A77,'[1]Now-OB-kg-POB-25'!A:AQ,{31,32,33,34,35,36,37,38,39,40,41,42},0),0)</f>
        <v>0</v>
      </c>
      <c r="CM77" s="26">
        <v>0</v>
      </c>
      <c r="CN77" s="26">
        <v>0</v>
      </c>
      <c r="CO77" s="26">
        <v>0</v>
      </c>
      <c r="CP77" s="26">
        <v>0</v>
      </c>
      <c r="CQ77" s="26">
        <v>0</v>
      </c>
      <c r="CR77" s="26">
        <v>0</v>
      </c>
      <c r="CS77" s="26">
        <v>0</v>
      </c>
      <c r="CT77" s="26">
        <v>0</v>
      </c>
      <c r="CU77" s="26">
        <v>0</v>
      </c>
      <c r="CV77" s="26">
        <v>0</v>
      </c>
      <c r="CW77" s="26">
        <v>0</v>
      </c>
      <c r="CX77" s="26">
        <f t="shared" si="33"/>
        <v>0</v>
      </c>
      <c r="CY77" s="14" t="str">
        <f>IF(A77=0,0,IFERROR(VLOOKUP(A77,'[1]Info Donantes'!C:F,2,0),"Sin Contacto"))</f>
        <v>Sin Contacto</v>
      </c>
      <c r="CZ77" s="14" t="str">
        <f>IF(A77=0,0,IFERROR(VLOOKUP(A77,'[1]Info Donantes'!C:F,3,0),"Sin Correo"))</f>
        <v>Sin Correo</v>
      </c>
      <c r="DA77" s="14" t="str">
        <f>IF(A77=0,0,IFERROR(VLOOKUP(A77,'[1]Info Donantes'!C:F,4,0),"Sin Telefono"))</f>
        <v>Sin Telefono</v>
      </c>
      <c r="DB77" s="14" t="str">
        <f>IF(A77=0,0,"Reporte de Trazabiidad"&amp;" - "&amp;'[1]Donor Summary'!$C$2&amp;" - "&amp;A77&amp;"")</f>
        <v>Reporte de Trazabiidad -  - COMERCIALIZADORA ANCAR, S.A.</v>
      </c>
    </row>
    <row r="78" spans="1:106" x14ac:dyDescent="0.55000000000000004">
      <c r="A78" s="31" t="s">
        <v>240</v>
      </c>
      <c r="B78" s="15">
        <f>INT(IFERROR(VLOOKUP(A78,'[1]Donor Summary'!C:F,3,0),0))</f>
        <v>0</v>
      </c>
      <c r="C78" s="15">
        <f>INT(ROUND(IFERROR(VLOOKUP(A78,'[1]Donor Summary'!C:F,4,0),0),1))</f>
        <v>0</v>
      </c>
      <c r="D78" s="16">
        <f t="shared" si="36"/>
        <v>0</v>
      </c>
      <c r="E78" s="17" t="str">
        <f t="shared" si="37"/>
        <v>0.00%</v>
      </c>
      <c r="F78" s="17" t="str">
        <f t="shared" si="38"/>
        <v>0.0%</v>
      </c>
      <c r="G78" s="15">
        <f t="shared" si="25"/>
        <v>0</v>
      </c>
      <c r="H78" s="18"/>
      <c r="I78" s="18">
        <f>IFERROR(VLOOKUP(A78,'[1]Lot All by Part'!T:Y,6,0),0)</f>
        <v>0</v>
      </c>
      <c r="J78" s="18"/>
      <c r="K78" s="19">
        <f>IFERROR(VLOOKUP($A78,'[1]Donor-Served OBs'!A:N,3,0),0)</f>
        <v>0</v>
      </c>
      <c r="L78" s="19">
        <f>ROUNDUP(IF(A78=0,0,IFERROR(VLOOKUP($A78,'[1]Donor''s Assigned Kilos'!A:O,3,0),0)),0)</f>
        <v>0</v>
      </c>
      <c r="M78" s="19">
        <f>IF(A78=0,0,IFERROR(SUMIFS([1]Population!M:M,[1]Population!J:J,'MASTER-2025'!A78),0))</f>
        <v>0</v>
      </c>
      <c r="N78" s="20">
        <f>IFERROR(VLOOKUP($A78,'[1]Donor-Served OBs'!A:N,4,0),0)</f>
        <v>0</v>
      </c>
      <c r="O78" s="20">
        <f>ROUNDUP(IF(A78=0,0,IFERROR(VLOOKUP($A78,'[1]Donor''s Assigned Kilos'!A:O,4,0),0)),0)</f>
        <v>0</v>
      </c>
      <c r="P78" s="20">
        <f>IF(A78=0,0,IFERROR(SUMIFS([1]Population!N:N,[1]Population!J:J,'MASTER-2025'!A78),0))</f>
        <v>0</v>
      </c>
      <c r="Q78" s="18">
        <f>IFERROR(VLOOKUP($A78,'[1]Donor-Served OBs'!A:N,2,0),0)</f>
        <v>0</v>
      </c>
      <c r="R78" s="18">
        <f>ROUNDUP(ROUND(IF(A78=0,0,IFERROR(VLOOKUP($A78,'[1]Donor''s Assigned Kilos'!A:O,9,0),0)),1),0)</f>
        <v>0</v>
      </c>
      <c r="S78" s="18">
        <f>IF(A78=0,0,IFERROR(SUMIFS([1]Population!S:S,[1]Population!J:J,'MASTER-2025'!A78),0))</f>
        <v>0</v>
      </c>
      <c r="T78" s="19">
        <f>IFERROR(VLOOKUP($A78,'[1]Donor-Served OBs'!A:N,12,0),0)</f>
        <v>0</v>
      </c>
      <c r="U78" s="19">
        <f>ROUNDUP(IF(A78=0,0,IF(A78=0,0,IFERROR(VLOOKUP($A78,'[1]Donor''s Assigned Kilos'!A:O,7,0),0))),0)</f>
        <v>0</v>
      </c>
      <c r="V78" s="19">
        <f>IF(A78=0,0,IFERROR(SUMIFS([1]Population!Q:Q,[1]Population!J:J,'MASTER-2025'!A78),0))</f>
        <v>0</v>
      </c>
      <c r="W78" s="20">
        <f>IFERROR(VLOOKUP($A78,'[1]Donor-Served OBs'!A:N,10,0),0)</f>
        <v>0</v>
      </c>
      <c r="X78" s="20">
        <f>ROUNDUP(IF(A78=0,0,IFERROR(VLOOKUP($A78,'[1]Donor''s Assigned Kilos'!A:N,5,0),0)),0)</f>
        <v>0</v>
      </c>
      <c r="Y78" s="20">
        <f>IF(A78=0,0,IFERROR(SUMIFS([1]Population!O:O,[1]Population!J:J,'MASTER-2025'!A78),0))</f>
        <v>0</v>
      </c>
      <c r="Z78" s="18">
        <f>IFERROR(VLOOKUP($A78,'[1]Donor-Served OBs'!A:N,6,0),0)</f>
        <v>0</v>
      </c>
      <c r="AA78" s="18">
        <f>ROUNDUP(IF(A78=0,0,IFERROR(VLOOKUP($A78,'[1]Donor''s Assigned Kilos'!A:N,11,0),0)),0)</f>
        <v>0</v>
      </c>
      <c r="AB78" s="18">
        <f>IF(A78=0,0,IFERROR(SUMIFS([1]Population!U:U,[1]Population!J:J,'MASTER-2025'!A78),0))</f>
        <v>0</v>
      </c>
      <c r="AC78" s="19">
        <f>IFERROR(VLOOKUP($A78,'[1]Donor-Served OBs'!A:N,7,0),0)</f>
        <v>0</v>
      </c>
      <c r="AD78" s="19">
        <f>ROUNDUP(IF(A78=0,0,IFERROR(VLOOKUP($A78,'[1]Donor''s Assigned Kilos'!A:N,8,0),0)),0)</f>
        <v>0</v>
      </c>
      <c r="AE78" s="19">
        <f>IF(A78=0,0,IFERROR(SUMIFS([1]Population!R:R,[1]Population!J:J,'MASTER-2025'!A78),0))</f>
        <v>0</v>
      </c>
      <c r="AF78" s="20">
        <f>IFERROR(VLOOKUP($A78,'[1]Donor-Served OBs'!A:N,8,0),0)</f>
        <v>0</v>
      </c>
      <c r="AG78" s="20">
        <f>ROUNDUP(IF(A78=0,0,IFERROR(VLOOKUP($A78,'[1]Donor''s Assigned Kilos'!A:N,6,0),0)),0)</f>
        <v>0</v>
      </c>
      <c r="AH78" s="20">
        <f>IF(A78=0,0,IFERROR(SUMIFS([1]Population!P:P,[1]Population!J:J,'MASTER-2025'!A78),0))</f>
        <v>0</v>
      </c>
      <c r="AI78" s="18">
        <f>IFERROR(VLOOKUP($A78,'[1]Donor-Served OBs'!A:N,9,0),0)</f>
        <v>0</v>
      </c>
      <c r="AJ78" s="18">
        <f>ROUNDUP(IF(A78=0,0,IFERROR(VLOOKUP($A78,'[1]Donor''s Assigned Kilos'!A:N,12,0),0)),0)</f>
        <v>0</v>
      </c>
      <c r="AK78" s="18">
        <f>IF(A78=0,0,IFERROR(SUMIFS([1]Population!V:V,[1]Population!J:J,'MASTER-2025'!A78),0))</f>
        <v>0</v>
      </c>
      <c r="AL78" s="19">
        <f>IFERROR(VLOOKUP($A78,'[1]Donor-Served OBs'!A:N,16,0),0)</f>
        <v>0</v>
      </c>
      <c r="AM78" s="19">
        <f>ROUNDUP(IF(A78=0,0,IFERROR(VLOOKUP($A78,'[1]Donor''s Assigned Kilos'!A:O,16,0),0)),0)</f>
        <v>0</v>
      </c>
      <c r="AN78" s="19">
        <f>IF(A78=0,0,IFERROR(SUMIFS([1]Population!Z:Z,[1]Population!J:J,'MASTER-2025'!A78),0))</f>
        <v>0</v>
      </c>
      <c r="AO78" s="20">
        <f>IFERROR(VLOOKUP($A78,'[1]Donor-Served OBs'!A:N,11,0),0)</f>
        <v>0</v>
      </c>
      <c r="AP78" s="20">
        <f>ROUNDUP(IF(A78=0,0,IFERROR(VLOOKUP($A78,'[1]Donor''s Assigned Kilos'!A:N,13,0),0)),0)</f>
        <v>0</v>
      </c>
      <c r="AQ78" s="20">
        <f>IF(A78=0,0,IFERROR(SUMIFS([1]Population!W:W,[1]Population!J:J,'MASTER-2025'!A78),0))</f>
        <v>0</v>
      </c>
      <c r="AR78" s="18">
        <f>IFERROR(VLOOKUP($A78,'[1]Donor-Served OBs'!A:N,5,0),0)</f>
        <v>0</v>
      </c>
      <c r="AS78" s="18">
        <f>ROUNDUP(IF(A78=0,0,IFERROR(VLOOKUP($A78,'[1]Donor''s Assigned Kilos'!A:N,10,0),0)),0)</f>
        <v>0</v>
      </c>
      <c r="AT78" s="18">
        <f>IF(A78=0,0,IFERROR(SUMIFS([1]Population!T:T,[1]Population!J:J,'MASTER-2025'!A78),0))</f>
        <v>0</v>
      </c>
      <c r="AU78" s="19">
        <f>IFERROR(VLOOKUP($A78,'[1]Donor-Served OBs'!A:N,13,0),0)</f>
        <v>0</v>
      </c>
      <c r="AV78" s="19">
        <f>ROUNDUP(IF(A78=0,0,IFERROR(VLOOKUP($A78,'[1]Donor''s Assigned Kilos'!A:N,14,0),0)),0)</f>
        <v>0</v>
      </c>
      <c r="AW78" s="19">
        <f>IF(A78=0,0,IFERROR(SUMIFS([1]Population!X:X,[1]Population!J:J,'MASTER-2025'!A78),0))</f>
        <v>0</v>
      </c>
      <c r="AX78" s="20">
        <f>IFERROR(VLOOKUP($A78,'[1]Donor-Served OBs'!A:N,16,0),0)</f>
        <v>0</v>
      </c>
      <c r="AY78" s="20">
        <f>ROUNDUP(IF(A78=0,0,IFERROR(VLOOKUP($A78,'[1]Donor''s Assigned Kilos'!A:O,16,0),0)),0)</f>
        <v>0</v>
      </c>
      <c r="AZ78" s="20">
        <f>IF(A78=0,0,IFERROR(SUMIFS([1]Population!Y:Y,[1]Population!J:J,'MASTER-2025'!A78),0))</f>
        <v>0</v>
      </c>
      <c r="BA78" s="21">
        <f t="shared" si="34"/>
        <v>0</v>
      </c>
      <c r="BB78" s="21">
        <f t="shared" si="29"/>
        <v>0</v>
      </c>
      <c r="BC78" s="21">
        <f t="shared" si="24"/>
        <v>0</v>
      </c>
      <c r="BD78" s="21">
        <f t="shared" si="26"/>
        <v>0</v>
      </c>
      <c r="BE78" s="22" t="e">
        <f>IF(A78=0,0,SUMIFS([1]Population!C:C,[1]Population!A:A,'MASTER-2025'!A78))</f>
        <v>#VALUE!</v>
      </c>
      <c r="BF78" s="22" t="e">
        <f>IF(A78=0,0,SUMIFS([1]Population!D:D,[1]Population!A:A,'MASTER-2025'!A78))</f>
        <v>#VALUE!</v>
      </c>
      <c r="BG78" s="22" t="e">
        <f>IF(A78=0,0,SUMIFS([1]Population!E:E,[1]Population!A:A,'MASTER-2025'!A78))</f>
        <v>#VALUE!</v>
      </c>
      <c r="BH78" s="22" t="e">
        <f>IF(A78=0,0,SUMIFS([1]Population!F:F,[1]Population!A:A,'MASTER-2025'!A78))</f>
        <v>#VALUE!</v>
      </c>
      <c r="BI78" s="22" t="e">
        <f t="shared" si="35"/>
        <v>#VALUE!</v>
      </c>
      <c r="BJ78" s="23" t="e">
        <f t="shared" si="30"/>
        <v>#VALUE!</v>
      </c>
      <c r="BK78" s="22" t="e">
        <f>IF(A78=0,0,SUMIFS([1]Population!G:G,[1]Population!A:A,'MASTER-2025'!A78))</f>
        <v>#VALUE!</v>
      </c>
      <c r="BL78" s="24" cm="1">
        <f t="array" ref="BL78:BW78">IFERROR(VLOOKUP(A78,'[1]Now-OB-kg-POB-25'!A:AQ,{3,4,5,6,7,8,9,10,11,12,13,14},0),0)</f>
        <v>0</v>
      </c>
      <c r="BM78" s="24">
        <v>0</v>
      </c>
      <c r="BN78" s="24">
        <v>0</v>
      </c>
      <c r="BO78" s="24">
        <v>0</v>
      </c>
      <c r="BP78" s="24">
        <v>0</v>
      </c>
      <c r="BQ78" s="24">
        <v>0</v>
      </c>
      <c r="BR78" s="24">
        <v>0</v>
      </c>
      <c r="BS78" s="24">
        <v>0</v>
      </c>
      <c r="BT78" s="24">
        <v>0</v>
      </c>
      <c r="BU78" s="24">
        <v>0</v>
      </c>
      <c r="BV78" s="24">
        <v>0</v>
      </c>
      <c r="BW78" s="24">
        <v>0</v>
      </c>
      <c r="BX78" s="24">
        <f t="shared" si="31"/>
        <v>0</v>
      </c>
      <c r="BY78" s="25" cm="1">
        <f t="array" ref="BY78:CJ78">IFERROR(VLOOKUP(A78,'[1]Now-OB-kg-POB-25'!A:AQ,{17,18,19,20,21,22,23,24,25,26,27,28},0),0)</f>
        <v>0</v>
      </c>
      <c r="BZ78" s="25">
        <v>0</v>
      </c>
      <c r="CA78" s="25">
        <v>0</v>
      </c>
      <c r="CB78" s="25">
        <v>0</v>
      </c>
      <c r="CC78" s="25">
        <v>0</v>
      </c>
      <c r="CD78" s="25">
        <v>0</v>
      </c>
      <c r="CE78" s="25">
        <v>0</v>
      </c>
      <c r="CF78" s="25">
        <v>0</v>
      </c>
      <c r="CG78" s="25">
        <v>0</v>
      </c>
      <c r="CH78" s="25">
        <v>0</v>
      </c>
      <c r="CI78" s="25">
        <v>0</v>
      </c>
      <c r="CJ78" s="25">
        <v>0</v>
      </c>
      <c r="CK78" s="25">
        <f t="shared" si="32"/>
        <v>0</v>
      </c>
      <c r="CL78" s="26" cm="1">
        <f t="array" ref="CL78:CW78">IFERROR(VLOOKUP(A78,'[1]Now-OB-kg-POB-25'!A:AQ,{31,32,33,34,35,36,37,38,39,40,41,42},0),0)</f>
        <v>0</v>
      </c>
      <c r="CM78" s="26">
        <v>0</v>
      </c>
      <c r="CN78" s="26">
        <v>0</v>
      </c>
      <c r="CO78" s="26">
        <v>0</v>
      </c>
      <c r="CP78" s="26">
        <v>0</v>
      </c>
      <c r="CQ78" s="26">
        <v>0</v>
      </c>
      <c r="CR78" s="26">
        <v>0</v>
      </c>
      <c r="CS78" s="26">
        <v>0</v>
      </c>
      <c r="CT78" s="26">
        <v>0</v>
      </c>
      <c r="CU78" s="26">
        <v>0</v>
      </c>
      <c r="CV78" s="26">
        <v>0</v>
      </c>
      <c r="CW78" s="26">
        <v>0</v>
      </c>
      <c r="CX78" s="26">
        <f t="shared" si="33"/>
        <v>0</v>
      </c>
      <c r="CY78" s="14" t="str">
        <f>IF(A78=0,0,IFERROR(VLOOKUP(A78,'[1]Info Donantes'!C:F,2,0),"Sin Contacto"))</f>
        <v>Sin Contacto</v>
      </c>
      <c r="CZ78" s="14" t="str">
        <f>IF(A78=0,0,IFERROR(VLOOKUP(A78,'[1]Info Donantes'!C:F,3,0),"Sin Correo"))</f>
        <v>Sin Correo</v>
      </c>
      <c r="DA78" s="14" t="str">
        <f>IF(A78=0,0,IFERROR(VLOOKUP(A78,'[1]Info Donantes'!C:F,4,0),"Sin Telefono"))</f>
        <v>Sin Telefono</v>
      </c>
      <c r="DB78" s="14" t="str">
        <f>IF(A78=0,0,"Reporte de Trazabiidad"&amp;" - "&amp;'[1]Donor Summary'!$C$2&amp;" - "&amp;A78&amp;"")</f>
        <v>Reporte de Trazabiidad -  - K-WORLD ENTERTAINMENT CAMPAIGN</v>
      </c>
    </row>
    <row r="79" spans="1:106" x14ac:dyDescent="0.55000000000000004">
      <c r="A79" s="31" t="s">
        <v>241</v>
      </c>
      <c r="B79" s="15">
        <f>INT(IFERROR(VLOOKUP(A79,'[1]Donor Summary'!C:F,3,0),0))</f>
        <v>0</v>
      </c>
      <c r="C79" s="15">
        <f>INT(ROUND(IFERROR(VLOOKUP(A79,'[1]Donor Summary'!C:F,4,0),0),1))</f>
        <v>0</v>
      </c>
      <c r="D79" s="16">
        <f t="shared" si="36"/>
        <v>0</v>
      </c>
      <c r="E79" s="17" t="str">
        <f t="shared" si="37"/>
        <v>0.00%</v>
      </c>
      <c r="F79" s="17" t="str">
        <f t="shared" si="38"/>
        <v>0.0%</v>
      </c>
      <c r="G79" s="15">
        <f t="shared" si="25"/>
        <v>0</v>
      </c>
      <c r="H79" s="18"/>
      <c r="I79" s="18">
        <f>IFERROR(VLOOKUP(A79,'[1]Lot All by Part'!T:Y,6,0),0)</f>
        <v>0</v>
      </c>
      <c r="J79" s="18"/>
      <c r="K79" s="19">
        <f>IFERROR(VLOOKUP($A79,'[1]Donor-Served OBs'!A:N,3,0),0)</f>
        <v>0</v>
      </c>
      <c r="L79" s="19">
        <f>ROUNDUP(IF(A79=0,0,IFERROR(VLOOKUP($A79,'[1]Donor''s Assigned Kilos'!A:O,3,0),0)),0)</f>
        <v>0</v>
      </c>
      <c r="M79" s="19">
        <f>IF(A79=0,0,IFERROR(SUMIFS([1]Population!M:M,[1]Population!J:J,'MASTER-2025'!A79),0))</f>
        <v>0</v>
      </c>
      <c r="N79" s="20">
        <f>IFERROR(VLOOKUP($A79,'[1]Donor-Served OBs'!A:N,4,0),0)</f>
        <v>0</v>
      </c>
      <c r="O79" s="20">
        <f>ROUNDUP(IF(A79=0,0,IFERROR(VLOOKUP($A79,'[1]Donor''s Assigned Kilos'!A:O,4,0),0)),0)</f>
        <v>0</v>
      </c>
      <c r="P79" s="20">
        <f>IF(A79=0,0,IFERROR(SUMIFS([1]Population!N:N,[1]Population!J:J,'MASTER-2025'!A79),0))</f>
        <v>0</v>
      </c>
      <c r="Q79" s="18">
        <f>IFERROR(VLOOKUP($A79,'[1]Donor-Served OBs'!A:N,2,0),0)</f>
        <v>0</v>
      </c>
      <c r="R79" s="18">
        <f>ROUNDUP(ROUND(IF(A79=0,0,IFERROR(VLOOKUP($A79,'[1]Donor''s Assigned Kilos'!A:O,9,0),0)),1),0)</f>
        <v>0</v>
      </c>
      <c r="S79" s="18">
        <f>IF(A79=0,0,IFERROR(SUMIFS([1]Population!S:S,[1]Population!J:J,'MASTER-2025'!A79),0))</f>
        <v>0</v>
      </c>
      <c r="T79" s="19">
        <f>IFERROR(VLOOKUP($A79,'[1]Donor-Served OBs'!A:N,12,0),0)</f>
        <v>0</v>
      </c>
      <c r="U79" s="19">
        <f>ROUNDUP(IF(A79=0,0,IF(A79=0,0,IFERROR(VLOOKUP($A79,'[1]Donor''s Assigned Kilos'!A:O,7,0),0))),0)</f>
        <v>0</v>
      </c>
      <c r="V79" s="19">
        <f>IF(A79=0,0,IFERROR(SUMIFS([1]Population!Q:Q,[1]Population!J:J,'MASTER-2025'!A79),0))</f>
        <v>0</v>
      </c>
      <c r="W79" s="20">
        <f>IFERROR(VLOOKUP($A79,'[1]Donor-Served OBs'!A:N,10,0),0)</f>
        <v>0</v>
      </c>
      <c r="X79" s="20">
        <f>ROUNDUP(IF(A79=0,0,IFERROR(VLOOKUP($A79,'[1]Donor''s Assigned Kilos'!A:N,5,0),0)),0)</f>
        <v>0</v>
      </c>
      <c r="Y79" s="20">
        <f>IF(A79=0,0,IFERROR(SUMIFS([1]Population!O:O,[1]Population!J:J,'MASTER-2025'!A79),0))</f>
        <v>0</v>
      </c>
      <c r="Z79" s="18">
        <f>IFERROR(VLOOKUP($A79,'[1]Donor-Served OBs'!A:N,6,0),0)</f>
        <v>0</v>
      </c>
      <c r="AA79" s="18">
        <f>ROUNDUP(IF(A79=0,0,IFERROR(VLOOKUP($A79,'[1]Donor''s Assigned Kilos'!A:N,11,0),0)),0)</f>
        <v>0</v>
      </c>
      <c r="AB79" s="18">
        <f>IF(A79=0,0,IFERROR(SUMIFS([1]Population!U:U,[1]Population!J:J,'MASTER-2025'!A79),0))</f>
        <v>0</v>
      </c>
      <c r="AC79" s="19">
        <f>IFERROR(VLOOKUP($A79,'[1]Donor-Served OBs'!A:N,7,0),0)</f>
        <v>0</v>
      </c>
      <c r="AD79" s="19">
        <f>ROUNDUP(IF(A79=0,0,IFERROR(VLOOKUP($A79,'[1]Donor''s Assigned Kilos'!A:N,8,0),0)),0)</f>
        <v>0</v>
      </c>
      <c r="AE79" s="19">
        <f>IF(A79=0,0,IFERROR(SUMIFS([1]Population!R:R,[1]Population!J:J,'MASTER-2025'!A79),0))</f>
        <v>0</v>
      </c>
      <c r="AF79" s="20">
        <f>IFERROR(VLOOKUP($A79,'[1]Donor-Served OBs'!A:N,8,0),0)</f>
        <v>0</v>
      </c>
      <c r="AG79" s="20">
        <f>ROUNDUP(IF(A79=0,0,IFERROR(VLOOKUP($A79,'[1]Donor''s Assigned Kilos'!A:N,6,0),0)),0)</f>
        <v>0</v>
      </c>
      <c r="AH79" s="20">
        <f>IF(A79=0,0,IFERROR(SUMIFS([1]Population!P:P,[1]Population!J:J,'MASTER-2025'!A79),0))</f>
        <v>0</v>
      </c>
      <c r="AI79" s="18">
        <f>IFERROR(VLOOKUP($A79,'[1]Donor-Served OBs'!A:N,9,0),0)</f>
        <v>0</v>
      </c>
      <c r="AJ79" s="18">
        <f>ROUNDUP(IF(A79=0,0,IFERROR(VLOOKUP($A79,'[1]Donor''s Assigned Kilos'!A:N,12,0),0)),0)</f>
        <v>0</v>
      </c>
      <c r="AK79" s="18">
        <f>IF(A79=0,0,IFERROR(SUMIFS([1]Population!V:V,[1]Population!J:J,'MASTER-2025'!A79),0))</f>
        <v>0</v>
      </c>
      <c r="AL79" s="19">
        <f>IFERROR(VLOOKUP($A79,'[1]Donor-Served OBs'!A:N,16,0),0)</f>
        <v>0</v>
      </c>
      <c r="AM79" s="19">
        <f>ROUNDUP(IF(A79=0,0,IFERROR(VLOOKUP($A79,'[1]Donor''s Assigned Kilos'!A:O,16,0),0)),0)</f>
        <v>0</v>
      </c>
      <c r="AN79" s="19">
        <f>IF(A79=0,0,IFERROR(SUMIFS([1]Population!Z:Z,[1]Population!J:J,'MASTER-2025'!A79),0))</f>
        <v>0</v>
      </c>
      <c r="AO79" s="20">
        <f>IFERROR(VLOOKUP($A79,'[1]Donor-Served OBs'!A:N,11,0),0)</f>
        <v>0</v>
      </c>
      <c r="AP79" s="20">
        <f>ROUNDUP(IF(A79=0,0,IFERROR(VLOOKUP($A79,'[1]Donor''s Assigned Kilos'!A:N,13,0),0)),0)</f>
        <v>0</v>
      </c>
      <c r="AQ79" s="20">
        <f>IF(A79=0,0,IFERROR(SUMIFS([1]Population!W:W,[1]Population!J:J,'MASTER-2025'!A79),0))</f>
        <v>0</v>
      </c>
      <c r="AR79" s="18">
        <f>IFERROR(VLOOKUP($A79,'[1]Donor-Served OBs'!A:N,5,0),0)</f>
        <v>0</v>
      </c>
      <c r="AS79" s="18">
        <f>ROUNDUP(IF(A79=0,0,IFERROR(VLOOKUP($A79,'[1]Donor''s Assigned Kilos'!A:N,10,0),0)),0)</f>
        <v>0</v>
      </c>
      <c r="AT79" s="18">
        <f>IF(A79=0,0,IFERROR(SUMIFS([1]Population!T:T,[1]Population!J:J,'MASTER-2025'!A79),0))</f>
        <v>0</v>
      </c>
      <c r="AU79" s="19">
        <f>IFERROR(VLOOKUP($A79,'[1]Donor-Served OBs'!A:N,13,0),0)</f>
        <v>0</v>
      </c>
      <c r="AV79" s="19">
        <f>ROUNDUP(IF(A79=0,0,IFERROR(VLOOKUP($A79,'[1]Donor''s Assigned Kilos'!A:N,14,0),0)),0)</f>
        <v>0</v>
      </c>
      <c r="AW79" s="19">
        <f>IF(A79=0,0,IFERROR(SUMIFS([1]Population!X:X,[1]Population!J:J,'MASTER-2025'!A79),0))</f>
        <v>0</v>
      </c>
      <c r="AX79" s="20">
        <f>IFERROR(VLOOKUP($A79,'[1]Donor-Served OBs'!A:N,16,0),0)</f>
        <v>0</v>
      </c>
      <c r="AY79" s="20">
        <f>ROUNDUP(IF(A79=0,0,IFERROR(VLOOKUP($A79,'[1]Donor''s Assigned Kilos'!A:O,16,0),0)),0)</f>
        <v>0</v>
      </c>
      <c r="AZ79" s="20">
        <f>IF(A79=0,0,IFERROR(SUMIFS([1]Population!Y:Y,[1]Population!J:J,'MASTER-2025'!A79),0))</f>
        <v>0</v>
      </c>
      <c r="BA79" s="21">
        <f t="shared" si="34"/>
        <v>0</v>
      </c>
      <c r="BB79" s="21">
        <f t="shared" si="29"/>
        <v>0</v>
      </c>
      <c r="BC79" s="21">
        <f t="shared" si="24"/>
        <v>0</v>
      </c>
      <c r="BD79" s="21">
        <f t="shared" si="26"/>
        <v>0</v>
      </c>
      <c r="BE79" s="22" t="e">
        <f>IF(A79=0,0,SUMIFS([1]Population!C:C,[1]Population!A:A,'MASTER-2025'!A79))</f>
        <v>#VALUE!</v>
      </c>
      <c r="BF79" s="22" t="e">
        <f>IF(A79=0,0,SUMIFS([1]Population!D:D,[1]Population!A:A,'MASTER-2025'!A79))</f>
        <v>#VALUE!</v>
      </c>
      <c r="BG79" s="22" t="e">
        <f>IF(A79=0,0,SUMIFS([1]Population!E:E,[1]Population!A:A,'MASTER-2025'!A79))</f>
        <v>#VALUE!</v>
      </c>
      <c r="BH79" s="22" t="e">
        <f>IF(A79=0,0,SUMIFS([1]Population!F:F,[1]Population!A:A,'MASTER-2025'!A79))</f>
        <v>#VALUE!</v>
      </c>
      <c r="BI79" s="22" t="e">
        <f t="shared" si="35"/>
        <v>#VALUE!</v>
      </c>
      <c r="BJ79" s="23" t="e">
        <f t="shared" si="30"/>
        <v>#VALUE!</v>
      </c>
      <c r="BK79" s="22" t="e">
        <f>IF(A79=0,0,SUMIFS([1]Population!G:G,[1]Population!A:A,'MASTER-2025'!A79))</f>
        <v>#VALUE!</v>
      </c>
      <c r="BL79" s="24" cm="1">
        <f t="array" ref="BL79:BW79">IFERROR(VLOOKUP(A79,'[1]Now-OB-kg-POB-25'!A:AQ,{3,4,5,6,7,8,9,10,11,12,13,14},0),0)</f>
        <v>0</v>
      </c>
      <c r="BM79" s="24">
        <v>0</v>
      </c>
      <c r="BN79" s="24">
        <v>0</v>
      </c>
      <c r="BO79" s="24">
        <v>0</v>
      </c>
      <c r="BP79" s="24">
        <v>0</v>
      </c>
      <c r="BQ79" s="24">
        <v>0</v>
      </c>
      <c r="BR79" s="24">
        <v>0</v>
      </c>
      <c r="BS79" s="24">
        <v>0</v>
      </c>
      <c r="BT79" s="24">
        <v>0</v>
      </c>
      <c r="BU79" s="24">
        <v>0</v>
      </c>
      <c r="BV79" s="24">
        <v>0</v>
      </c>
      <c r="BW79" s="24">
        <v>0</v>
      </c>
      <c r="BX79" s="24">
        <f t="shared" si="31"/>
        <v>0</v>
      </c>
      <c r="BY79" s="25" cm="1">
        <f t="array" ref="BY79:CJ79">IFERROR(VLOOKUP(A79,'[1]Now-OB-kg-POB-25'!A:AQ,{17,18,19,20,21,22,23,24,25,26,27,28},0),0)</f>
        <v>0</v>
      </c>
      <c r="BZ79" s="25">
        <v>0</v>
      </c>
      <c r="CA79" s="25">
        <v>0</v>
      </c>
      <c r="CB79" s="25">
        <v>0</v>
      </c>
      <c r="CC79" s="25">
        <v>0</v>
      </c>
      <c r="CD79" s="25">
        <v>0</v>
      </c>
      <c r="CE79" s="25">
        <v>0</v>
      </c>
      <c r="CF79" s="25">
        <v>0</v>
      </c>
      <c r="CG79" s="25">
        <v>0</v>
      </c>
      <c r="CH79" s="25">
        <v>0</v>
      </c>
      <c r="CI79" s="25">
        <v>0</v>
      </c>
      <c r="CJ79" s="25">
        <v>0</v>
      </c>
      <c r="CK79" s="25">
        <f t="shared" si="32"/>
        <v>0</v>
      </c>
      <c r="CL79" s="26" cm="1">
        <f t="array" ref="CL79:CW79">IFERROR(VLOOKUP(A79,'[1]Now-OB-kg-POB-25'!A:AQ,{31,32,33,34,35,36,37,38,39,40,41,42},0),0)</f>
        <v>0</v>
      </c>
      <c r="CM79" s="26">
        <v>0</v>
      </c>
      <c r="CN79" s="26">
        <v>0</v>
      </c>
      <c r="CO79" s="26">
        <v>0</v>
      </c>
      <c r="CP79" s="26">
        <v>0</v>
      </c>
      <c r="CQ79" s="26">
        <v>0</v>
      </c>
      <c r="CR79" s="26">
        <v>0</v>
      </c>
      <c r="CS79" s="26">
        <v>0</v>
      </c>
      <c r="CT79" s="26">
        <v>0</v>
      </c>
      <c r="CU79" s="26">
        <v>0</v>
      </c>
      <c r="CV79" s="26">
        <v>0</v>
      </c>
      <c r="CW79" s="26">
        <v>0</v>
      </c>
      <c r="CX79" s="26">
        <f t="shared" si="33"/>
        <v>0</v>
      </c>
      <c r="CY79" s="14" t="str">
        <f>IF(A79=0,0,IFERROR(VLOOKUP(A79,'[1]Info Donantes'!C:F,2,0),"Sin Contacto"))</f>
        <v>Sin Contacto</v>
      </c>
      <c r="CZ79" s="14" t="str">
        <f>IF(A79=0,0,IFERROR(VLOOKUP(A79,'[1]Info Donantes'!C:F,3,0),"Sin Correo"))</f>
        <v>Sin Correo</v>
      </c>
      <c r="DA79" s="14" t="str">
        <f>IF(A79=0,0,IFERROR(VLOOKUP(A79,'[1]Info Donantes'!C:F,4,0),"Sin Telefono"))</f>
        <v>Sin Telefono</v>
      </c>
      <c r="DB79" s="14" t="str">
        <f>IF(A79=0,0,"Reporte de Trazabiidad"&amp;" - "&amp;'[1]Donor Summary'!$C$2&amp;" - "&amp;A79&amp;"")</f>
        <v>Reporte de Trazabiidad -  - Puratos de Panamá, S.A.</v>
      </c>
    </row>
    <row r="80" spans="1:106" x14ac:dyDescent="0.55000000000000004">
      <c r="A80" s="31" t="s">
        <v>242</v>
      </c>
      <c r="B80" s="15">
        <f>INT(IFERROR(VLOOKUP(A80,'[1]Donor Summary'!C:F,3,0),0))</f>
        <v>0</v>
      </c>
      <c r="C80" s="15">
        <f>INT(ROUND(IFERROR(VLOOKUP(A80,'[1]Donor Summary'!C:F,4,0),0),1))</f>
        <v>0</v>
      </c>
      <c r="D80" s="16">
        <f t="shared" si="36"/>
        <v>0</v>
      </c>
      <c r="E80" s="17" t="str">
        <f t="shared" si="37"/>
        <v>0.00%</v>
      </c>
      <c r="F80" s="17" t="str">
        <f t="shared" si="38"/>
        <v>0.0%</v>
      </c>
      <c r="G80" s="15">
        <f t="shared" si="25"/>
        <v>0</v>
      </c>
      <c r="H80" s="18"/>
      <c r="I80" s="18">
        <f>IFERROR(VLOOKUP(A80,'[1]Lot All by Part'!T:Y,6,0),0)</f>
        <v>0</v>
      </c>
      <c r="J80" s="18"/>
      <c r="K80" s="19">
        <f>IFERROR(VLOOKUP($A80,'[1]Donor-Served OBs'!A:N,3,0),0)</f>
        <v>0</v>
      </c>
      <c r="L80" s="19">
        <f>ROUNDUP(IF(A80=0,0,IFERROR(VLOOKUP($A80,'[1]Donor''s Assigned Kilos'!A:O,3,0),0)),0)</f>
        <v>0</v>
      </c>
      <c r="M80" s="19">
        <f>IF(A80=0,0,IFERROR(SUMIFS([1]Population!M:M,[1]Population!J:J,'MASTER-2025'!A80),0))</f>
        <v>0</v>
      </c>
      <c r="N80" s="20">
        <f>IFERROR(VLOOKUP($A80,'[1]Donor-Served OBs'!A:N,4,0),0)</f>
        <v>0</v>
      </c>
      <c r="O80" s="20">
        <f>ROUNDUP(IF(A80=0,0,IFERROR(VLOOKUP($A80,'[1]Donor''s Assigned Kilos'!A:O,4,0),0)),0)</f>
        <v>0</v>
      </c>
      <c r="P80" s="20">
        <f>IF(A80=0,0,IFERROR(SUMIFS([1]Population!N:N,[1]Population!J:J,'MASTER-2025'!A80),0))</f>
        <v>0</v>
      </c>
      <c r="Q80" s="18">
        <f>IFERROR(VLOOKUP($A80,'[1]Donor-Served OBs'!A:N,2,0),0)</f>
        <v>0</v>
      </c>
      <c r="R80" s="18">
        <f>ROUNDUP(ROUND(IF(A80=0,0,IFERROR(VLOOKUP($A80,'[1]Donor''s Assigned Kilos'!A:O,9,0),0)),1),0)</f>
        <v>0</v>
      </c>
      <c r="S80" s="18">
        <f>IF(A80=0,0,IFERROR(SUMIFS([1]Population!S:S,[1]Population!J:J,'MASTER-2025'!A80),0))</f>
        <v>0</v>
      </c>
      <c r="T80" s="19">
        <f>IFERROR(VLOOKUP($A80,'[1]Donor-Served OBs'!A:N,12,0),0)</f>
        <v>0</v>
      </c>
      <c r="U80" s="19">
        <f>ROUNDUP(IF(A80=0,0,IF(A80=0,0,IFERROR(VLOOKUP($A80,'[1]Donor''s Assigned Kilos'!A:O,7,0),0))),0)</f>
        <v>0</v>
      </c>
      <c r="V80" s="19">
        <f>IF(A80=0,0,IFERROR(SUMIFS([1]Population!Q:Q,[1]Population!J:J,'MASTER-2025'!A80),0))</f>
        <v>0</v>
      </c>
      <c r="W80" s="20">
        <f>IFERROR(VLOOKUP($A80,'[1]Donor-Served OBs'!A:N,10,0),0)</f>
        <v>0</v>
      </c>
      <c r="X80" s="20">
        <f>ROUNDUP(IF(A80=0,0,IFERROR(VLOOKUP($A80,'[1]Donor''s Assigned Kilos'!A:N,5,0),0)),0)</f>
        <v>0</v>
      </c>
      <c r="Y80" s="20">
        <f>IF(A80=0,0,IFERROR(SUMIFS([1]Population!O:O,[1]Population!J:J,'MASTER-2025'!A80),0))</f>
        <v>0</v>
      </c>
      <c r="Z80" s="18">
        <f>IFERROR(VLOOKUP($A80,'[1]Donor-Served OBs'!A:N,6,0),0)</f>
        <v>0</v>
      </c>
      <c r="AA80" s="18">
        <f>ROUNDUP(IF(A80=0,0,IFERROR(VLOOKUP($A80,'[1]Donor''s Assigned Kilos'!A:N,11,0),0)),0)</f>
        <v>0</v>
      </c>
      <c r="AB80" s="18">
        <f>IF(A80=0,0,IFERROR(SUMIFS([1]Population!U:U,[1]Population!J:J,'MASTER-2025'!A80),0))</f>
        <v>0</v>
      </c>
      <c r="AC80" s="19">
        <f>IFERROR(VLOOKUP($A80,'[1]Donor-Served OBs'!A:N,7,0),0)</f>
        <v>0</v>
      </c>
      <c r="AD80" s="19">
        <f>ROUNDUP(IF(A80=0,0,IFERROR(VLOOKUP($A80,'[1]Donor''s Assigned Kilos'!A:N,8,0),0)),0)</f>
        <v>0</v>
      </c>
      <c r="AE80" s="19">
        <f>IF(A80=0,0,IFERROR(SUMIFS([1]Population!R:R,[1]Population!J:J,'MASTER-2025'!A80),0))</f>
        <v>0</v>
      </c>
      <c r="AF80" s="20">
        <f>IFERROR(VLOOKUP($A80,'[1]Donor-Served OBs'!A:N,8,0),0)</f>
        <v>0</v>
      </c>
      <c r="AG80" s="20">
        <f>ROUNDUP(IF(A80=0,0,IFERROR(VLOOKUP($A80,'[1]Donor''s Assigned Kilos'!A:N,6,0),0)),0)</f>
        <v>0</v>
      </c>
      <c r="AH80" s="20">
        <f>IF(A80=0,0,IFERROR(SUMIFS([1]Population!P:P,[1]Population!J:J,'MASTER-2025'!A80),0))</f>
        <v>0</v>
      </c>
      <c r="AI80" s="18">
        <f>IFERROR(VLOOKUP($A80,'[1]Donor-Served OBs'!A:N,9,0),0)</f>
        <v>0</v>
      </c>
      <c r="AJ80" s="18">
        <f>ROUNDUP(IF(A80=0,0,IFERROR(VLOOKUP($A80,'[1]Donor''s Assigned Kilos'!A:N,12,0),0)),0)</f>
        <v>0</v>
      </c>
      <c r="AK80" s="18">
        <f>IF(A80=0,0,IFERROR(SUMIFS([1]Population!V:V,[1]Population!J:J,'MASTER-2025'!A80),0))</f>
        <v>0</v>
      </c>
      <c r="AL80" s="19">
        <f>IFERROR(VLOOKUP($A80,'[1]Donor-Served OBs'!A:N,16,0),0)</f>
        <v>0</v>
      </c>
      <c r="AM80" s="19">
        <f>ROUNDUP(IF(A80=0,0,IFERROR(VLOOKUP($A80,'[1]Donor''s Assigned Kilos'!A:O,16,0),0)),0)</f>
        <v>0</v>
      </c>
      <c r="AN80" s="19">
        <f>IF(A80=0,0,IFERROR(SUMIFS([1]Population!Z:Z,[1]Population!J:J,'MASTER-2025'!A80),0))</f>
        <v>0</v>
      </c>
      <c r="AO80" s="20">
        <f>IFERROR(VLOOKUP($A80,'[1]Donor-Served OBs'!A:N,11,0),0)</f>
        <v>0</v>
      </c>
      <c r="AP80" s="20">
        <f>ROUNDUP(IF(A80=0,0,IFERROR(VLOOKUP($A80,'[1]Donor''s Assigned Kilos'!A:N,13,0),0)),0)</f>
        <v>0</v>
      </c>
      <c r="AQ80" s="20">
        <f>IF(A80=0,0,IFERROR(SUMIFS([1]Population!W:W,[1]Population!J:J,'MASTER-2025'!A80),0))</f>
        <v>0</v>
      </c>
      <c r="AR80" s="18">
        <f>IFERROR(VLOOKUP($A80,'[1]Donor-Served OBs'!A:N,5,0),0)</f>
        <v>0</v>
      </c>
      <c r="AS80" s="18">
        <f>ROUNDUP(IF(A80=0,0,IFERROR(VLOOKUP($A80,'[1]Donor''s Assigned Kilos'!A:N,10,0),0)),0)</f>
        <v>0</v>
      </c>
      <c r="AT80" s="18">
        <f>IF(A80=0,0,IFERROR(SUMIFS([1]Population!T:T,[1]Population!J:J,'MASTER-2025'!A80),0))</f>
        <v>0</v>
      </c>
      <c r="AU80" s="19">
        <f>IFERROR(VLOOKUP($A80,'[1]Donor-Served OBs'!A:N,13,0),0)</f>
        <v>0</v>
      </c>
      <c r="AV80" s="19">
        <f>ROUNDUP(IF(A80=0,0,IFERROR(VLOOKUP($A80,'[1]Donor''s Assigned Kilos'!A:N,14,0),0)),0)</f>
        <v>0</v>
      </c>
      <c r="AW80" s="19">
        <f>IF(A80=0,0,IFERROR(SUMIFS([1]Population!X:X,[1]Population!J:J,'MASTER-2025'!A80),0))</f>
        <v>0</v>
      </c>
      <c r="AX80" s="20">
        <f>IFERROR(VLOOKUP($A80,'[1]Donor-Served OBs'!A:N,16,0),0)</f>
        <v>0</v>
      </c>
      <c r="AY80" s="20">
        <f>ROUNDUP(IF(A80=0,0,IFERROR(VLOOKUP($A80,'[1]Donor''s Assigned Kilos'!A:O,16,0),0)),0)</f>
        <v>0</v>
      </c>
      <c r="AZ80" s="20">
        <f>IF(A80=0,0,IFERROR(SUMIFS([1]Population!Y:Y,[1]Population!J:J,'MASTER-2025'!A80),0))</f>
        <v>0</v>
      </c>
      <c r="BA80" s="21">
        <f t="shared" si="34"/>
        <v>0</v>
      </c>
      <c r="BB80" s="21">
        <f t="shared" si="29"/>
        <v>0</v>
      </c>
      <c r="BC80" s="21">
        <f t="shared" si="24"/>
        <v>0</v>
      </c>
      <c r="BD80" s="21">
        <f t="shared" si="26"/>
        <v>0</v>
      </c>
      <c r="BE80" s="22" t="e">
        <f>IF(A80=0,0,SUMIFS([1]Population!C:C,[1]Population!A:A,'MASTER-2025'!A80))</f>
        <v>#VALUE!</v>
      </c>
      <c r="BF80" s="22" t="e">
        <f>IF(A80=0,0,SUMIFS([1]Population!D:D,[1]Population!A:A,'MASTER-2025'!A80))</f>
        <v>#VALUE!</v>
      </c>
      <c r="BG80" s="22" t="e">
        <f>IF(A80=0,0,SUMIFS([1]Population!E:E,[1]Population!A:A,'MASTER-2025'!A80))</f>
        <v>#VALUE!</v>
      </c>
      <c r="BH80" s="22" t="e">
        <f>IF(A80=0,0,SUMIFS([1]Population!F:F,[1]Population!A:A,'MASTER-2025'!A80))</f>
        <v>#VALUE!</v>
      </c>
      <c r="BI80" s="22" t="e">
        <f t="shared" si="35"/>
        <v>#VALUE!</v>
      </c>
      <c r="BJ80" s="23" t="e">
        <f t="shared" si="30"/>
        <v>#VALUE!</v>
      </c>
      <c r="BK80" s="22" t="e">
        <f>IF(A80=0,0,SUMIFS([1]Population!G:G,[1]Population!A:A,'MASTER-2025'!A80))</f>
        <v>#VALUE!</v>
      </c>
      <c r="BL80" s="24" cm="1">
        <f t="array" ref="BL80:BW80">IFERROR(VLOOKUP(A80,'[1]Now-OB-kg-POB-25'!A:AQ,{3,4,5,6,7,8,9,10,11,12,13,14},0),0)</f>
        <v>0</v>
      </c>
      <c r="BM80" s="24">
        <v>0</v>
      </c>
      <c r="BN80" s="24">
        <v>0</v>
      </c>
      <c r="BO80" s="24">
        <v>0</v>
      </c>
      <c r="BP80" s="24">
        <v>0</v>
      </c>
      <c r="BQ80" s="24">
        <v>0</v>
      </c>
      <c r="BR80" s="24">
        <v>0</v>
      </c>
      <c r="BS80" s="24">
        <v>0</v>
      </c>
      <c r="BT80" s="24">
        <v>0</v>
      </c>
      <c r="BU80" s="24">
        <v>0</v>
      </c>
      <c r="BV80" s="24">
        <v>0</v>
      </c>
      <c r="BW80" s="24">
        <v>0</v>
      </c>
      <c r="BX80" s="24">
        <f t="shared" si="31"/>
        <v>0</v>
      </c>
      <c r="BY80" s="25" cm="1">
        <f t="array" ref="BY80:CJ80">IFERROR(VLOOKUP(A80,'[1]Now-OB-kg-POB-25'!A:AQ,{17,18,19,20,21,22,23,24,25,26,27,28},0),0)</f>
        <v>0</v>
      </c>
      <c r="BZ80" s="25">
        <v>0</v>
      </c>
      <c r="CA80" s="25">
        <v>0</v>
      </c>
      <c r="CB80" s="25">
        <v>0</v>
      </c>
      <c r="CC80" s="25">
        <v>0</v>
      </c>
      <c r="CD80" s="25">
        <v>0</v>
      </c>
      <c r="CE80" s="25">
        <v>0</v>
      </c>
      <c r="CF80" s="25">
        <v>0</v>
      </c>
      <c r="CG80" s="25">
        <v>0</v>
      </c>
      <c r="CH80" s="25">
        <v>0</v>
      </c>
      <c r="CI80" s="25">
        <v>0</v>
      </c>
      <c r="CJ80" s="25">
        <v>0</v>
      </c>
      <c r="CK80" s="25">
        <f t="shared" si="32"/>
        <v>0</v>
      </c>
      <c r="CL80" s="26" cm="1">
        <f t="array" ref="CL80:CW80">IFERROR(VLOOKUP(A80,'[1]Now-OB-kg-POB-25'!A:AQ,{31,32,33,34,35,36,37,38,39,40,41,42},0),0)</f>
        <v>0</v>
      </c>
      <c r="CM80" s="26">
        <v>0</v>
      </c>
      <c r="CN80" s="26">
        <v>0</v>
      </c>
      <c r="CO80" s="26">
        <v>0</v>
      </c>
      <c r="CP80" s="26">
        <v>0</v>
      </c>
      <c r="CQ80" s="26">
        <v>0</v>
      </c>
      <c r="CR80" s="26">
        <v>0</v>
      </c>
      <c r="CS80" s="26">
        <v>0</v>
      </c>
      <c r="CT80" s="26">
        <v>0</v>
      </c>
      <c r="CU80" s="26">
        <v>0</v>
      </c>
      <c r="CV80" s="26">
        <v>0</v>
      </c>
      <c r="CW80" s="26">
        <v>0</v>
      </c>
      <c r="CX80" s="26">
        <f t="shared" si="33"/>
        <v>0</v>
      </c>
      <c r="CY80" s="14">
        <f>IF(A80=0,0,IFERROR(VLOOKUP(A80,'[1]Info Donantes'!C:F,2,0),"Sin Contacto"))</f>
        <v>0</v>
      </c>
      <c r="CZ80" s="14">
        <f>IF(A80=0,0,IFERROR(VLOOKUP(A80,'[1]Info Donantes'!C:F,3,0),"Sin Correo"))</f>
        <v>0</v>
      </c>
      <c r="DA80" s="14">
        <f>IF(A80=0,0,IFERROR(VLOOKUP(A80,'[1]Info Donantes'!C:F,4,0),"Sin Telefono"))</f>
        <v>0</v>
      </c>
      <c r="DB80" s="14" t="str">
        <f>IF(A80=0,0,"Reporte de Trazabiidad"&amp;" - "&amp;'[1]Donor Summary'!$C$2&amp;" - "&amp;A80&amp;"")</f>
        <v>Reporte de Trazabiidad -  - UNITED WAY</v>
      </c>
    </row>
    <row r="81" spans="1:106" x14ac:dyDescent="0.55000000000000004">
      <c r="A81" s="31" t="s">
        <v>243</v>
      </c>
      <c r="B81" s="15">
        <f>INT(IFERROR(VLOOKUP(A81,'[1]Donor Summary'!C:F,3,0),0))</f>
        <v>0</v>
      </c>
      <c r="C81" s="15">
        <f>INT(ROUND(IFERROR(VLOOKUP(A81,'[1]Donor Summary'!C:F,4,0),0),1))</f>
        <v>0</v>
      </c>
      <c r="D81" s="16">
        <f t="shared" si="36"/>
        <v>0</v>
      </c>
      <c r="E81" s="17" t="str">
        <f t="shared" si="37"/>
        <v>0.00%</v>
      </c>
      <c r="F81" s="17" t="str">
        <f t="shared" si="38"/>
        <v>0.0%</v>
      </c>
      <c r="G81" s="15">
        <f t="shared" si="25"/>
        <v>0</v>
      </c>
      <c r="H81" s="18"/>
      <c r="I81" s="18">
        <f>IFERROR(VLOOKUP(A81,'[1]Lot All by Part'!T:Y,6,0),0)</f>
        <v>0</v>
      </c>
      <c r="J81" s="18"/>
      <c r="K81" s="19">
        <f>IFERROR(VLOOKUP($A81,'[1]Donor-Served OBs'!A:N,3,0),0)</f>
        <v>0</v>
      </c>
      <c r="L81" s="19">
        <f>ROUNDUP(IF(A81=0,0,IFERROR(VLOOKUP($A81,'[1]Donor''s Assigned Kilos'!A:O,3,0),0)),0)</f>
        <v>0</v>
      </c>
      <c r="M81" s="19">
        <f>IF(A81=0,0,IFERROR(SUMIFS([1]Population!M:M,[1]Population!J:J,'MASTER-2025'!A81),0))</f>
        <v>0</v>
      </c>
      <c r="N81" s="20">
        <f>IFERROR(VLOOKUP($A81,'[1]Donor-Served OBs'!A:N,4,0),0)</f>
        <v>0</v>
      </c>
      <c r="O81" s="20">
        <f>ROUNDUP(IF(A81=0,0,IFERROR(VLOOKUP($A81,'[1]Donor''s Assigned Kilos'!A:O,4,0),0)),0)</f>
        <v>0</v>
      </c>
      <c r="P81" s="20">
        <f>IF(A81=0,0,IFERROR(SUMIFS([1]Population!N:N,[1]Population!J:J,'MASTER-2025'!A81),0))</f>
        <v>0</v>
      </c>
      <c r="Q81" s="18">
        <f>IFERROR(VLOOKUP($A81,'[1]Donor-Served OBs'!A:N,2,0),0)</f>
        <v>0</v>
      </c>
      <c r="R81" s="18">
        <f>ROUNDUP(ROUND(IF(A81=0,0,IFERROR(VLOOKUP($A81,'[1]Donor''s Assigned Kilos'!A:O,9,0),0)),1),0)</f>
        <v>0</v>
      </c>
      <c r="S81" s="18">
        <f>IF(A81=0,0,IFERROR(SUMIFS([1]Population!S:S,[1]Population!J:J,'MASTER-2025'!A81),0))</f>
        <v>0</v>
      </c>
      <c r="T81" s="19">
        <f>IFERROR(VLOOKUP($A81,'[1]Donor-Served OBs'!A:N,12,0),0)</f>
        <v>0</v>
      </c>
      <c r="U81" s="19">
        <f>ROUNDUP(IF(A81=0,0,IF(A81=0,0,IFERROR(VLOOKUP($A81,'[1]Donor''s Assigned Kilos'!A:O,7,0),0))),0)</f>
        <v>0</v>
      </c>
      <c r="V81" s="19">
        <f>IF(A81=0,0,IFERROR(SUMIFS([1]Population!Q:Q,[1]Population!J:J,'MASTER-2025'!A81),0))</f>
        <v>0</v>
      </c>
      <c r="W81" s="20">
        <f>IFERROR(VLOOKUP($A81,'[1]Donor-Served OBs'!A:N,10,0),0)</f>
        <v>0</v>
      </c>
      <c r="X81" s="20">
        <f>ROUNDUP(IF(A81=0,0,IFERROR(VLOOKUP($A81,'[1]Donor''s Assigned Kilos'!A:N,5,0),0)),0)</f>
        <v>0</v>
      </c>
      <c r="Y81" s="20">
        <f>IF(A81=0,0,IFERROR(SUMIFS([1]Population!O:O,[1]Population!J:J,'MASTER-2025'!A81),0))</f>
        <v>0</v>
      </c>
      <c r="Z81" s="18">
        <f>IFERROR(VLOOKUP($A81,'[1]Donor-Served OBs'!A:N,6,0),0)</f>
        <v>0</v>
      </c>
      <c r="AA81" s="18">
        <f>ROUNDUP(IF(A81=0,0,IFERROR(VLOOKUP($A81,'[1]Donor''s Assigned Kilos'!A:N,11,0),0)),0)</f>
        <v>0</v>
      </c>
      <c r="AB81" s="18">
        <f>IF(A81=0,0,IFERROR(SUMIFS([1]Population!U:U,[1]Population!J:J,'MASTER-2025'!A81),0))</f>
        <v>0</v>
      </c>
      <c r="AC81" s="19">
        <f>IFERROR(VLOOKUP($A81,'[1]Donor-Served OBs'!A:N,7,0),0)</f>
        <v>0</v>
      </c>
      <c r="AD81" s="19">
        <f>ROUNDUP(IF(A81=0,0,IFERROR(VLOOKUP($A81,'[1]Donor''s Assigned Kilos'!A:N,8,0),0)),0)</f>
        <v>0</v>
      </c>
      <c r="AE81" s="19">
        <f>IF(A81=0,0,IFERROR(SUMIFS([1]Population!R:R,[1]Population!J:J,'MASTER-2025'!A81),0))</f>
        <v>0</v>
      </c>
      <c r="AF81" s="20">
        <f>IFERROR(VLOOKUP($A81,'[1]Donor-Served OBs'!A:N,8,0),0)</f>
        <v>0</v>
      </c>
      <c r="AG81" s="20">
        <f>ROUNDUP(IF(A81=0,0,IFERROR(VLOOKUP($A81,'[1]Donor''s Assigned Kilos'!A:N,6,0),0)),0)</f>
        <v>0</v>
      </c>
      <c r="AH81" s="20">
        <f>IF(A81=0,0,IFERROR(SUMIFS([1]Population!P:P,[1]Population!J:J,'MASTER-2025'!A81),0))</f>
        <v>0</v>
      </c>
      <c r="AI81" s="18">
        <f>IFERROR(VLOOKUP($A81,'[1]Donor-Served OBs'!A:N,9,0),0)</f>
        <v>0</v>
      </c>
      <c r="AJ81" s="18">
        <f>ROUNDUP(IF(A81=0,0,IFERROR(VLOOKUP($A81,'[1]Donor''s Assigned Kilos'!A:N,12,0),0)),0)</f>
        <v>0</v>
      </c>
      <c r="AK81" s="18">
        <f>IF(A81=0,0,IFERROR(SUMIFS([1]Population!V:V,[1]Population!J:J,'MASTER-2025'!A81),0))</f>
        <v>0</v>
      </c>
      <c r="AL81" s="19">
        <f>IFERROR(VLOOKUP($A81,'[1]Donor-Served OBs'!A:N,16,0),0)</f>
        <v>0</v>
      </c>
      <c r="AM81" s="19">
        <f>ROUNDUP(IF(A81=0,0,IFERROR(VLOOKUP($A81,'[1]Donor''s Assigned Kilos'!A:O,16,0),0)),0)</f>
        <v>0</v>
      </c>
      <c r="AN81" s="19">
        <f>IF(A81=0,0,IFERROR(SUMIFS([1]Population!Z:Z,[1]Population!J:J,'MASTER-2025'!A81),0))</f>
        <v>0</v>
      </c>
      <c r="AO81" s="20">
        <f>IFERROR(VLOOKUP($A81,'[1]Donor-Served OBs'!A:N,11,0),0)</f>
        <v>0</v>
      </c>
      <c r="AP81" s="20">
        <f>ROUNDUP(IF(A81=0,0,IFERROR(VLOOKUP($A81,'[1]Donor''s Assigned Kilos'!A:N,13,0),0)),0)</f>
        <v>0</v>
      </c>
      <c r="AQ81" s="20">
        <f>IF(A81=0,0,IFERROR(SUMIFS([1]Population!W:W,[1]Population!J:J,'MASTER-2025'!A81),0))</f>
        <v>0</v>
      </c>
      <c r="AR81" s="18">
        <f>IFERROR(VLOOKUP($A81,'[1]Donor-Served OBs'!A:N,5,0),0)</f>
        <v>0</v>
      </c>
      <c r="AS81" s="18">
        <f>ROUNDUP(IF(A81=0,0,IFERROR(VLOOKUP($A81,'[1]Donor''s Assigned Kilos'!A:N,10,0),0)),0)</f>
        <v>0</v>
      </c>
      <c r="AT81" s="18">
        <f>IF(A81=0,0,IFERROR(SUMIFS([1]Population!T:T,[1]Population!J:J,'MASTER-2025'!A81),0))</f>
        <v>0</v>
      </c>
      <c r="AU81" s="19">
        <f>IFERROR(VLOOKUP($A81,'[1]Donor-Served OBs'!A:N,13,0),0)</f>
        <v>0</v>
      </c>
      <c r="AV81" s="19">
        <f>ROUNDUP(IF(A81=0,0,IFERROR(VLOOKUP($A81,'[1]Donor''s Assigned Kilos'!A:N,14,0),0)),0)</f>
        <v>0</v>
      </c>
      <c r="AW81" s="19">
        <f>IF(A81=0,0,IFERROR(SUMIFS([1]Population!X:X,[1]Population!J:J,'MASTER-2025'!A81),0))</f>
        <v>0</v>
      </c>
      <c r="AX81" s="20">
        <f>IFERROR(VLOOKUP($A81,'[1]Donor-Served OBs'!A:N,16,0),0)</f>
        <v>0</v>
      </c>
      <c r="AY81" s="20">
        <f>ROUNDUP(IF(A81=0,0,IFERROR(VLOOKUP($A81,'[1]Donor''s Assigned Kilos'!A:O,16,0),0)),0)</f>
        <v>0</v>
      </c>
      <c r="AZ81" s="20">
        <f>IF(A81=0,0,IFERROR(SUMIFS([1]Population!Y:Y,[1]Population!J:J,'MASTER-2025'!A81),0))</f>
        <v>0</v>
      </c>
      <c r="BA81" s="21">
        <f t="shared" si="34"/>
        <v>0</v>
      </c>
      <c r="BB81" s="21">
        <f t="shared" si="29"/>
        <v>0</v>
      </c>
      <c r="BC81" s="21">
        <f t="shared" ref="BC81:BC130" si="39">ROUND(I81+L81+O81+R81+U81,0)</f>
        <v>0</v>
      </c>
      <c r="BD81" s="21">
        <f t="shared" si="26"/>
        <v>0</v>
      </c>
      <c r="BE81" s="22" t="e">
        <f>IF(A81=0,0,SUMIFS([1]Population!C:C,[1]Population!A:A,'MASTER-2025'!A81))</f>
        <v>#VALUE!</v>
      </c>
      <c r="BF81" s="22" t="e">
        <f>IF(A81=0,0,SUMIFS([1]Population!D:D,[1]Population!A:A,'MASTER-2025'!A81))</f>
        <v>#VALUE!</v>
      </c>
      <c r="BG81" s="22" t="e">
        <f>IF(A81=0,0,SUMIFS([1]Population!E:E,[1]Population!A:A,'MASTER-2025'!A81))</f>
        <v>#VALUE!</v>
      </c>
      <c r="BH81" s="22" t="e">
        <f>IF(A81=0,0,SUMIFS([1]Population!F:F,[1]Population!A:A,'MASTER-2025'!A81))</f>
        <v>#VALUE!</v>
      </c>
      <c r="BI81" s="22" t="e">
        <f t="shared" si="35"/>
        <v>#VALUE!</v>
      </c>
      <c r="BJ81" s="23" t="e">
        <f t="shared" si="30"/>
        <v>#VALUE!</v>
      </c>
      <c r="BK81" s="22" t="e">
        <f>IF(A81=0,0,SUMIFS([1]Population!G:G,[1]Population!A:A,'MASTER-2025'!A81))</f>
        <v>#VALUE!</v>
      </c>
      <c r="BL81" s="24" cm="1">
        <f t="array" ref="BL81:BW81">IFERROR(VLOOKUP(A81,'[1]Now-OB-kg-POB-25'!A:AQ,{3,4,5,6,7,8,9,10,11,12,13,14},0),0)</f>
        <v>0</v>
      </c>
      <c r="BM81" s="24">
        <v>0</v>
      </c>
      <c r="BN81" s="24">
        <v>0</v>
      </c>
      <c r="BO81" s="24">
        <v>0</v>
      </c>
      <c r="BP81" s="24">
        <v>0</v>
      </c>
      <c r="BQ81" s="24">
        <v>0</v>
      </c>
      <c r="BR81" s="24">
        <v>0</v>
      </c>
      <c r="BS81" s="24">
        <v>0</v>
      </c>
      <c r="BT81" s="24">
        <v>0</v>
      </c>
      <c r="BU81" s="24">
        <v>0</v>
      </c>
      <c r="BV81" s="24">
        <v>0</v>
      </c>
      <c r="BW81" s="24">
        <v>0</v>
      </c>
      <c r="BX81" s="24">
        <f t="shared" si="31"/>
        <v>0</v>
      </c>
      <c r="BY81" s="25" cm="1">
        <f t="array" ref="BY81:CJ81">IFERROR(VLOOKUP(A81,'[1]Now-OB-kg-POB-25'!A:AQ,{17,18,19,20,21,22,23,24,25,26,27,28},0),0)</f>
        <v>0</v>
      </c>
      <c r="BZ81" s="25">
        <v>0</v>
      </c>
      <c r="CA81" s="25">
        <v>0</v>
      </c>
      <c r="CB81" s="25">
        <v>0</v>
      </c>
      <c r="CC81" s="25">
        <v>0</v>
      </c>
      <c r="CD81" s="25">
        <v>0</v>
      </c>
      <c r="CE81" s="25">
        <v>0</v>
      </c>
      <c r="CF81" s="25">
        <v>0</v>
      </c>
      <c r="CG81" s="25">
        <v>0</v>
      </c>
      <c r="CH81" s="25">
        <v>0</v>
      </c>
      <c r="CI81" s="25">
        <v>0</v>
      </c>
      <c r="CJ81" s="25">
        <v>0</v>
      </c>
      <c r="CK81" s="25">
        <f t="shared" si="32"/>
        <v>0</v>
      </c>
      <c r="CL81" s="26" cm="1">
        <f t="array" ref="CL81:CW81">IFERROR(VLOOKUP(A81,'[1]Now-OB-kg-POB-25'!A:AQ,{31,32,33,34,35,36,37,38,39,40,41,42},0),0)</f>
        <v>0</v>
      </c>
      <c r="CM81" s="26">
        <v>0</v>
      </c>
      <c r="CN81" s="26">
        <v>0</v>
      </c>
      <c r="CO81" s="26">
        <v>0</v>
      </c>
      <c r="CP81" s="26">
        <v>0</v>
      </c>
      <c r="CQ81" s="26">
        <v>0</v>
      </c>
      <c r="CR81" s="26">
        <v>0</v>
      </c>
      <c r="CS81" s="26">
        <v>0</v>
      </c>
      <c r="CT81" s="26">
        <v>0</v>
      </c>
      <c r="CU81" s="26">
        <v>0</v>
      </c>
      <c r="CV81" s="26">
        <v>0</v>
      </c>
      <c r="CW81" s="26">
        <v>0</v>
      </c>
      <c r="CX81" s="26">
        <f t="shared" si="33"/>
        <v>0</v>
      </c>
      <c r="CY81" s="14" t="str">
        <f>IF(A81=0,0,IFERROR(VLOOKUP(A81,'[1]Info Donantes'!C:F,2,0),"Sin Contacto"))</f>
        <v>Liurys Jiménez</v>
      </c>
      <c r="CZ81" s="14" t="str">
        <f>IF(A81=0,0,IFERROR(VLOOKUP(A81,'[1]Info Donantes'!C:F,3,0),"Sin Correo"))</f>
        <v>liurys.jimenez@supercarnes.com</v>
      </c>
      <c r="DA81" s="14" t="str">
        <f>IF(A81=0,0,IFERROR(VLOOKUP(A81,'[1]Info Donantes'!C:F,4,0),"Sin Telefono"))</f>
        <v>6604-1844</v>
      </c>
      <c r="DB81" s="14" t="str">
        <f>IF(A81=0,0,"Reporte de Trazabiidad"&amp;" - "&amp;'[1]Donor Summary'!$C$2&amp;" - "&amp;A81&amp;"")</f>
        <v>Reporte de Trazabiidad -  - IMPORTADORA VIRZI S.A.</v>
      </c>
    </row>
    <row r="82" spans="1:106" x14ac:dyDescent="0.55000000000000004">
      <c r="A82" s="31" t="s">
        <v>244</v>
      </c>
      <c r="B82" s="15">
        <f>INT(IFERROR(VLOOKUP(A82,'[1]Donor Summary'!C:F,3,0),0))</f>
        <v>0</v>
      </c>
      <c r="C82" s="15">
        <f>INT(ROUND(IFERROR(VLOOKUP(A82,'[1]Donor Summary'!C:F,4,0),0),1))</f>
        <v>0</v>
      </c>
      <c r="D82" s="16">
        <f t="shared" si="36"/>
        <v>0</v>
      </c>
      <c r="E82" s="17" t="str">
        <f t="shared" si="37"/>
        <v>0.00%</v>
      </c>
      <c r="F82" s="17" t="str">
        <f t="shared" si="38"/>
        <v>0.0%</v>
      </c>
      <c r="G82" s="15">
        <f t="shared" si="25"/>
        <v>0</v>
      </c>
      <c r="H82" s="18"/>
      <c r="I82" s="18">
        <f>IFERROR(VLOOKUP(A82,'[1]Lot All by Part'!T:Y,6,0),0)</f>
        <v>0</v>
      </c>
      <c r="J82" s="18"/>
      <c r="K82" s="19">
        <f>IFERROR(VLOOKUP($A82,'[1]Donor-Served OBs'!A:N,3,0),0)</f>
        <v>0</v>
      </c>
      <c r="L82" s="19">
        <f>ROUNDUP(IF(A82=0,0,IFERROR(VLOOKUP($A82,'[1]Donor''s Assigned Kilos'!A:O,3,0),0)),0)</f>
        <v>0</v>
      </c>
      <c r="M82" s="19">
        <f>IF(A82=0,0,IFERROR(SUMIFS([1]Population!M:M,[1]Population!J:J,'MASTER-2025'!A82),0))</f>
        <v>0</v>
      </c>
      <c r="N82" s="20">
        <f>IFERROR(VLOOKUP($A82,'[1]Donor-Served OBs'!A:N,4,0),0)</f>
        <v>0</v>
      </c>
      <c r="O82" s="20">
        <f>ROUNDUP(IF(A82=0,0,IFERROR(VLOOKUP($A82,'[1]Donor''s Assigned Kilos'!A:O,4,0),0)),0)</f>
        <v>0</v>
      </c>
      <c r="P82" s="20">
        <f>IF(A82=0,0,IFERROR(SUMIFS([1]Population!N:N,[1]Population!J:J,'MASTER-2025'!A82),0))</f>
        <v>0</v>
      </c>
      <c r="Q82" s="18">
        <f>IFERROR(VLOOKUP($A82,'[1]Donor-Served OBs'!A:N,2,0),0)</f>
        <v>0</v>
      </c>
      <c r="R82" s="18">
        <f>ROUNDUP(ROUND(IF(A82=0,0,IFERROR(VLOOKUP($A82,'[1]Donor''s Assigned Kilos'!A:O,9,0),0)),1),0)</f>
        <v>0</v>
      </c>
      <c r="S82" s="18">
        <f>IF(A82=0,0,IFERROR(SUMIFS([1]Population!S:S,[1]Population!J:J,'MASTER-2025'!A82),0))</f>
        <v>0</v>
      </c>
      <c r="T82" s="19">
        <f>IFERROR(VLOOKUP($A82,'[1]Donor-Served OBs'!A:N,12,0),0)</f>
        <v>0</v>
      </c>
      <c r="U82" s="19">
        <f>ROUNDUP(IF(A82=0,0,IF(A82=0,0,IFERROR(VLOOKUP($A82,'[1]Donor''s Assigned Kilos'!A:O,7,0),0))),0)</f>
        <v>0</v>
      </c>
      <c r="V82" s="19">
        <f>IF(A82=0,0,IFERROR(SUMIFS([1]Population!Q:Q,[1]Population!J:J,'MASTER-2025'!A82),0))</f>
        <v>0</v>
      </c>
      <c r="W82" s="20">
        <f>IFERROR(VLOOKUP($A82,'[1]Donor-Served OBs'!A:N,10,0),0)</f>
        <v>0</v>
      </c>
      <c r="X82" s="20">
        <f>ROUNDUP(IF(A82=0,0,IFERROR(VLOOKUP($A82,'[1]Donor''s Assigned Kilos'!A:N,5,0),0)),0)</f>
        <v>0</v>
      </c>
      <c r="Y82" s="20">
        <f>IF(A82=0,0,IFERROR(SUMIFS([1]Population!O:O,[1]Population!J:J,'MASTER-2025'!A82),0))</f>
        <v>0</v>
      </c>
      <c r="Z82" s="18">
        <f>IFERROR(VLOOKUP($A82,'[1]Donor-Served OBs'!A:N,6,0),0)</f>
        <v>0</v>
      </c>
      <c r="AA82" s="18">
        <f>ROUNDUP(IF(A82=0,0,IFERROR(VLOOKUP($A82,'[1]Donor''s Assigned Kilos'!A:N,11,0),0)),0)</f>
        <v>0</v>
      </c>
      <c r="AB82" s="18">
        <f>IF(A82=0,0,IFERROR(SUMIFS([1]Population!U:U,[1]Population!J:J,'MASTER-2025'!A82),0))</f>
        <v>0</v>
      </c>
      <c r="AC82" s="19">
        <f>IFERROR(VLOOKUP($A82,'[1]Donor-Served OBs'!A:N,7,0),0)</f>
        <v>0</v>
      </c>
      <c r="AD82" s="19">
        <f>ROUNDUP(IF(A82=0,0,IFERROR(VLOOKUP($A82,'[1]Donor''s Assigned Kilos'!A:N,8,0),0)),0)</f>
        <v>0</v>
      </c>
      <c r="AE82" s="19">
        <f>IF(A82=0,0,IFERROR(SUMIFS([1]Population!R:R,[1]Population!J:J,'MASTER-2025'!A82),0))</f>
        <v>0</v>
      </c>
      <c r="AF82" s="20">
        <f>IFERROR(VLOOKUP($A82,'[1]Donor-Served OBs'!A:N,8,0),0)</f>
        <v>0</v>
      </c>
      <c r="AG82" s="20">
        <f>ROUNDUP(IF(A82=0,0,IFERROR(VLOOKUP($A82,'[1]Donor''s Assigned Kilos'!A:N,6,0),0)),0)</f>
        <v>0</v>
      </c>
      <c r="AH82" s="20">
        <f>IF(A82=0,0,IFERROR(SUMIFS([1]Population!P:P,[1]Population!J:J,'MASTER-2025'!A82),0))</f>
        <v>0</v>
      </c>
      <c r="AI82" s="18">
        <f>IFERROR(VLOOKUP($A82,'[1]Donor-Served OBs'!A:N,9,0),0)</f>
        <v>0</v>
      </c>
      <c r="AJ82" s="18">
        <f>ROUNDUP(IF(A82=0,0,IFERROR(VLOOKUP($A82,'[1]Donor''s Assigned Kilos'!A:N,12,0),0)),0)</f>
        <v>0</v>
      </c>
      <c r="AK82" s="18">
        <f>IF(A82=0,0,IFERROR(SUMIFS([1]Population!V:V,[1]Population!J:J,'MASTER-2025'!A82),0))</f>
        <v>0</v>
      </c>
      <c r="AL82" s="19">
        <f>IFERROR(VLOOKUP($A82,'[1]Donor-Served OBs'!A:N,16,0),0)</f>
        <v>0</v>
      </c>
      <c r="AM82" s="19">
        <f>ROUNDUP(IF(A82=0,0,IFERROR(VLOOKUP($A82,'[1]Donor''s Assigned Kilos'!A:O,16,0),0)),0)</f>
        <v>0</v>
      </c>
      <c r="AN82" s="19">
        <f>IF(A82=0,0,IFERROR(SUMIFS([1]Population!Z:Z,[1]Population!J:J,'MASTER-2025'!A82),0))</f>
        <v>0</v>
      </c>
      <c r="AO82" s="20">
        <f>IFERROR(VLOOKUP($A82,'[1]Donor-Served OBs'!A:N,11,0),0)</f>
        <v>0</v>
      </c>
      <c r="AP82" s="20">
        <f>ROUNDUP(IF(A82=0,0,IFERROR(VLOOKUP($A82,'[1]Donor''s Assigned Kilos'!A:N,13,0),0)),0)</f>
        <v>0</v>
      </c>
      <c r="AQ82" s="20">
        <f>IF(A82=0,0,IFERROR(SUMIFS([1]Population!W:W,[1]Population!J:J,'MASTER-2025'!A82),0))</f>
        <v>0</v>
      </c>
      <c r="AR82" s="18">
        <f>IFERROR(VLOOKUP($A82,'[1]Donor-Served OBs'!A:N,5,0),0)</f>
        <v>0</v>
      </c>
      <c r="AS82" s="18">
        <f>ROUNDUP(IF(A82=0,0,IFERROR(VLOOKUP($A82,'[1]Donor''s Assigned Kilos'!A:N,10,0),0)),0)</f>
        <v>0</v>
      </c>
      <c r="AT82" s="18">
        <f>IF(A82=0,0,IFERROR(SUMIFS([1]Population!T:T,[1]Population!J:J,'MASTER-2025'!A82),0))</f>
        <v>0</v>
      </c>
      <c r="AU82" s="19">
        <f>IFERROR(VLOOKUP($A82,'[1]Donor-Served OBs'!A:N,13,0),0)</f>
        <v>0</v>
      </c>
      <c r="AV82" s="19">
        <f>ROUNDUP(IF(A82=0,0,IFERROR(VLOOKUP($A82,'[1]Donor''s Assigned Kilos'!A:N,14,0),0)),0)</f>
        <v>0</v>
      </c>
      <c r="AW82" s="19">
        <f>IF(A82=0,0,IFERROR(SUMIFS([1]Population!X:X,[1]Population!J:J,'MASTER-2025'!A82),0))</f>
        <v>0</v>
      </c>
      <c r="AX82" s="20">
        <f>IFERROR(VLOOKUP($A82,'[1]Donor-Served OBs'!A:N,16,0),0)</f>
        <v>0</v>
      </c>
      <c r="AY82" s="20">
        <f>ROUNDUP(IF(A82=0,0,IFERROR(VLOOKUP($A82,'[1]Donor''s Assigned Kilos'!A:O,16,0),0)),0)</f>
        <v>0</v>
      </c>
      <c r="AZ82" s="20">
        <f>IF(A82=0,0,IFERROR(SUMIFS([1]Population!Y:Y,[1]Population!J:J,'MASTER-2025'!A82),0))</f>
        <v>0</v>
      </c>
      <c r="BA82" s="21">
        <f t="shared" si="34"/>
        <v>0</v>
      </c>
      <c r="BB82" s="21">
        <f t="shared" si="29"/>
        <v>0</v>
      </c>
      <c r="BC82" s="21">
        <f t="shared" si="39"/>
        <v>0</v>
      </c>
      <c r="BD82" s="21">
        <f t="shared" si="26"/>
        <v>0</v>
      </c>
      <c r="BE82" s="22" t="e">
        <f>IF(A82=0,0,SUMIFS([1]Population!C:C,[1]Population!A:A,'MASTER-2025'!A82))</f>
        <v>#VALUE!</v>
      </c>
      <c r="BF82" s="22" t="e">
        <f>IF(A82=0,0,SUMIFS([1]Population!D:D,[1]Population!A:A,'MASTER-2025'!A82))</f>
        <v>#VALUE!</v>
      </c>
      <c r="BG82" s="22" t="e">
        <f>IF(A82=0,0,SUMIFS([1]Population!E:E,[1]Population!A:A,'MASTER-2025'!A82))</f>
        <v>#VALUE!</v>
      </c>
      <c r="BH82" s="22" t="e">
        <f>IF(A82=0,0,SUMIFS([1]Population!F:F,[1]Population!A:A,'MASTER-2025'!A82))</f>
        <v>#VALUE!</v>
      </c>
      <c r="BI82" s="22" t="e">
        <f t="shared" si="35"/>
        <v>#VALUE!</v>
      </c>
      <c r="BJ82" s="23" t="e">
        <f t="shared" si="30"/>
        <v>#VALUE!</v>
      </c>
      <c r="BK82" s="22" t="e">
        <f>IF(A82=0,0,SUMIFS([1]Population!G:G,[1]Population!A:A,'MASTER-2025'!A82))</f>
        <v>#VALUE!</v>
      </c>
      <c r="BL82" s="24" cm="1">
        <f t="array" ref="BL82:BW82">IFERROR(VLOOKUP(A82,'[1]Now-OB-kg-POB-25'!A:AQ,{3,4,5,6,7,8,9,10,11,12,13,14},0),0)</f>
        <v>0</v>
      </c>
      <c r="BM82" s="24">
        <v>0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0</v>
      </c>
      <c r="BT82" s="24">
        <v>0</v>
      </c>
      <c r="BU82" s="24">
        <v>0</v>
      </c>
      <c r="BV82" s="24">
        <v>0</v>
      </c>
      <c r="BW82" s="24">
        <v>0</v>
      </c>
      <c r="BX82" s="24">
        <f t="shared" si="31"/>
        <v>0</v>
      </c>
      <c r="BY82" s="25" cm="1">
        <f t="array" ref="BY82:CJ82">IFERROR(VLOOKUP(A82,'[1]Now-OB-kg-POB-25'!A:AQ,{17,18,19,20,21,22,23,24,25,26,27,28},0),0)</f>
        <v>0</v>
      </c>
      <c r="BZ82" s="25">
        <v>0</v>
      </c>
      <c r="CA82" s="25">
        <v>0</v>
      </c>
      <c r="CB82" s="25">
        <v>0</v>
      </c>
      <c r="CC82" s="25">
        <v>0</v>
      </c>
      <c r="CD82" s="25">
        <v>0</v>
      </c>
      <c r="CE82" s="25">
        <v>0</v>
      </c>
      <c r="CF82" s="25">
        <v>0</v>
      </c>
      <c r="CG82" s="25">
        <v>0</v>
      </c>
      <c r="CH82" s="25">
        <v>0</v>
      </c>
      <c r="CI82" s="25">
        <v>0</v>
      </c>
      <c r="CJ82" s="25">
        <v>0</v>
      </c>
      <c r="CK82" s="25">
        <f t="shared" si="32"/>
        <v>0</v>
      </c>
      <c r="CL82" s="26" cm="1">
        <f t="array" ref="CL82:CW82">IFERROR(VLOOKUP(A82,'[1]Now-OB-kg-POB-25'!A:AQ,{31,32,33,34,35,36,37,38,39,40,41,42},0),0)</f>
        <v>0</v>
      </c>
      <c r="CM82" s="26">
        <v>0</v>
      </c>
      <c r="CN82" s="26">
        <v>0</v>
      </c>
      <c r="CO82" s="26">
        <v>0</v>
      </c>
      <c r="CP82" s="26">
        <v>0</v>
      </c>
      <c r="CQ82" s="26">
        <v>0</v>
      </c>
      <c r="CR82" s="26">
        <v>0</v>
      </c>
      <c r="CS82" s="26">
        <v>0</v>
      </c>
      <c r="CT82" s="26">
        <v>0</v>
      </c>
      <c r="CU82" s="26">
        <v>0</v>
      </c>
      <c r="CV82" s="26">
        <v>0</v>
      </c>
      <c r="CW82" s="26">
        <v>0</v>
      </c>
      <c r="CX82" s="26">
        <f t="shared" si="33"/>
        <v>0</v>
      </c>
      <c r="CY82" s="14" t="str">
        <f>IF(A82=0,0,IFERROR(VLOOKUP(A82,'[1]Info Donantes'!C:F,2,0),"Sin Contacto"))</f>
        <v>Sin Contacto</v>
      </c>
      <c r="CZ82" s="14" t="str">
        <f>IF(A82=0,0,IFERROR(VLOOKUP(A82,'[1]Info Donantes'!C:F,3,0),"Sin Correo"))</f>
        <v>Sin Correo</v>
      </c>
      <c r="DA82" s="14" t="str">
        <f>IF(A82=0,0,IFERROR(VLOOKUP(A82,'[1]Info Donantes'!C:F,4,0),"Sin Telefono"))</f>
        <v>Sin Telefono</v>
      </c>
      <c r="DB82" s="14" t="str">
        <f>IF(A82=0,0,"Reporte de Trazabiidad"&amp;" - "&amp;'[1]Donor Summary'!$C$2&amp;" - "&amp;A82&amp;"")</f>
        <v>Reporte de Trazabiidad -  - Inversiones Naturalia, S.A</v>
      </c>
    </row>
    <row r="83" spans="1:106" x14ac:dyDescent="0.55000000000000004">
      <c r="A83" s="31" t="s">
        <v>245</v>
      </c>
      <c r="B83" s="15">
        <f>INT(IFERROR(VLOOKUP(A83,'[1]Donor Summary'!C:F,3,0),0))</f>
        <v>0</v>
      </c>
      <c r="C83" s="15">
        <f>INT(ROUND(IFERROR(VLOOKUP(A83,'[1]Donor Summary'!C:F,4,0),0),1))</f>
        <v>0</v>
      </c>
      <c r="D83" s="16">
        <f t="shared" si="36"/>
        <v>0</v>
      </c>
      <c r="E83" s="17" t="str">
        <f t="shared" si="37"/>
        <v>0.00%</v>
      </c>
      <c r="F83" s="17" t="str">
        <f t="shared" si="38"/>
        <v>0.0%</v>
      </c>
      <c r="G83" s="15">
        <f t="shared" si="25"/>
        <v>0</v>
      </c>
      <c r="H83" s="18"/>
      <c r="I83" s="18">
        <f>IFERROR(VLOOKUP(A83,'[1]Lot All by Part'!T:Y,6,0),0)</f>
        <v>0</v>
      </c>
      <c r="J83" s="18"/>
      <c r="K83" s="19">
        <f>IFERROR(VLOOKUP($A83,'[1]Donor-Served OBs'!A:N,3,0),0)</f>
        <v>0</v>
      </c>
      <c r="L83" s="19">
        <f>ROUNDUP(IF(A83=0,0,IFERROR(VLOOKUP($A83,'[1]Donor''s Assigned Kilos'!A:O,3,0),0)),0)</f>
        <v>0</v>
      </c>
      <c r="M83" s="19">
        <f>IF(A83=0,0,IFERROR(SUMIFS([1]Population!M:M,[1]Population!J:J,'MASTER-2025'!A83),0))</f>
        <v>0</v>
      </c>
      <c r="N83" s="20">
        <f>IFERROR(VLOOKUP($A83,'[1]Donor-Served OBs'!A:N,4,0),0)</f>
        <v>0</v>
      </c>
      <c r="O83" s="20">
        <f>ROUNDUP(IF(A83=0,0,IFERROR(VLOOKUP($A83,'[1]Donor''s Assigned Kilos'!A:O,4,0),0)),0)</f>
        <v>0</v>
      </c>
      <c r="P83" s="20">
        <f>IF(A83=0,0,IFERROR(SUMIFS([1]Population!N:N,[1]Population!J:J,'MASTER-2025'!A83),0))</f>
        <v>0</v>
      </c>
      <c r="Q83" s="18">
        <f>IFERROR(VLOOKUP($A83,'[1]Donor-Served OBs'!A:N,2,0),0)</f>
        <v>0</v>
      </c>
      <c r="R83" s="18">
        <f>ROUNDUP(ROUND(IF(A83=0,0,IFERROR(VLOOKUP($A83,'[1]Donor''s Assigned Kilos'!A:O,9,0),0)),1),0)</f>
        <v>0</v>
      </c>
      <c r="S83" s="18">
        <f>IF(A83=0,0,IFERROR(SUMIFS([1]Population!S:S,[1]Population!J:J,'MASTER-2025'!A83),0))</f>
        <v>0</v>
      </c>
      <c r="T83" s="19">
        <f>IFERROR(VLOOKUP($A83,'[1]Donor-Served OBs'!A:N,12,0),0)</f>
        <v>0</v>
      </c>
      <c r="U83" s="19">
        <f>ROUNDUP(IF(A83=0,0,IF(A83=0,0,IFERROR(VLOOKUP($A83,'[1]Donor''s Assigned Kilos'!A:O,7,0),0))),0)</f>
        <v>0</v>
      </c>
      <c r="V83" s="19">
        <f>IF(A83=0,0,IFERROR(SUMIFS([1]Population!Q:Q,[1]Population!J:J,'MASTER-2025'!A83),0))</f>
        <v>0</v>
      </c>
      <c r="W83" s="20">
        <f>IFERROR(VLOOKUP($A83,'[1]Donor-Served OBs'!A:N,10,0),0)</f>
        <v>0</v>
      </c>
      <c r="X83" s="20">
        <f>ROUNDUP(IF(A83=0,0,IFERROR(VLOOKUP($A83,'[1]Donor''s Assigned Kilos'!A:N,5,0),0)),0)</f>
        <v>0</v>
      </c>
      <c r="Y83" s="20">
        <f>IF(A83=0,0,IFERROR(SUMIFS([1]Population!O:O,[1]Population!J:J,'MASTER-2025'!A83),0))</f>
        <v>0</v>
      </c>
      <c r="Z83" s="18">
        <f>IFERROR(VLOOKUP($A83,'[1]Donor-Served OBs'!A:N,6,0),0)</f>
        <v>0</v>
      </c>
      <c r="AA83" s="18">
        <f>ROUNDUP(IF(A83=0,0,IFERROR(VLOOKUP($A83,'[1]Donor''s Assigned Kilos'!A:N,11,0),0)),0)</f>
        <v>0</v>
      </c>
      <c r="AB83" s="18">
        <f>IF(A83=0,0,IFERROR(SUMIFS([1]Population!U:U,[1]Population!J:J,'MASTER-2025'!A83),0))</f>
        <v>0</v>
      </c>
      <c r="AC83" s="19">
        <f>IFERROR(VLOOKUP($A83,'[1]Donor-Served OBs'!A:N,7,0),0)</f>
        <v>0</v>
      </c>
      <c r="AD83" s="19">
        <f>ROUNDUP(IF(A83=0,0,IFERROR(VLOOKUP($A83,'[1]Donor''s Assigned Kilos'!A:N,8,0),0)),0)</f>
        <v>0</v>
      </c>
      <c r="AE83" s="19">
        <f>IF(A83=0,0,IFERROR(SUMIFS([1]Population!R:R,[1]Population!J:J,'MASTER-2025'!A83),0))</f>
        <v>0</v>
      </c>
      <c r="AF83" s="20">
        <f>IFERROR(VLOOKUP($A83,'[1]Donor-Served OBs'!A:N,8,0),0)</f>
        <v>0</v>
      </c>
      <c r="AG83" s="20">
        <f>ROUNDUP(IF(A83=0,0,IFERROR(VLOOKUP($A83,'[1]Donor''s Assigned Kilos'!A:N,6,0),0)),0)</f>
        <v>0</v>
      </c>
      <c r="AH83" s="20">
        <f>IF(A83=0,0,IFERROR(SUMIFS([1]Population!P:P,[1]Population!J:J,'MASTER-2025'!A83),0))</f>
        <v>0</v>
      </c>
      <c r="AI83" s="18">
        <f>IFERROR(VLOOKUP($A83,'[1]Donor-Served OBs'!A:N,9,0),0)</f>
        <v>0</v>
      </c>
      <c r="AJ83" s="18">
        <f>ROUNDUP(IF(A83=0,0,IFERROR(VLOOKUP($A83,'[1]Donor''s Assigned Kilos'!A:N,12,0),0)),0)</f>
        <v>0</v>
      </c>
      <c r="AK83" s="18">
        <f>IF(A83=0,0,IFERROR(SUMIFS([1]Population!V:V,[1]Population!J:J,'MASTER-2025'!A83),0))</f>
        <v>0</v>
      </c>
      <c r="AL83" s="19">
        <f>IFERROR(VLOOKUP($A83,'[1]Donor-Served OBs'!A:N,16,0),0)</f>
        <v>0</v>
      </c>
      <c r="AM83" s="19">
        <f>ROUNDUP(IF(A83=0,0,IFERROR(VLOOKUP($A83,'[1]Donor''s Assigned Kilos'!A:O,16,0),0)),0)</f>
        <v>0</v>
      </c>
      <c r="AN83" s="19">
        <f>IF(A83=0,0,IFERROR(SUMIFS([1]Population!Z:Z,[1]Population!J:J,'MASTER-2025'!A83),0))</f>
        <v>0</v>
      </c>
      <c r="AO83" s="20">
        <f>IFERROR(VLOOKUP($A83,'[1]Donor-Served OBs'!A:N,11,0),0)</f>
        <v>0</v>
      </c>
      <c r="AP83" s="20">
        <f>ROUNDUP(IF(A83=0,0,IFERROR(VLOOKUP($A83,'[1]Donor''s Assigned Kilos'!A:N,13,0),0)),0)</f>
        <v>0</v>
      </c>
      <c r="AQ83" s="20">
        <f>IF(A83=0,0,IFERROR(SUMIFS([1]Population!W:W,[1]Population!J:J,'MASTER-2025'!A83),0))</f>
        <v>0</v>
      </c>
      <c r="AR83" s="18">
        <f>IFERROR(VLOOKUP($A83,'[1]Donor-Served OBs'!A:N,5,0),0)</f>
        <v>0</v>
      </c>
      <c r="AS83" s="18">
        <f>ROUNDUP(IF(A83=0,0,IFERROR(VLOOKUP($A83,'[1]Donor''s Assigned Kilos'!A:N,10,0),0)),0)</f>
        <v>0</v>
      </c>
      <c r="AT83" s="18">
        <f>IF(A83=0,0,IFERROR(SUMIFS([1]Population!T:T,[1]Population!J:J,'MASTER-2025'!A83),0))</f>
        <v>0</v>
      </c>
      <c r="AU83" s="19">
        <f>IFERROR(VLOOKUP($A83,'[1]Donor-Served OBs'!A:N,13,0),0)</f>
        <v>0</v>
      </c>
      <c r="AV83" s="19">
        <f>ROUNDUP(IF(A83=0,0,IFERROR(VLOOKUP($A83,'[1]Donor''s Assigned Kilos'!A:N,14,0),0)),0)</f>
        <v>0</v>
      </c>
      <c r="AW83" s="19">
        <f>IF(A83=0,0,IFERROR(SUMIFS([1]Population!X:X,[1]Population!J:J,'MASTER-2025'!A83),0))</f>
        <v>0</v>
      </c>
      <c r="AX83" s="20">
        <f>IFERROR(VLOOKUP($A83,'[1]Donor-Served OBs'!A:N,16,0),0)</f>
        <v>0</v>
      </c>
      <c r="AY83" s="20">
        <f>ROUNDUP(IF(A83=0,0,IFERROR(VLOOKUP($A83,'[1]Donor''s Assigned Kilos'!A:O,16,0),0)),0)</f>
        <v>0</v>
      </c>
      <c r="AZ83" s="20">
        <f>IF(A83=0,0,IFERROR(SUMIFS([1]Population!Y:Y,[1]Population!J:J,'MASTER-2025'!A83),0))</f>
        <v>0</v>
      </c>
      <c r="BA83" s="21">
        <f t="shared" si="34"/>
        <v>0</v>
      </c>
      <c r="BB83" s="21">
        <f t="shared" si="29"/>
        <v>0</v>
      </c>
      <c r="BC83" s="21">
        <f t="shared" si="39"/>
        <v>0</v>
      </c>
      <c r="BD83" s="21">
        <f t="shared" si="26"/>
        <v>0</v>
      </c>
      <c r="BE83" s="22" t="e">
        <f>IF(A83=0,0,SUMIFS([1]Population!C:C,[1]Population!A:A,'MASTER-2025'!A83))</f>
        <v>#VALUE!</v>
      </c>
      <c r="BF83" s="22" t="e">
        <f>IF(A83=0,0,SUMIFS([1]Population!D:D,[1]Population!A:A,'MASTER-2025'!A83))</f>
        <v>#VALUE!</v>
      </c>
      <c r="BG83" s="22" t="e">
        <f>IF(A83=0,0,SUMIFS([1]Population!E:E,[1]Population!A:A,'MASTER-2025'!A83))</f>
        <v>#VALUE!</v>
      </c>
      <c r="BH83" s="22" t="e">
        <f>IF(A83=0,0,SUMIFS([1]Population!F:F,[1]Population!A:A,'MASTER-2025'!A83))</f>
        <v>#VALUE!</v>
      </c>
      <c r="BI83" s="22" t="e">
        <f t="shared" si="35"/>
        <v>#VALUE!</v>
      </c>
      <c r="BJ83" s="23" t="e">
        <f t="shared" si="30"/>
        <v>#VALUE!</v>
      </c>
      <c r="BK83" s="22" t="e">
        <f>IF(A83=0,0,SUMIFS([1]Population!G:G,[1]Population!A:A,'MASTER-2025'!A83))</f>
        <v>#VALUE!</v>
      </c>
      <c r="BL83" s="24" cm="1">
        <f t="array" ref="BL83:BW83">IFERROR(VLOOKUP(A83,'[1]Now-OB-kg-POB-25'!A:AQ,{3,4,5,6,7,8,9,10,11,12,13,14},0),0)</f>
        <v>0</v>
      </c>
      <c r="BM83" s="24">
        <v>0</v>
      </c>
      <c r="BN83" s="24">
        <v>0</v>
      </c>
      <c r="BO83" s="24">
        <v>0</v>
      </c>
      <c r="BP83" s="24">
        <v>0</v>
      </c>
      <c r="BQ83" s="24">
        <v>0</v>
      </c>
      <c r="BR83" s="24">
        <v>0</v>
      </c>
      <c r="BS83" s="24">
        <v>0</v>
      </c>
      <c r="BT83" s="24">
        <v>0</v>
      </c>
      <c r="BU83" s="24">
        <v>0</v>
      </c>
      <c r="BV83" s="24">
        <v>0</v>
      </c>
      <c r="BW83" s="24">
        <v>0</v>
      </c>
      <c r="BX83" s="24">
        <f t="shared" si="31"/>
        <v>0</v>
      </c>
      <c r="BY83" s="25" cm="1">
        <f t="array" ref="BY83:CJ83">IFERROR(VLOOKUP(A83,'[1]Now-OB-kg-POB-25'!A:AQ,{17,18,19,20,21,22,23,24,25,26,27,28},0),0)</f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I83" s="25">
        <v>0</v>
      </c>
      <c r="CJ83" s="25">
        <v>0</v>
      </c>
      <c r="CK83" s="25">
        <f t="shared" si="32"/>
        <v>0</v>
      </c>
      <c r="CL83" s="26" cm="1">
        <f t="array" ref="CL83:CW83">IFERROR(VLOOKUP(A83,'[1]Now-OB-kg-POB-25'!A:AQ,{31,32,33,34,35,36,37,38,39,40,41,42},0),0)</f>
        <v>0</v>
      </c>
      <c r="CM83" s="26">
        <v>0</v>
      </c>
      <c r="CN83" s="26">
        <v>0</v>
      </c>
      <c r="CO83" s="26">
        <v>0</v>
      </c>
      <c r="CP83" s="26">
        <v>0</v>
      </c>
      <c r="CQ83" s="26">
        <v>0</v>
      </c>
      <c r="CR83" s="26">
        <v>0</v>
      </c>
      <c r="CS83" s="26">
        <v>0</v>
      </c>
      <c r="CT83" s="26">
        <v>0</v>
      </c>
      <c r="CU83" s="26">
        <v>0</v>
      </c>
      <c r="CV83" s="26">
        <v>0</v>
      </c>
      <c r="CW83" s="26">
        <v>0</v>
      </c>
      <c r="CX83" s="26">
        <f t="shared" si="33"/>
        <v>0</v>
      </c>
      <c r="CY83" s="14" t="str">
        <f>IF(A83=0,0,IFERROR(VLOOKUP(A83,'[1]Info Donantes'!C:F,2,0),"Sin Contacto"))</f>
        <v>Isis Pineda de Chiari</v>
      </c>
      <c r="CZ83" s="14" t="str">
        <f>IF(A83=0,0,IFERROR(VLOOKUP(A83,'[1]Info Donantes'!C:F,3,0),"Sin Correo"))</f>
        <v>ventas@gourmetimportspty.com</v>
      </c>
      <c r="DA83" s="14" t="str">
        <f>IF(A83=0,0,IFERROR(VLOOKUP(A83,'[1]Info Donantes'!C:F,4,0),"Sin Telefono"))</f>
        <v>392-5304 / 6615-2158</v>
      </c>
      <c r="DB83" s="14" t="str">
        <f>IF(A83=0,0,"Reporte de Trazabiidad"&amp;" - "&amp;'[1]Donor Summary'!$C$2&amp;" - "&amp;A83&amp;"")</f>
        <v>Reporte de Trazabiidad -  - GOURMET IMPORTS, S.A.</v>
      </c>
    </row>
    <row r="84" spans="1:106" x14ac:dyDescent="0.55000000000000004">
      <c r="A84" s="31" t="s">
        <v>246</v>
      </c>
      <c r="B84" s="15">
        <f>INT(IFERROR(VLOOKUP(A84,'[1]Donor Summary'!C:F,3,0),0))</f>
        <v>0</v>
      </c>
      <c r="C84" s="15">
        <f>INT(ROUND(IFERROR(VLOOKUP(A84,'[1]Donor Summary'!C:F,4,0),0),1))</f>
        <v>0</v>
      </c>
      <c r="D84" s="16">
        <f t="shared" si="36"/>
        <v>0</v>
      </c>
      <c r="E84" s="17" t="str">
        <f t="shared" si="37"/>
        <v>0.00%</v>
      </c>
      <c r="F84" s="17" t="str">
        <f t="shared" si="38"/>
        <v>0.0%</v>
      </c>
      <c r="G84" s="15">
        <f t="shared" si="25"/>
        <v>0</v>
      </c>
      <c r="H84" s="18"/>
      <c r="I84" s="18">
        <f>IFERROR(VLOOKUP(A84,'[1]Lot All by Part'!T:Y,6,0),0)</f>
        <v>0</v>
      </c>
      <c r="J84" s="18"/>
      <c r="K84" s="19">
        <f>IFERROR(VLOOKUP($A84,'[1]Donor-Served OBs'!A:N,3,0),0)</f>
        <v>0</v>
      </c>
      <c r="L84" s="19">
        <f>ROUNDUP(IF(A84=0,0,IFERROR(VLOOKUP($A84,'[1]Donor''s Assigned Kilos'!A:O,3,0),0)),0)</f>
        <v>0</v>
      </c>
      <c r="M84" s="19">
        <f>IF(A84=0,0,IFERROR(SUMIFS([1]Population!M:M,[1]Population!J:J,'MASTER-2025'!A84),0))</f>
        <v>0</v>
      </c>
      <c r="N84" s="20">
        <f>IFERROR(VLOOKUP($A84,'[1]Donor-Served OBs'!A:N,4,0),0)</f>
        <v>0</v>
      </c>
      <c r="O84" s="20">
        <f>ROUNDUP(IF(A84=0,0,IFERROR(VLOOKUP($A84,'[1]Donor''s Assigned Kilos'!A:O,4,0),0)),0)</f>
        <v>0</v>
      </c>
      <c r="P84" s="20">
        <f>IF(A84=0,0,IFERROR(SUMIFS([1]Population!N:N,[1]Population!J:J,'MASTER-2025'!A84),0))</f>
        <v>0</v>
      </c>
      <c r="Q84" s="18">
        <f>IFERROR(VLOOKUP($A84,'[1]Donor-Served OBs'!A:N,2,0),0)</f>
        <v>0</v>
      </c>
      <c r="R84" s="18">
        <f>ROUNDUP(ROUND(IF(A84=0,0,IFERROR(VLOOKUP($A84,'[1]Donor''s Assigned Kilos'!A:O,9,0),0)),1),0)</f>
        <v>0</v>
      </c>
      <c r="S84" s="18">
        <f>IF(A84=0,0,IFERROR(SUMIFS([1]Population!S:S,[1]Population!J:J,'MASTER-2025'!A84),0))</f>
        <v>0</v>
      </c>
      <c r="T84" s="19">
        <f>IFERROR(VLOOKUP($A84,'[1]Donor-Served OBs'!A:N,12,0),0)</f>
        <v>0</v>
      </c>
      <c r="U84" s="19">
        <f>ROUNDUP(IF(A84=0,0,IF(A84=0,0,IFERROR(VLOOKUP($A84,'[1]Donor''s Assigned Kilos'!A:O,7,0),0))),0)</f>
        <v>0</v>
      </c>
      <c r="V84" s="19">
        <f>IF(A84=0,0,IFERROR(SUMIFS([1]Population!Q:Q,[1]Population!J:J,'MASTER-2025'!A84),0))</f>
        <v>0</v>
      </c>
      <c r="W84" s="20">
        <f>IFERROR(VLOOKUP($A84,'[1]Donor-Served OBs'!A:N,10,0),0)</f>
        <v>0</v>
      </c>
      <c r="X84" s="20">
        <f>ROUNDUP(IF(A84=0,0,IFERROR(VLOOKUP($A84,'[1]Donor''s Assigned Kilos'!A:N,5,0),0)),0)</f>
        <v>0</v>
      </c>
      <c r="Y84" s="20">
        <f>IF(A84=0,0,IFERROR(SUMIFS([1]Population!O:O,[1]Population!J:J,'MASTER-2025'!A84),0))</f>
        <v>0</v>
      </c>
      <c r="Z84" s="18">
        <f>IFERROR(VLOOKUP($A84,'[1]Donor-Served OBs'!A:N,6,0),0)</f>
        <v>0</v>
      </c>
      <c r="AA84" s="18">
        <f>ROUNDUP(IF(A84=0,0,IFERROR(VLOOKUP($A84,'[1]Donor''s Assigned Kilos'!A:N,11,0),0)),0)</f>
        <v>0</v>
      </c>
      <c r="AB84" s="18">
        <f>IF(A84=0,0,IFERROR(SUMIFS([1]Population!U:U,[1]Population!J:J,'MASTER-2025'!A84),0))</f>
        <v>0</v>
      </c>
      <c r="AC84" s="19">
        <f>IFERROR(VLOOKUP($A84,'[1]Donor-Served OBs'!A:N,7,0),0)</f>
        <v>0</v>
      </c>
      <c r="AD84" s="19">
        <f>ROUNDUP(IF(A84=0,0,IFERROR(VLOOKUP($A84,'[1]Donor''s Assigned Kilos'!A:N,8,0),0)),0)</f>
        <v>0</v>
      </c>
      <c r="AE84" s="19">
        <f>IF(A84=0,0,IFERROR(SUMIFS([1]Population!R:R,[1]Population!J:J,'MASTER-2025'!A84),0))</f>
        <v>0</v>
      </c>
      <c r="AF84" s="20">
        <f>IFERROR(VLOOKUP($A84,'[1]Donor-Served OBs'!A:N,8,0),0)</f>
        <v>0</v>
      </c>
      <c r="AG84" s="20">
        <f>ROUNDUP(IF(A84=0,0,IFERROR(VLOOKUP($A84,'[1]Donor''s Assigned Kilos'!A:N,6,0),0)),0)</f>
        <v>0</v>
      </c>
      <c r="AH84" s="20">
        <f>IF(A84=0,0,IFERROR(SUMIFS([1]Population!P:P,[1]Population!J:J,'MASTER-2025'!A84),0))</f>
        <v>0</v>
      </c>
      <c r="AI84" s="18">
        <f>IFERROR(VLOOKUP($A84,'[1]Donor-Served OBs'!A:N,9,0),0)</f>
        <v>0</v>
      </c>
      <c r="AJ84" s="18">
        <f>ROUNDUP(IF(A84=0,0,IFERROR(VLOOKUP($A84,'[1]Donor''s Assigned Kilos'!A:N,12,0),0)),0)</f>
        <v>0</v>
      </c>
      <c r="AK84" s="18">
        <f>IF(A84=0,0,IFERROR(SUMIFS([1]Population!V:V,[1]Population!J:J,'MASTER-2025'!A84),0))</f>
        <v>0</v>
      </c>
      <c r="AL84" s="19">
        <f>IFERROR(VLOOKUP($A84,'[1]Donor-Served OBs'!A:N,16,0),0)</f>
        <v>0</v>
      </c>
      <c r="AM84" s="19">
        <f>ROUNDUP(IF(A84=0,0,IFERROR(VLOOKUP($A84,'[1]Donor''s Assigned Kilos'!A:O,16,0),0)),0)</f>
        <v>0</v>
      </c>
      <c r="AN84" s="19">
        <f>IF(A84=0,0,IFERROR(SUMIFS([1]Population!Z:Z,[1]Population!J:J,'MASTER-2025'!A84),0))</f>
        <v>0</v>
      </c>
      <c r="AO84" s="20">
        <f>IFERROR(VLOOKUP($A84,'[1]Donor-Served OBs'!A:N,11,0),0)</f>
        <v>0</v>
      </c>
      <c r="AP84" s="20">
        <f>ROUNDUP(IF(A84=0,0,IFERROR(VLOOKUP($A84,'[1]Donor''s Assigned Kilos'!A:N,13,0),0)),0)</f>
        <v>0</v>
      </c>
      <c r="AQ84" s="20">
        <f>IF(A84=0,0,IFERROR(SUMIFS([1]Population!W:W,[1]Population!J:J,'MASTER-2025'!A84),0))</f>
        <v>0</v>
      </c>
      <c r="AR84" s="18">
        <f>IFERROR(VLOOKUP($A84,'[1]Donor-Served OBs'!A:N,5,0),0)</f>
        <v>0</v>
      </c>
      <c r="AS84" s="18">
        <f>ROUNDUP(IF(A84=0,0,IFERROR(VLOOKUP($A84,'[1]Donor''s Assigned Kilos'!A:N,10,0),0)),0)</f>
        <v>0</v>
      </c>
      <c r="AT84" s="18">
        <f>IF(A84=0,0,IFERROR(SUMIFS([1]Population!T:T,[1]Population!J:J,'MASTER-2025'!A84),0))</f>
        <v>0</v>
      </c>
      <c r="AU84" s="19">
        <f>IFERROR(VLOOKUP($A84,'[1]Donor-Served OBs'!A:N,13,0),0)</f>
        <v>0</v>
      </c>
      <c r="AV84" s="19">
        <f>ROUNDUP(IF(A84=0,0,IFERROR(VLOOKUP($A84,'[1]Donor''s Assigned Kilos'!A:N,14,0),0)),0)</f>
        <v>0</v>
      </c>
      <c r="AW84" s="19">
        <f>IF(A84=0,0,IFERROR(SUMIFS([1]Population!X:X,[1]Population!J:J,'MASTER-2025'!A84),0))</f>
        <v>0</v>
      </c>
      <c r="AX84" s="20">
        <f>IFERROR(VLOOKUP($A84,'[1]Donor-Served OBs'!A:N,16,0),0)</f>
        <v>0</v>
      </c>
      <c r="AY84" s="20">
        <f>ROUNDUP(IF(A84=0,0,IFERROR(VLOOKUP($A84,'[1]Donor''s Assigned Kilos'!A:O,16,0),0)),0)</f>
        <v>0</v>
      </c>
      <c r="AZ84" s="20">
        <f>IF(A84=0,0,IFERROR(SUMIFS([1]Population!Y:Y,[1]Population!J:J,'MASTER-2025'!A84),0))</f>
        <v>0</v>
      </c>
      <c r="BA84" s="21">
        <f t="shared" si="34"/>
        <v>0</v>
      </c>
      <c r="BB84" s="21">
        <f t="shared" si="29"/>
        <v>0</v>
      </c>
      <c r="BC84" s="21">
        <f t="shared" si="39"/>
        <v>0</v>
      </c>
      <c r="BD84" s="21">
        <f t="shared" si="26"/>
        <v>0</v>
      </c>
      <c r="BE84" s="22" t="e">
        <f>IF(A84=0,0,SUMIFS([1]Population!C:C,[1]Population!A:A,'MASTER-2025'!A84))</f>
        <v>#VALUE!</v>
      </c>
      <c r="BF84" s="22" t="e">
        <f>IF(A84=0,0,SUMIFS([1]Population!D:D,[1]Population!A:A,'MASTER-2025'!A84))</f>
        <v>#VALUE!</v>
      </c>
      <c r="BG84" s="22" t="e">
        <f>IF(A84=0,0,SUMIFS([1]Population!E:E,[1]Population!A:A,'MASTER-2025'!A84))</f>
        <v>#VALUE!</v>
      </c>
      <c r="BH84" s="22" t="e">
        <f>IF(A84=0,0,SUMIFS([1]Population!F:F,[1]Population!A:A,'MASTER-2025'!A84))</f>
        <v>#VALUE!</v>
      </c>
      <c r="BI84" s="22" t="e">
        <f t="shared" si="35"/>
        <v>#VALUE!</v>
      </c>
      <c r="BJ84" s="23" t="e">
        <f t="shared" si="30"/>
        <v>#VALUE!</v>
      </c>
      <c r="BK84" s="22" t="e">
        <f>IF(A84=0,0,SUMIFS([1]Population!G:G,[1]Population!A:A,'MASTER-2025'!A84))</f>
        <v>#VALUE!</v>
      </c>
      <c r="BL84" s="24" cm="1">
        <f t="array" ref="BL84:BW84">IFERROR(VLOOKUP(A84,'[1]Now-OB-kg-POB-25'!A:AQ,{3,4,5,6,7,8,9,10,11,12,13,14},0),0)</f>
        <v>0</v>
      </c>
      <c r="BM84" s="24">
        <v>0</v>
      </c>
      <c r="BN84" s="24">
        <v>0</v>
      </c>
      <c r="BO84" s="24">
        <v>0</v>
      </c>
      <c r="BP84" s="24">
        <v>0</v>
      </c>
      <c r="BQ84" s="24">
        <v>0</v>
      </c>
      <c r="BR84" s="24">
        <v>0</v>
      </c>
      <c r="BS84" s="24">
        <v>0</v>
      </c>
      <c r="BT84" s="24">
        <v>0</v>
      </c>
      <c r="BU84" s="24">
        <v>0</v>
      </c>
      <c r="BV84" s="24">
        <v>0</v>
      </c>
      <c r="BW84" s="24">
        <v>0</v>
      </c>
      <c r="BX84" s="24">
        <f t="shared" si="31"/>
        <v>0</v>
      </c>
      <c r="BY84" s="25" cm="1">
        <f t="array" ref="BY84:CJ84">IFERROR(VLOOKUP(A84,'[1]Now-OB-kg-POB-25'!A:AQ,{17,18,19,20,21,22,23,24,25,26,27,28},0),0)</f>
        <v>0</v>
      </c>
      <c r="BZ84" s="25">
        <v>0</v>
      </c>
      <c r="CA84" s="25">
        <v>0</v>
      </c>
      <c r="CB84" s="25">
        <v>0</v>
      </c>
      <c r="CC84" s="25">
        <v>0</v>
      </c>
      <c r="CD84" s="25">
        <v>0</v>
      </c>
      <c r="CE84" s="25">
        <v>0</v>
      </c>
      <c r="CF84" s="25">
        <v>0</v>
      </c>
      <c r="CG84" s="25">
        <v>0</v>
      </c>
      <c r="CH84" s="25">
        <v>0</v>
      </c>
      <c r="CI84" s="25">
        <v>0</v>
      </c>
      <c r="CJ84" s="25">
        <v>0</v>
      </c>
      <c r="CK84" s="25">
        <f t="shared" si="32"/>
        <v>0</v>
      </c>
      <c r="CL84" s="26" cm="1">
        <f t="array" ref="CL84:CW84">IFERROR(VLOOKUP(A84,'[1]Now-OB-kg-POB-25'!A:AQ,{31,32,33,34,35,36,37,38,39,40,41,42},0),0)</f>
        <v>0</v>
      </c>
      <c r="CM84" s="26">
        <v>0</v>
      </c>
      <c r="CN84" s="26">
        <v>0</v>
      </c>
      <c r="CO84" s="26">
        <v>0</v>
      </c>
      <c r="CP84" s="26">
        <v>0</v>
      </c>
      <c r="CQ84" s="26">
        <v>0</v>
      </c>
      <c r="CR84" s="26">
        <v>0</v>
      </c>
      <c r="CS84" s="26">
        <v>0</v>
      </c>
      <c r="CT84" s="26">
        <v>0</v>
      </c>
      <c r="CU84" s="26">
        <v>0</v>
      </c>
      <c r="CV84" s="26">
        <v>0</v>
      </c>
      <c r="CW84" s="26">
        <v>0</v>
      </c>
      <c r="CX84" s="26">
        <f t="shared" si="33"/>
        <v>0</v>
      </c>
      <c r="CY84" s="14" t="str">
        <f>IF(A84=0,0,IFERROR(VLOOKUP(A84,'[1]Info Donantes'!C:F,2,0),"Sin Contacto"))</f>
        <v>Sin Contacto</v>
      </c>
      <c r="CZ84" s="14" t="str">
        <f>IF(A84=0,0,IFERROR(VLOOKUP(A84,'[1]Info Donantes'!C:F,3,0),"Sin Correo"))</f>
        <v>Sin Correo</v>
      </c>
      <c r="DA84" s="14" t="str">
        <f>IF(A84=0,0,IFERROR(VLOOKUP(A84,'[1]Info Donantes'!C:F,4,0),"Sin Telefono"))</f>
        <v>Sin Telefono</v>
      </c>
      <c r="DB84" s="14" t="str">
        <f>IF(A84=0,0,"Reporte de Trazabiidad"&amp;" - "&amp;'[1]Donor Summary'!$C$2&amp;" - "&amp;A84&amp;"")</f>
        <v>Reporte de Trazabiidad -  - PANAMA CONVENTION CENTER</v>
      </c>
    </row>
    <row r="85" spans="1:106" x14ac:dyDescent="0.55000000000000004">
      <c r="A85" s="31" t="s">
        <v>247</v>
      </c>
      <c r="B85" s="15">
        <f>INT(IFERROR(VLOOKUP(A85,'[1]Donor Summary'!C:F,3,0),0))</f>
        <v>0</v>
      </c>
      <c r="C85" s="15">
        <f>INT(ROUND(IFERROR(VLOOKUP(A85,'[1]Donor Summary'!C:F,4,0),0),1))</f>
        <v>0</v>
      </c>
      <c r="D85" s="16">
        <f t="shared" si="36"/>
        <v>0</v>
      </c>
      <c r="E85" s="17" t="str">
        <f t="shared" si="37"/>
        <v>0.00%</v>
      </c>
      <c r="F85" s="17" t="str">
        <f t="shared" si="38"/>
        <v>0.0%</v>
      </c>
      <c r="G85" s="15">
        <f t="shared" si="25"/>
        <v>0</v>
      </c>
      <c r="H85" s="18"/>
      <c r="I85" s="18">
        <f>IFERROR(VLOOKUP(A85,'[1]Lot All by Part'!T:Y,6,0),0)</f>
        <v>0</v>
      </c>
      <c r="J85" s="18"/>
      <c r="K85" s="19">
        <f>IFERROR(VLOOKUP($A85,'[1]Donor-Served OBs'!A:N,3,0),0)</f>
        <v>0</v>
      </c>
      <c r="L85" s="19">
        <f>ROUNDUP(IF(A85=0,0,IFERROR(VLOOKUP($A85,'[1]Donor''s Assigned Kilos'!A:O,3,0),0)),0)</f>
        <v>0</v>
      </c>
      <c r="M85" s="19">
        <f>IF(A85=0,0,IFERROR(SUMIFS([1]Population!M:M,[1]Population!J:J,'MASTER-2025'!A85),0))</f>
        <v>0</v>
      </c>
      <c r="N85" s="20">
        <f>IFERROR(VLOOKUP($A85,'[1]Donor-Served OBs'!A:N,4,0),0)</f>
        <v>0</v>
      </c>
      <c r="O85" s="20">
        <f>ROUNDUP(IF(A85=0,0,IFERROR(VLOOKUP($A85,'[1]Donor''s Assigned Kilos'!A:O,4,0),0)),0)</f>
        <v>0</v>
      </c>
      <c r="P85" s="20">
        <f>IF(A85=0,0,IFERROR(SUMIFS([1]Population!N:N,[1]Population!J:J,'MASTER-2025'!A85),0))</f>
        <v>0</v>
      </c>
      <c r="Q85" s="18">
        <f>IFERROR(VLOOKUP($A85,'[1]Donor-Served OBs'!A:N,2,0),0)</f>
        <v>0</v>
      </c>
      <c r="R85" s="18">
        <f>ROUNDUP(ROUND(IF(A85=0,0,IFERROR(VLOOKUP($A85,'[1]Donor''s Assigned Kilos'!A:O,9,0),0)),1),0)</f>
        <v>0</v>
      </c>
      <c r="S85" s="18">
        <f>IF(A85=0,0,IFERROR(SUMIFS([1]Population!S:S,[1]Population!J:J,'MASTER-2025'!A85),0))</f>
        <v>0</v>
      </c>
      <c r="T85" s="19">
        <f>IFERROR(VLOOKUP($A85,'[1]Donor-Served OBs'!A:N,12,0),0)</f>
        <v>0</v>
      </c>
      <c r="U85" s="19">
        <f>ROUNDUP(IF(A85=0,0,IF(A85=0,0,IFERROR(VLOOKUP($A85,'[1]Donor''s Assigned Kilos'!A:O,7,0),0))),0)</f>
        <v>0</v>
      </c>
      <c r="V85" s="19">
        <f>IF(A85=0,0,IFERROR(SUMIFS([1]Population!Q:Q,[1]Population!J:J,'MASTER-2025'!A85),0))</f>
        <v>0</v>
      </c>
      <c r="W85" s="20">
        <f>IFERROR(VLOOKUP($A85,'[1]Donor-Served OBs'!A:N,10,0),0)</f>
        <v>0</v>
      </c>
      <c r="X85" s="20">
        <f>ROUNDUP(IF(A85=0,0,IFERROR(VLOOKUP($A85,'[1]Donor''s Assigned Kilos'!A:N,5,0),0)),0)</f>
        <v>0</v>
      </c>
      <c r="Y85" s="20">
        <f>IF(A85=0,0,IFERROR(SUMIFS([1]Population!O:O,[1]Population!J:J,'MASTER-2025'!A85),0))</f>
        <v>0</v>
      </c>
      <c r="Z85" s="18">
        <f>IFERROR(VLOOKUP($A85,'[1]Donor-Served OBs'!A:N,6,0),0)</f>
        <v>0</v>
      </c>
      <c r="AA85" s="18">
        <f>ROUNDUP(IF(A85=0,0,IFERROR(VLOOKUP($A85,'[1]Donor''s Assigned Kilos'!A:N,11,0),0)),0)</f>
        <v>0</v>
      </c>
      <c r="AB85" s="18">
        <f>IF(A85=0,0,IFERROR(SUMIFS([1]Population!U:U,[1]Population!J:J,'MASTER-2025'!A85),0))</f>
        <v>0</v>
      </c>
      <c r="AC85" s="19">
        <f>IFERROR(VLOOKUP($A85,'[1]Donor-Served OBs'!A:N,7,0),0)</f>
        <v>0</v>
      </c>
      <c r="AD85" s="19">
        <f>ROUNDUP(IF(A85=0,0,IFERROR(VLOOKUP($A85,'[1]Donor''s Assigned Kilos'!A:N,8,0),0)),0)</f>
        <v>0</v>
      </c>
      <c r="AE85" s="19">
        <f>IF(A85=0,0,IFERROR(SUMIFS([1]Population!R:R,[1]Population!J:J,'MASTER-2025'!A85),0))</f>
        <v>0</v>
      </c>
      <c r="AF85" s="20">
        <f>IFERROR(VLOOKUP($A85,'[1]Donor-Served OBs'!A:N,8,0),0)</f>
        <v>0</v>
      </c>
      <c r="AG85" s="20">
        <f>ROUNDUP(IF(A85=0,0,IFERROR(VLOOKUP($A85,'[1]Donor''s Assigned Kilos'!A:N,6,0),0)),0)</f>
        <v>0</v>
      </c>
      <c r="AH85" s="20">
        <f>IF(A85=0,0,IFERROR(SUMIFS([1]Population!P:P,[1]Population!J:J,'MASTER-2025'!A85),0))</f>
        <v>0</v>
      </c>
      <c r="AI85" s="18">
        <f>IFERROR(VLOOKUP($A85,'[1]Donor-Served OBs'!A:N,9,0),0)</f>
        <v>0</v>
      </c>
      <c r="AJ85" s="18">
        <f>ROUNDUP(IF(A85=0,0,IFERROR(VLOOKUP($A85,'[1]Donor''s Assigned Kilos'!A:N,12,0),0)),0)</f>
        <v>0</v>
      </c>
      <c r="AK85" s="18">
        <f>IF(A85=0,0,IFERROR(SUMIFS([1]Population!V:V,[1]Population!J:J,'MASTER-2025'!A85),0))</f>
        <v>0</v>
      </c>
      <c r="AL85" s="19">
        <f>IFERROR(VLOOKUP($A85,'[1]Donor-Served OBs'!A:N,16,0),0)</f>
        <v>0</v>
      </c>
      <c r="AM85" s="19">
        <f>ROUNDUP(IF(A85=0,0,IFERROR(VLOOKUP($A85,'[1]Donor''s Assigned Kilos'!A:O,16,0),0)),0)</f>
        <v>0</v>
      </c>
      <c r="AN85" s="19">
        <f>IF(A85=0,0,IFERROR(SUMIFS([1]Population!Z:Z,[1]Population!J:J,'MASTER-2025'!A85),0))</f>
        <v>0</v>
      </c>
      <c r="AO85" s="20">
        <f>IFERROR(VLOOKUP($A85,'[1]Donor-Served OBs'!A:N,11,0),0)</f>
        <v>0</v>
      </c>
      <c r="AP85" s="20">
        <f>ROUNDUP(IF(A85=0,0,IFERROR(VLOOKUP($A85,'[1]Donor''s Assigned Kilos'!A:N,13,0),0)),0)</f>
        <v>0</v>
      </c>
      <c r="AQ85" s="20">
        <f>IF(A85=0,0,IFERROR(SUMIFS([1]Population!W:W,[1]Population!J:J,'MASTER-2025'!A85),0))</f>
        <v>0</v>
      </c>
      <c r="AR85" s="18">
        <f>IFERROR(VLOOKUP($A85,'[1]Donor-Served OBs'!A:N,5,0),0)</f>
        <v>0</v>
      </c>
      <c r="AS85" s="18">
        <f>ROUNDUP(IF(A85=0,0,IFERROR(VLOOKUP($A85,'[1]Donor''s Assigned Kilos'!A:N,10,0),0)),0)</f>
        <v>0</v>
      </c>
      <c r="AT85" s="18">
        <f>IF(A85=0,0,IFERROR(SUMIFS([1]Population!T:T,[1]Population!J:J,'MASTER-2025'!A85),0))</f>
        <v>0</v>
      </c>
      <c r="AU85" s="19">
        <f>IFERROR(VLOOKUP($A85,'[1]Donor-Served OBs'!A:N,13,0),0)</f>
        <v>0</v>
      </c>
      <c r="AV85" s="19">
        <f>ROUNDUP(IF(A85=0,0,IFERROR(VLOOKUP($A85,'[1]Donor''s Assigned Kilos'!A:N,14,0),0)),0)</f>
        <v>0</v>
      </c>
      <c r="AW85" s="19">
        <f>IF(A85=0,0,IFERROR(SUMIFS([1]Population!X:X,[1]Population!J:J,'MASTER-2025'!A85),0))</f>
        <v>0</v>
      </c>
      <c r="AX85" s="20">
        <f>IFERROR(VLOOKUP($A85,'[1]Donor-Served OBs'!A:N,16,0),0)</f>
        <v>0</v>
      </c>
      <c r="AY85" s="20">
        <f>ROUNDUP(IF(A85=0,0,IFERROR(VLOOKUP($A85,'[1]Donor''s Assigned Kilos'!A:O,16,0),0)),0)</f>
        <v>0</v>
      </c>
      <c r="AZ85" s="20">
        <f>IF(A85=0,0,IFERROR(SUMIFS([1]Population!Y:Y,[1]Population!J:J,'MASTER-2025'!A85),0))</f>
        <v>0</v>
      </c>
      <c r="BA85" s="21">
        <f t="shared" si="34"/>
        <v>0</v>
      </c>
      <c r="BB85" s="21">
        <f t="shared" si="29"/>
        <v>0</v>
      </c>
      <c r="BC85" s="21">
        <f t="shared" si="39"/>
        <v>0</v>
      </c>
      <c r="BD85" s="21">
        <f t="shared" si="26"/>
        <v>0</v>
      </c>
      <c r="BE85" s="22" t="e">
        <f>IF(A85=0,0,SUMIFS([1]Population!C:C,[1]Population!A:A,'MASTER-2025'!A85))</f>
        <v>#VALUE!</v>
      </c>
      <c r="BF85" s="22" t="e">
        <f>IF(A85=0,0,SUMIFS([1]Population!D:D,[1]Population!A:A,'MASTER-2025'!A85))</f>
        <v>#VALUE!</v>
      </c>
      <c r="BG85" s="22" t="e">
        <f>IF(A85=0,0,SUMIFS([1]Population!E:E,[1]Population!A:A,'MASTER-2025'!A85))</f>
        <v>#VALUE!</v>
      </c>
      <c r="BH85" s="22" t="e">
        <f>IF(A85=0,0,SUMIFS([1]Population!F:F,[1]Population!A:A,'MASTER-2025'!A85))</f>
        <v>#VALUE!</v>
      </c>
      <c r="BI85" s="22" t="e">
        <f t="shared" si="35"/>
        <v>#VALUE!</v>
      </c>
      <c r="BJ85" s="23" t="e">
        <f t="shared" si="30"/>
        <v>#VALUE!</v>
      </c>
      <c r="BK85" s="22" t="e">
        <f>IF(A85=0,0,SUMIFS([1]Population!G:G,[1]Population!A:A,'MASTER-2025'!A85))</f>
        <v>#VALUE!</v>
      </c>
      <c r="BL85" s="24" cm="1">
        <f t="array" ref="BL85:BW85">IFERROR(VLOOKUP(A85,'[1]Now-OB-kg-POB-25'!A:AQ,{3,4,5,6,7,8,9,10,11,12,13,14},0),0)</f>
        <v>0</v>
      </c>
      <c r="BM85" s="24">
        <v>0</v>
      </c>
      <c r="BN85" s="24">
        <v>0</v>
      </c>
      <c r="BO85" s="24">
        <v>0</v>
      </c>
      <c r="BP85" s="24">
        <v>0</v>
      </c>
      <c r="BQ85" s="24">
        <v>0</v>
      </c>
      <c r="BR85" s="24">
        <v>0</v>
      </c>
      <c r="BS85" s="24">
        <v>0</v>
      </c>
      <c r="BT85" s="24">
        <v>0</v>
      </c>
      <c r="BU85" s="24">
        <v>0</v>
      </c>
      <c r="BV85" s="24">
        <v>0</v>
      </c>
      <c r="BW85" s="24">
        <v>0</v>
      </c>
      <c r="BX85" s="24">
        <f t="shared" si="31"/>
        <v>0</v>
      </c>
      <c r="BY85" s="25" cm="1">
        <f t="array" ref="BY85:CJ85">IFERROR(VLOOKUP(A85,'[1]Now-OB-kg-POB-25'!A:AQ,{17,18,19,20,21,22,23,24,25,26,27,28},0),0)</f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0</v>
      </c>
      <c r="CE85" s="25">
        <v>0</v>
      </c>
      <c r="CF85" s="25">
        <v>0</v>
      </c>
      <c r="CG85" s="25">
        <v>0</v>
      </c>
      <c r="CH85" s="25">
        <v>0</v>
      </c>
      <c r="CI85" s="25">
        <v>0</v>
      </c>
      <c r="CJ85" s="25">
        <v>0</v>
      </c>
      <c r="CK85" s="25">
        <f t="shared" si="32"/>
        <v>0</v>
      </c>
      <c r="CL85" s="26" cm="1">
        <f t="array" ref="CL85:CW85">IFERROR(VLOOKUP(A85,'[1]Now-OB-kg-POB-25'!A:AQ,{31,32,33,34,35,36,37,38,39,40,41,42},0),0)</f>
        <v>0</v>
      </c>
      <c r="CM85" s="26">
        <v>0</v>
      </c>
      <c r="CN85" s="26">
        <v>0</v>
      </c>
      <c r="CO85" s="26">
        <v>0</v>
      </c>
      <c r="CP85" s="26">
        <v>0</v>
      </c>
      <c r="CQ85" s="26">
        <v>0</v>
      </c>
      <c r="CR85" s="26">
        <v>0</v>
      </c>
      <c r="CS85" s="26">
        <v>0</v>
      </c>
      <c r="CT85" s="26">
        <v>0</v>
      </c>
      <c r="CU85" s="26">
        <v>0</v>
      </c>
      <c r="CV85" s="26">
        <v>0</v>
      </c>
      <c r="CW85" s="26">
        <v>0</v>
      </c>
      <c r="CX85" s="26">
        <f t="shared" si="33"/>
        <v>0</v>
      </c>
      <c r="CY85" s="14" t="str">
        <f>IF(A85=0,0,IFERROR(VLOOKUP(A85,'[1]Info Donantes'!C:F,2,0),"Sin Contacto"))</f>
        <v>Sin Contacto</v>
      </c>
      <c r="CZ85" s="14" t="str">
        <f>IF(A85=0,0,IFERROR(VLOOKUP(A85,'[1]Info Donantes'!C:F,3,0),"Sin Correo"))</f>
        <v>Sin Correo</v>
      </c>
      <c r="DA85" s="14" t="str">
        <f>IF(A85=0,0,IFERROR(VLOOKUP(A85,'[1]Info Donantes'!C:F,4,0),"Sin Telefono"))</f>
        <v>Sin Telefono</v>
      </c>
      <c r="DB85" s="14" t="str">
        <f>IF(A85=0,0,"Reporte de Trazabiidad"&amp;" - "&amp;'[1]Donor Summary'!$C$2&amp;" - "&amp;A85&amp;"")</f>
        <v>Reporte de Trazabiidad -  - Italo Hispana Distributor</v>
      </c>
    </row>
    <row r="86" spans="1:106" x14ac:dyDescent="0.55000000000000004">
      <c r="A86" s="31" t="s">
        <v>248</v>
      </c>
      <c r="B86" s="15">
        <f>INT(IFERROR(VLOOKUP(A86,'[1]Donor Summary'!C:F,3,0),0))</f>
        <v>0</v>
      </c>
      <c r="C86" s="15">
        <f>INT(ROUND(IFERROR(VLOOKUP(A86,'[1]Donor Summary'!C:F,4,0),0),1))</f>
        <v>0</v>
      </c>
      <c r="D86" s="16">
        <f t="shared" si="36"/>
        <v>0</v>
      </c>
      <c r="E86" s="17" t="str">
        <f t="shared" si="37"/>
        <v>0.00%</v>
      </c>
      <c r="F86" s="17" t="str">
        <f t="shared" si="38"/>
        <v>0.0%</v>
      </c>
      <c r="G86" s="15">
        <f t="shared" si="25"/>
        <v>0</v>
      </c>
      <c r="H86" s="18"/>
      <c r="I86" s="18">
        <f>IFERROR(VLOOKUP(A86,'[1]Lot All by Part'!T:Y,6,0),0)</f>
        <v>0</v>
      </c>
      <c r="J86" s="18"/>
      <c r="K86" s="19">
        <f>IFERROR(VLOOKUP($A86,'[1]Donor-Served OBs'!A:N,3,0),0)</f>
        <v>0</v>
      </c>
      <c r="L86" s="19">
        <f>ROUNDUP(IF(A86=0,0,IFERROR(VLOOKUP($A86,'[1]Donor''s Assigned Kilos'!A:O,3,0),0)),0)</f>
        <v>0</v>
      </c>
      <c r="M86" s="19">
        <f>IF(A86=0,0,IFERROR(SUMIFS([1]Population!M:M,[1]Population!J:J,'MASTER-2025'!A86),0))</f>
        <v>0</v>
      </c>
      <c r="N86" s="20">
        <f>IFERROR(VLOOKUP($A86,'[1]Donor-Served OBs'!A:N,4,0),0)</f>
        <v>0</v>
      </c>
      <c r="O86" s="20">
        <f>ROUNDUP(IF(A86=0,0,IFERROR(VLOOKUP($A86,'[1]Donor''s Assigned Kilos'!A:O,4,0),0)),0)</f>
        <v>0</v>
      </c>
      <c r="P86" s="20">
        <f>IF(A86=0,0,IFERROR(SUMIFS([1]Population!N:N,[1]Population!J:J,'MASTER-2025'!A86),0))</f>
        <v>0</v>
      </c>
      <c r="Q86" s="18">
        <f>IFERROR(VLOOKUP($A86,'[1]Donor-Served OBs'!A:N,2,0),0)</f>
        <v>0</v>
      </c>
      <c r="R86" s="18">
        <f>ROUNDUP(ROUND(IF(A86=0,0,IFERROR(VLOOKUP($A86,'[1]Donor''s Assigned Kilos'!A:O,9,0),0)),1),0)</f>
        <v>0</v>
      </c>
      <c r="S86" s="18">
        <f>IF(A86=0,0,IFERROR(SUMIFS([1]Population!S:S,[1]Population!J:J,'MASTER-2025'!A86),0))</f>
        <v>0</v>
      </c>
      <c r="T86" s="19">
        <f>IFERROR(VLOOKUP($A86,'[1]Donor-Served OBs'!A:N,12,0),0)</f>
        <v>0</v>
      </c>
      <c r="U86" s="19">
        <f>ROUNDUP(IF(A86=0,0,IF(A86=0,0,IFERROR(VLOOKUP($A86,'[1]Donor''s Assigned Kilos'!A:O,7,0),0))),0)</f>
        <v>0</v>
      </c>
      <c r="V86" s="19">
        <f>IF(A86=0,0,IFERROR(SUMIFS([1]Population!Q:Q,[1]Population!J:J,'MASTER-2025'!A86),0))</f>
        <v>0</v>
      </c>
      <c r="W86" s="20">
        <f>IFERROR(VLOOKUP($A86,'[1]Donor-Served OBs'!A:N,10,0),0)</f>
        <v>0</v>
      </c>
      <c r="X86" s="20">
        <f>ROUNDUP(IF(A86=0,0,IFERROR(VLOOKUP($A86,'[1]Donor''s Assigned Kilos'!A:N,5,0),0)),0)</f>
        <v>0</v>
      </c>
      <c r="Y86" s="20">
        <f>IF(A86=0,0,IFERROR(SUMIFS([1]Population!O:O,[1]Population!J:J,'MASTER-2025'!A86),0))</f>
        <v>0</v>
      </c>
      <c r="Z86" s="18">
        <f>IFERROR(VLOOKUP($A86,'[1]Donor-Served OBs'!A:N,6,0),0)</f>
        <v>0</v>
      </c>
      <c r="AA86" s="18">
        <f>ROUNDUP(IF(A86=0,0,IFERROR(VLOOKUP($A86,'[1]Donor''s Assigned Kilos'!A:N,11,0),0)),0)</f>
        <v>0</v>
      </c>
      <c r="AB86" s="18">
        <f>IF(A86=0,0,IFERROR(SUMIFS([1]Population!U:U,[1]Population!J:J,'MASTER-2025'!A86),0))</f>
        <v>0</v>
      </c>
      <c r="AC86" s="19">
        <f>IFERROR(VLOOKUP($A86,'[1]Donor-Served OBs'!A:N,7,0),0)</f>
        <v>0</v>
      </c>
      <c r="AD86" s="19">
        <f>ROUNDUP(IF(A86=0,0,IFERROR(VLOOKUP($A86,'[1]Donor''s Assigned Kilos'!A:N,8,0),0)),0)</f>
        <v>0</v>
      </c>
      <c r="AE86" s="19">
        <f>IF(A86=0,0,IFERROR(SUMIFS([1]Population!R:R,[1]Population!J:J,'MASTER-2025'!A86),0))</f>
        <v>0</v>
      </c>
      <c r="AF86" s="20">
        <f>IFERROR(VLOOKUP($A86,'[1]Donor-Served OBs'!A:N,8,0),0)</f>
        <v>0</v>
      </c>
      <c r="AG86" s="20">
        <f>ROUNDUP(IF(A86=0,0,IFERROR(VLOOKUP($A86,'[1]Donor''s Assigned Kilos'!A:N,6,0),0)),0)</f>
        <v>0</v>
      </c>
      <c r="AH86" s="20">
        <f>IF(A86=0,0,IFERROR(SUMIFS([1]Population!P:P,[1]Population!J:J,'MASTER-2025'!A86),0))</f>
        <v>0</v>
      </c>
      <c r="AI86" s="18">
        <f>IFERROR(VLOOKUP($A86,'[1]Donor-Served OBs'!A:N,9,0),0)</f>
        <v>0</v>
      </c>
      <c r="AJ86" s="18">
        <f>ROUNDUP(IF(A86=0,0,IFERROR(VLOOKUP($A86,'[1]Donor''s Assigned Kilos'!A:N,12,0),0)),0)</f>
        <v>0</v>
      </c>
      <c r="AK86" s="18">
        <f>IF(A86=0,0,IFERROR(SUMIFS([1]Population!V:V,[1]Population!J:J,'MASTER-2025'!A86),0))</f>
        <v>0</v>
      </c>
      <c r="AL86" s="19">
        <f>IFERROR(VLOOKUP($A86,'[1]Donor-Served OBs'!A:N,16,0),0)</f>
        <v>0</v>
      </c>
      <c r="AM86" s="19">
        <f>ROUNDUP(IF(A86=0,0,IFERROR(VLOOKUP($A86,'[1]Donor''s Assigned Kilos'!A:O,16,0),0)),0)</f>
        <v>0</v>
      </c>
      <c r="AN86" s="19">
        <f>IF(A86=0,0,IFERROR(SUMIFS([1]Population!Z:Z,[1]Population!J:J,'MASTER-2025'!A86),0))</f>
        <v>0</v>
      </c>
      <c r="AO86" s="20">
        <f>IFERROR(VLOOKUP($A86,'[1]Donor-Served OBs'!A:N,11,0),0)</f>
        <v>0</v>
      </c>
      <c r="AP86" s="20">
        <f>ROUNDUP(IF(A86=0,0,IFERROR(VLOOKUP($A86,'[1]Donor''s Assigned Kilos'!A:N,13,0),0)),0)</f>
        <v>0</v>
      </c>
      <c r="AQ86" s="20">
        <f>IF(A86=0,0,IFERROR(SUMIFS([1]Population!W:W,[1]Population!J:J,'MASTER-2025'!A86),0))</f>
        <v>0</v>
      </c>
      <c r="AR86" s="18">
        <f>IFERROR(VLOOKUP($A86,'[1]Donor-Served OBs'!A:N,5,0),0)</f>
        <v>0</v>
      </c>
      <c r="AS86" s="18">
        <f>ROUNDUP(IF(A86=0,0,IFERROR(VLOOKUP($A86,'[1]Donor''s Assigned Kilos'!A:N,10,0),0)),0)</f>
        <v>0</v>
      </c>
      <c r="AT86" s="18">
        <f>IF(A86=0,0,IFERROR(SUMIFS([1]Population!T:T,[1]Population!J:J,'MASTER-2025'!A86),0))</f>
        <v>0</v>
      </c>
      <c r="AU86" s="19">
        <f>IFERROR(VLOOKUP($A86,'[1]Donor-Served OBs'!A:N,13,0),0)</f>
        <v>0</v>
      </c>
      <c r="AV86" s="19">
        <f>ROUNDUP(IF(A86=0,0,IFERROR(VLOOKUP($A86,'[1]Donor''s Assigned Kilos'!A:N,14,0),0)),0)</f>
        <v>0</v>
      </c>
      <c r="AW86" s="19">
        <f>IF(A86=0,0,IFERROR(SUMIFS([1]Population!X:X,[1]Population!J:J,'MASTER-2025'!A86),0))</f>
        <v>0</v>
      </c>
      <c r="AX86" s="20">
        <f>IFERROR(VLOOKUP($A86,'[1]Donor-Served OBs'!A:N,16,0),0)</f>
        <v>0</v>
      </c>
      <c r="AY86" s="20">
        <f>ROUNDUP(IF(A86=0,0,IFERROR(VLOOKUP($A86,'[1]Donor''s Assigned Kilos'!A:O,16,0),0)),0)</f>
        <v>0</v>
      </c>
      <c r="AZ86" s="20">
        <f>IF(A86=0,0,IFERROR(SUMIFS([1]Population!Y:Y,[1]Population!J:J,'MASTER-2025'!A86),0))</f>
        <v>0</v>
      </c>
      <c r="BA86" s="21">
        <f t="shared" si="34"/>
        <v>0</v>
      </c>
      <c r="BB86" s="21">
        <f t="shared" si="29"/>
        <v>0</v>
      </c>
      <c r="BC86" s="21">
        <f t="shared" si="39"/>
        <v>0</v>
      </c>
      <c r="BD86" s="21">
        <f t="shared" si="26"/>
        <v>0</v>
      </c>
      <c r="BE86" s="22" t="e">
        <f>IF(A86=0,0,SUMIFS([1]Population!C:C,[1]Population!A:A,'MASTER-2025'!A86))</f>
        <v>#VALUE!</v>
      </c>
      <c r="BF86" s="22" t="e">
        <f>IF(A86=0,0,SUMIFS([1]Population!D:D,[1]Population!A:A,'MASTER-2025'!A86))</f>
        <v>#VALUE!</v>
      </c>
      <c r="BG86" s="22" t="e">
        <f>IF(A86=0,0,SUMIFS([1]Population!E:E,[1]Population!A:A,'MASTER-2025'!A86))</f>
        <v>#VALUE!</v>
      </c>
      <c r="BH86" s="22" t="e">
        <f>IF(A86=0,0,SUMIFS([1]Population!F:F,[1]Population!A:A,'MASTER-2025'!A86))</f>
        <v>#VALUE!</v>
      </c>
      <c r="BI86" s="22" t="e">
        <f t="shared" si="35"/>
        <v>#VALUE!</v>
      </c>
      <c r="BJ86" s="23" t="e">
        <f t="shared" si="30"/>
        <v>#VALUE!</v>
      </c>
      <c r="BK86" s="22" t="e">
        <f>IF(A86=0,0,SUMIFS([1]Population!G:G,[1]Population!A:A,'MASTER-2025'!A86))</f>
        <v>#VALUE!</v>
      </c>
      <c r="BL86" s="24" cm="1">
        <f t="array" ref="BL86:BW86">IFERROR(VLOOKUP(A86,'[1]Now-OB-kg-POB-25'!A:AQ,{3,4,5,6,7,8,9,10,11,12,13,14},0),0)</f>
        <v>0</v>
      </c>
      <c r="BM86" s="24">
        <v>0</v>
      </c>
      <c r="BN86" s="24">
        <v>0</v>
      </c>
      <c r="BO86" s="24">
        <v>0</v>
      </c>
      <c r="BP86" s="24">
        <v>0</v>
      </c>
      <c r="BQ86" s="24">
        <v>0</v>
      </c>
      <c r="BR86" s="24">
        <v>0</v>
      </c>
      <c r="BS86" s="24">
        <v>0</v>
      </c>
      <c r="BT86" s="24">
        <v>0</v>
      </c>
      <c r="BU86" s="24">
        <v>0</v>
      </c>
      <c r="BV86" s="24">
        <v>0</v>
      </c>
      <c r="BW86" s="24">
        <v>0</v>
      </c>
      <c r="BX86" s="24">
        <f t="shared" si="31"/>
        <v>0</v>
      </c>
      <c r="BY86" s="25" cm="1">
        <f t="array" ref="BY86:CJ86">IFERROR(VLOOKUP(A86,'[1]Now-OB-kg-POB-25'!A:AQ,{17,18,19,20,21,22,23,24,25,26,27,28},0),0)</f>
        <v>0</v>
      </c>
      <c r="BZ86" s="25">
        <v>0</v>
      </c>
      <c r="CA86" s="25">
        <v>0</v>
      </c>
      <c r="CB86" s="25">
        <v>0</v>
      </c>
      <c r="CC86" s="25">
        <v>0</v>
      </c>
      <c r="CD86" s="25">
        <v>0</v>
      </c>
      <c r="CE86" s="25">
        <v>0</v>
      </c>
      <c r="CF86" s="25">
        <v>0</v>
      </c>
      <c r="CG86" s="25">
        <v>0</v>
      </c>
      <c r="CH86" s="25">
        <v>0</v>
      </c>
      <c r="CI86" s="25">
        <v>0</v>
      </c>
      <c r="CJ86" s="25">
        <v>0</v>
      </c>
      <c r="CK86" s="25">
        <f t="shared" si="32"/>
        <v>0</v>
      </c>
      <c r="CL86" s="26" cm="1">
        <f t="array" ref="CL86:CW86">IFERROR(VLOOKUP(A86,'[1]Now-OB-kg-POB-25'!A:AQ,{31,32,33,34,35,36,37,38,39,40,41,42},0),0)</f>
        <v>0</v>
      </c>
      <c r="CM86" s="26">
        <v>0</v>
      </c>
      <c r="CN86" s="26">
        <v>0</v>
      </c>
      <c r="CO86" s="26">
        <v>0</v>
      </c>
      <c r="CP86" s="26">
        <v>0</v>
      </c>
      <c r="CQ86" s="26">
        <v>0</v>
      </c>
      <c r="CR86" s="26">
        <v>0</v>
      </c>
      <c r="CS86" s="26">
        <v>0</v>
      </c>
      <c r="CT86" s="26">
        <v>0</v>
      </c>
      <c r="CU86" s="26">
        <v>0</v>
      </c>
      <c r="CV86" s="26">
        <v>0</v>
      </c>
      <c r="CW86" s="26">
        <v>0</v>
      </c>
      <c r="CX86" s="26">
        <f t="shared" si="33"/>
        <v>0</v>
      </c>
      <c r="CY86" s="14" t="str">
        <f>IF(A86=0,0,IFERROR(VLOOKUP(A86,'[1]Info Donantes'!C:F,2,0),"Sin Contacto"))</f>
        <v>Sin Contacto</v>
      </c>
      <c r="CZ86" s="14" t="str">
        <f>IF(A86=0,0,IFERROR(VLOOKUP(A86,'[1]Info Donantes'!C:F,3,0),"Sin Correo"))</f>
        <v>Sin Correo</v>
      </c>
      <c r="DA86" s="14" t="str">
        <f>IF(A86=0,0,IFERROR(VLOOKUP(A86,'[1]Info Donantes'!C:F,4,0),"Sin Telefono"))</f>
        <v>Sin Telefono</v>
      </c>
      <c r="DB86" s="14" t="str">
        <f>IF(A86=0,0,"Reporte de Trazabiidad"&amp;" - "&amp;'[1]Donor Summary'!$C$2&amp;" - "&amp;A86&amp;"")</f>
        <v>Reporte de Trazabiidad -  - BIMBO DE PANAMA, S.A</v>
      </c>
    </row>
    <row r="87" spans="1:106" x14ac:dyDescent="0.55000000000000004">
      <c r="A87" s="31" t="s">
        <v>194</v>
      </c>
      <c r="B87" s="15">
        <f>INT(IFERROR(VLOOKUP(A87,'[1]Donor Summary'!C:F,3,0),0))</f>
        <v>0</v>
      </c>
      <c r="C87" s="15">
        <f>INT(ROUND(IFERROR(VLOOKUP(A87,'[1]Donor Summary'!C:F,4,0),0),1))</f>
        <v>826</v>
      </c>
      <c r="D87" s="16">
        <f t="shared" si="36"/>
        <v>826</v>
      </c>
      <c r="E87" s="17" t="str">
        <f t="shared" si="37"/>
        <v>100.00%</v>
      </c>
      <c r="F87" s="17" t="str">
        <f t="shared" si="38"/>
        <v>0.0%</v>
      </c>
      <c r="G87" s="15">
        <f t="shared" si="25"/>
        <v>2478</v>
      </c>
      <c r="H87" s="18"/>
      <c r="I87" s="18">
        <f>IFERROR(VLOOKUP(A87,'[1]Lot All by Part'!T:Y,6,0),0)</f>
        <v>0</v>
      </c>
      <c r="J87" s="18"/>
      <c r="K87" s="19">
        <f>IFERROR(VLOOKUP($A87,'[1]Donor-Served OBs'!A:N,3,0),0)</f>
        <v>13</v>
      </c>
      <c r="L87" s="19">
        <f>ROUNDUP(IF(A87=0,0,IFERROR(VLOOKUP($A87,'[1]Donor''s Assigned Kilos'!A:O,3,0),0)),0)</f>
        <v>146</v>
      </c>
      <c r="M87" s="19">
        <f>IF(A87=0,0,IFERROR(SUMIFS([1]Population!M:M,[1]Population!J:J,'MASTER-2025'!A87),0))</f>
        <v>0</v>
      </c>
      <c r="N87" s="20">
        <f>IFERROR(VLOOKUP($A87,'[1]Donor-Served OBs'!A:N,4,0),0)</f>
        <v>27</v>
      </c>
      <c r="O87" s="20">
        <f>ROUNDUP(IF(A87=0,0,IFERROR(VLOOKUP($A87,'[1]Donor''s Assigned Kilos'!A:O,4,0),0)),0)</f>
        <v>241</v>
      </c>
      <c r="P87" s="20">
        <f>IF(A87=0,0,IFERROR(SUMIFS([1]Population!N:N,[1]Population!J:J,'MASTER-2025'!A87),0))</f>
        <v>0</v>
      </c>
      <c r="Q87" s="18">
        <f>IFERROR(VLOOKUP($A87,'[1]Donor-Served OBs'!A:N,2,0),0)</f>
        <v>3</v>
      </c>
      <c r="R87" s="18">
        <f>ROUNDUP(ROUND(IF(A87=0,0,IFERROR(VLOOKUP($A87,'[1]Donor''s Assigned Kilos'!A:O,9,0),0)),1),0)</f>
        <v>18</v>
      </c>
      <c r="S87" s="18">
        <f>IF(A87=0,0,IFERROR(SUMIFS([1]Population!S:S,[1]Population!J:J,'MASTER-2025'!A87),0))</f>
        <v>0</v>
      </c>
      <c r="T87" s="19">
        <f>IFERROR(VLOOKUP($A87,'[1]Donor-Served OBs'!A:N,12,0),0)</f>
        <v>5</v>
      </c>
      <c r="U87" s="19">
        <f>ROUNDUP(IF(A87=0,0,IF(A87=0,0,IFERROR(VLOOKUP($A87,'[1]Donor''s Assigned Kilos'!A:O,7,0),0))),0)</f>
        <v>49</v>
      </c>
      <c r="V87" s="19">
        <f>IF(A87=0,0,IFERROR(SUMIFS([1]Population!Q:Q,[1]Population!J:J,'MASTER-2025'!A87),0))</f>
        <v>0</v>
      </c>
      <c r="W87" s="20">
        <f>IFERROR(VLOOKUP($A87,'[1]Donor-Served OBs'!A:N,10,0),0)</f>
        <v>7</v>
      </c>
      <c r="X87" s="20">
        <f>ROUNDUP(IF(A87=0,0,IFERROR(VLOOKUP($A87,'[1]Donor''s Assigned Kilos'!A:N,5,0),0)),0)</f>
        <v>42</v>
      </c>
      <c r="Y87" s="20">
        <f>IF(A87=0,0,IFERROR(SUMIFS([1]Population!O:O,[1]Population!J:J,'MASTER-2025'!A87),0))</f>
        <v>0</v>
      </c>
      <c r="Z87" s="18">
        <f>IFERROR(VLOOKUP($A87,'[1]Donor-Served OBs'!A:N,6,0),0)</f>
        <v>0</v>
      </c>
      <c r="AA87" s="18">
        <f>ROUNDUP(IF(A87=0,0,IFERROR(VLOOKUP($A87,'[1]Donor''s Assigned Kilos'!A:N,11,0),0)),0)</f>
        <v>0</v>
      </c>
      <c r="AB87" s="18">
        <f>IF(A87=0,0,IFERROR(SUMIFS([1]Population!U:U,[1]Population!J:J,'MASTER-2025'!A87),0))</f>
        <v>0</v>
      </c>
      <c r="AC87" s="19">
        <f>IFERROR(VLOOKUP($A87,'[1]Donor-Served OBs'!A:N,7,0),0)</f>
        <v>3</v>
      </c>
      <c r="AD87" s="19">
        <f>ROUNDUP(IF(A87=0,0,IFERROR(VLOOKUP($A87,'[1]Donor''s Assigned Kilos'!A:N,8,0),0)),0)</f>
        <v>18</v>
      </c>
      <c r="AE87" s="19">
        <f>IF(A87=0,0,IFERROR(SUMIFS([1]Population!R:R,[1]Population!J:J,'MASTER-2025'!A87),0))</f>
        <v>0</v>
      </c>
      <c r="AF87" s="20">
        <f>IFERROR(VLOOKUP($A87,'[1]Donor-Served OBs'!A:N,8,0),0)</f>
        <v>1</v>
      </c>
      <c r="AG87" s="20">
        <f>ROUNDUP(IF(A87=0,0,IFERROR(VLOOKUP($A87,'[1]Donor''s Assigned Kilos'!A:N,6,0),0)),0)</f>
        <v>8</v>
      </c>
      <c r="AH87" s="20">
        <f>IF(A87=0,0,IFERROR(SUMIFS([1]Population!P:P,[1]Population!J:J,'MASTER-2025'!A87),0))</f>
        <v>0</v>
      </c>
      <c r="AI87" s="18">
        <f>IFERROR(VLOOKUP($A87,'[1]Donor-Served OBs'!A:N,9,0),0)</f>
        <v>1</v>
      </c>
      <c r="AJ87" s="18">
        <f>ROUNDUP(IF(A87=0,0,IFERROR(VLOOKUP($A87,'[1]Donor''s Assigned Kilos'!A:N,12,0),0)),0)</f>
        <v>6</v>
      </c>
      <c r="AK87" s="18">
        <f>IF(A87=0,0,IFERROR(SUMIFS([1]Population!V:V,[1]Population!J:J,'MASTER-2025'!A87),0))</f>
        <v>0</v>
      </c>
      <c r="AL87" s="19">
        <f>IFERROR(VLOOKUP($A87,'[1]Donor-Served OBs'!A:N,16,0),0)</f>
        <v>0</v>
      </c>
      <c r="AM87" s="19">
        <f>ROUNDUP(IF(A87=0,0,IFERROR(VLOOKUP($A87,'[1]Donor''s Assigned Kilos'!A:O,16,0),0)),0)</f>
        <v>0</v>
      </c>
      <c r="AN87" s="19">
        <f>IF(A87=0,0,IFERROR(SUMIFS([1]Population!Z:Z,[1]Population!J:J,'MASTER-2025'!A87),0))</f>
        <v>0</v>
      </c>
      <c r="AO87" s="20">
        <f>IFERROR(VLOOKUP($A87,'[1]Donor-Served OBs'!A:N,11,0),0)</f>
        <v>0</v>
      </c>
      <c r="AP87" s="20">
        <f>ROUNDUP(IF(A87=0,0,IFERROR(VLOOKUP($A87,'[1]Donor''s Assigned Kilos'!A:N,13,0),0)),0)</f>
        <v>0</v>
      </c>
      <c r="AQ87" s="20">
        <f>IF(A87=0,0,IFERROR(SUMIFS([1]Population!W:W,[1]Population!J:J,'MASTER-2025'!A87),0))</f>
        <v>0</v>
      </c>
      <c r="AR87" s="18">
        <f>IFERROR(VLOOKUP($A87,'[1]Donor-Served OBs'!A:N,5,0),0)</f>
        <v>0</v>
      </c>
      <c r="AS87" s="18">
        <f>ROUNDUP(IF(A87=0,0,IFERROR(VLOOKUP($A87,'[1]Donor''s Assigned Kilos'!A:N,10,0),0)),0)</f>
        <v>0</v>
      </c>
      <c r="AT87" s="18">
        <f>IF(A87=0,0,IFERROR(SUMIFS([1]Population!T:T,[1]Population!J:J,'MASTER-2025'!A87),0))</f>
        <v>0</v>
      </c>
      <c r="AU87" s="19">
        <f>IFERROR(VLOOKUP($A87,'[1]Donor-Served OBs'!A:N,13,0),0)</f>
        <v>0</v>
      </c>
      <c r="AV87" s="19">
        <f>ROUNDUP(IF(A87=0,0,IFERROR(VLOOKUP($A87,'[1]Donor''s Assigned Kilos'!A:N,14,0),0)),0)</f>
        <v>0</v>
      </c>
      <c r="AW87" s="19">
        <f>IF(A87=0,0,IFERROR(SUMIFS([1]Population!X:X,[1]Population!J:J,'MASTER-2025'!A87),0))</f>
        <v>0</v>
      </c>
      <c r="AX87" s="20">
        <f>IFERROR(VLOOKUP($A87,'[1]Donor-Served OBs'!A:N,16,0),0)</f>
        <v>0</v>
      </c>
      <c r="AY87" s="20">
        <f>ROUNDUP(IF(A87=0,0,IFERROR(VLOOKUP($A87,'[1]Donor''s Assigned Kilos'!A:O,16,0),0)),0)</f>
        <v>0</v>
      </c>
      <c r="AZ87" s="20">
        <f>IF(A87=0,0,IFERROR(SUMIFS([1]Population!Y:Y,[1]Population!J:J,'MASTER-2025'!A87),0))</f>
        <v>0</v>
      </c>
      <c r="BA87" s="21">
        <f t="shared" si="34"/>
        <v>60</v>
      </c>
      <c r="BB87" s="21">
        <f t="shared" si="29"/>
        <v>528</v>
      </c>
      <c r="BC87" s="21">
        <f t="shared" si="39"/>
        <v>454</v>
      </c>
      <c r="BD87" s="21">
        <f t="shared" si="26"/>
        <v>0</v>
      </c>
      <c r="BE87" s="22" t="e">
        <f>IF(A87=0,0,SUMIFS([1]Population!C:C,[1]Population!A:A,'MASTER-2025'!A87))</f>
        <v>#VALUE!</v>
      </c>
      <c r="BF87" s="22" t="e">
        <f>IF(A87=0,0,SUMIFS([1]Population!D:D,[1]Population!A:A,'MASTER-2025'!A87))</f>
        <v>#VALUE!</v>
      </c>
      <c r="BG87" s="22" t="e">
        <f>IF(A87=0,0,SUMIFS([1]Population!E:E,[1]Population!A:A,'MASTER-2025'!A87))</f>
        <v>#VALUE!</v>
      </c>
      <c r="BH87" s="22" t="e">
        <f>IF(A87=0,0,SUMIFS([1]Population!F:F,[1]Population!A:A,'MASTER-2025'!A87))</f>
        <v>#VALUE!</v>
      </c>
      <c r="BI87" s="22" t="e">
        <f t="shared" si="35"/>
        <v>#VALUE!</v>
      </c>
      <c r="BJ87" s="23" t="e">
        <f t="shared" si="30"/>
        <v>#VALUE!</v>
      </c>
      <c r="BK87" s="22" t="e">
        <f>IF(A87=0,0,SUMIFS([1]Population!G:G,[1]Population!A:A,'MASTER-2025'!A87))</f>
        <v>#VALUE!</v>
      </c>
      <c r="BL87" s="24" cm="1">
        <f t="array" ref="BL87:BW87">IFERROR(VLOOKUP(A87,'[1]Now-OB-kg-POB-25'!A:AQ,{3,4,5,6,7,8,9,10,11,12,13,14},0),0)</f>
        <v>0</v>
      </c>
      <c r="BM87" s="24">
        <v>0</v>
      </c>
      <c r="BN87" s="24">
        <v>0</v>
      </c>
      <c r="BO87" s="24">
        <v>0</v>
      </c>
      <c r="BP87" s="24">
        <v>0</v>
      </c>
      <c r="BQ87" s="24">
        <v>0</v>
      </c>
      <c r="BR87" s="24">
        <v>0</v>
      </c>
      <c r="BS87" s="24">
        <v>0</v>
      </c>
      <c r="BT87" s="24">
        <v>0</v>
      </c>
      <c r="BU87" s="24">
        <v>0</v>
      </c>
      <c r="BV87" s="24">
        <v>0</v>
      </c>
      <c r="BW87" s="24">
        <v>0</v>
      </c>
      <c r="BX87" s="24">
        <f t="shared" si="31"/>
        <v>0</v>
      </c>
      <c r="BY87" s="25" cm="1">
        <f t="array" ref="BY87:CJ87">IFERROR(VLOOKUP(A87,'[1]Now-OB-kg-POB-25'!A:AQ,{17,18,19,20,21,22,23,24,25,26,27,28},0),0)</f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 s="25">
        <v>0</v>
      </c>
      <c r="CI87" s="25">
        <v>0</v>
      </c>
      <c r="CJ87" s="25">
        <v>0</v>
      </c>
      <c r="CK87" s="25">
        <f t="shared" si="32"/>
        <v>0</v>
      </c>
      <c r="CL87" s="26" cm="1">
        <f t="array" ref="CL87:CW87">IFERROR(VLOOKUP(A87,'[1]Now-OB-kg-POB-25'!A:AQ,{31,32,33,34,35,36,37,38,39,40,41,42},0),0)</f>
        <v>0</v>
      </c>
      <c r="CM87" s="26">
        <v>0</v>
      </c>
      <c r="CN87" s="26">
        <v>0</v>
      </c>
      <c r="CO87" s="26">
        <v>0</v>
      </c>
      <c r="CP87" s="26">
        <v>0</v>
      </c>
      <c r="CQ87" s="26">
        <v>0</v>
      </c>
      <c r="CR87" s="26">
        <v>0</v>
      </c>
      <c r="CS87" s="26">
        <v>0</v>
      </c>
      <c r="CT87" s="26">
        <v>0</v>
      </c>
      <c r="CU87" s="26">
        <v>0</v>
      </c>
      <c r="CV87" s="26">
        <v>0</v>
      </c>
      <c r="CW87" s="26">
        <v>0</v>
      </c>
      <c r="CX87" s="26">
        <f t="shared" si="33"/>
        <v>0</v>
      </c>
      <c r="CY87" s="14" t="str">
        <f>IF(A87=0,0,IFERROR(VLOOKUP(A87,'[1]Info Donantes'!C:F,2,0),"Sin Contacto"))</f>
        <v>Sin Contacto</v>
      </c>
      <c r="CZ87" s="14" t="str">
        <f>IF(A87=0,0,IFERROR(VLOOKUP(A87,'[1]Info Donantes'!C:F,3,0),"Sin Correo"))</f>
        <v>Sin Correo</v>
      </c>
      <c r="DA87" s="14" t="str">
        <f>IF(A87=0,0,IFERROR(VLOOKUP(A87,'[1]Info Donantes'!C:F,4,0),"Sin Telefono"))</f>
        <v>Sin Telefono</v>
      </c>
      <c r="DB87" s="14" t="str">
        <f>IF(A87=0,0,"Reporte de Trazabiidad"&amp;" - "&amp;'[1]Donor Summary'!$C$2&amp;" - "&amp;A87&amp;"")</f>
        <v>Reporte de Trazabiidad -  - MARTIN BROWER</v>
      </c>
    </row>
    <row r="88" spans="1:106" x14ac:dyDescent="0.55000000000000004">
      <c r="A88" s="31" t="s">
        <v>182</v>
      </c>
      <c r="B88" s="15">
        <f>INT(IFERROR(VLOOKUP(A88,'[1]Donor Summary'!C:F,3,0),0))</f>
        <v>0</v>
      </c>
      <c r="C88" s="15">
        <f>INT(ROUND(IFERROR(VLOOKUP(A88,'[1]Donor Summary'!C:F,4,0),0),1))</f>
        <v>0</v>
      </c>
      <c r="D88" s="16">
        <f t="shared" si="36"/>
        <v>0</v>
      </c>
      <c r="E88" s="17" t="str">
        <f t="shared" si="37"/>
        <v>0.00%</v>
      </c>
      <c r="F88" s="17" t="str">
        <f t="shared" si="38"/>
        <v>0.0%</v>
      </c>
      <c r="G88" s="15">
        <f t="shared" si="25"/>
        <v>0</v>
      </c>
      <c r="H88" s="18"/>
      <c r="I88" s="18">
        <f>IFERROR(VLOOKUP(A88,'[1]Lot All by Part'!T:Y,6,0),0)</f>
        <v>0</v>
      </c>
      <c r="J88" s="18"/>
      <c r="K88" s="19">
        <f>IFERROR(VLOOKUP($A88,'[1]Donor-Served OBs'!A:N,3,0),0)</f>
        <v>0</v>
      </c>
      <c r="L88" s="19">
        <f>ROUNDUP(IF(A88=0,0,IFERROR(VLOOKUP($A88,'[1]Donor''s Assigned Kilos'!A:O,3,0),0)),0)</f>
        <v>0</v>
      </c>
      <c r="M88" s="19">
        <f>IF(A88=0,0,IFERROR(SUMIFS([1]Population!M:M,[1]Population!J:J,'MASTER-2025'!A88),0))</f>
        <v>0</v>
      </c>
      <c r="N88" s="20">
        <f>IFERROR(VLOOKUP($A88,'[1]Donor-Served OBs'!A:N,4,0),0)</f>
        <v>0</v>
      </c>
      <c r="O88" s="20">
        <f>ROUNDUP(IF(A88=0,0,IFERROR(VLOOKUP($A88,'[1]Donor''s Assigned Kilos'!A:O,4,0),0)),0)</f>
        <v>0</v>
      </c>
      <c r="P88" s="20">
        <f>IF(A88=0,0,IFERROR(SUMIFS([1]Population!N:N,[1]Population!J:J,'MASTER-2025'!A88),0))</f>
        <v>0</v>
      </c>
      <c r="Q88" s="18">
        <f>IFERROR(VLOOKUP($A88,'[1]Donor-Served OBs'!A:N,2,0),0)</f>
        <v>0</v>
      </c>
      <c r="R88" s="18">
        <f>ROUNDUP(ROUND(IF(A88=0,0,IFERROR(VLOOKUP($A88,'[1]Donor''s Assigned Kilos'!A:O,9,0),0)),1),0)</f>
        <v>0</v>
      </c>
      <c r="S88" s="18">
        <f>IF(A88=0,0,IFERROR(SUMIFS([1]Population!S:S,[1]Population!J:J,'MASTER-2025'!A88),0))</f>
        <v>0</v>
      </c>
      <c r="T88" s="19">
        <f>IFERROR(VLOOKUP($A88,'[1]Donor-Served OBs'!A:N,12,0),0)</f>
        <v>0</v>
      </c>
      <c r="U88" s="19">
        <f>ROUNDUP(IF(A88=0,0,IF(A88=0,0,IFERROR(VLOOKUP($A88,'[1]Donor''s Assigned Kilos'!A:O,7,0),0))),0)</f>
        <v>0</v>
      </c>
      <c r="V88" s="19">
        <f>IF(A88=0,0,IFERROR(SUMIFS([1]Population!Q:Q,[1]Population!J:J,'MASTER-2025'!A88),0))</f>
        <v>0</v>
      </c>
      <c r="W88" s="20">
        <f>IFERROR(VLOOKUP($A88,'[1]Donor-Served OBs'!A:N,10,0),0)</f>
        <v>0</v>
      </c>
      <c r="X88" s="20">
        <f>ROUNDUP(IF(A88=0,0,IFERROR(VLOOKUP($A88,'[1]Donor''s Assigned Kilos'!A:N,5,0),0)),0)</f>
        <v>0</v>
      </c>
      <c r="Y88" s="20">
        <f>IF(A88=0,0,IFERROR(SUMIFS([1]Population!O:O,[1]Population!J:J,'MASTER-2025'!A88),0))</f>
        <v>0</v>
      </c>
      <c r="Z88" s="18">
        <f>IFERROR(VLOOKUP($A88,'[1]Donor-Served OBs'!A:N,6,0),0)</f>
        <v>0</v>
      </c>
      <c r="AA88" s="18">
        <f>ROUNDUP(IF(A88=0,0,IFERROR(VLOOKUP($A88,'[1]Donor''s Assigned Kilos'!A:N,11,0),0)),0)</f>
        <v>0</v>
      </c>
      <c r="AB88" s="18">
        <f>IF(A88=0,0,IFERROR(SUMIFS([1]Population!U:U,[1]Population!J:J,'MASTER-2025'!A88),0))</f>
        <v>0</v>
      </c>
      <c r="AC88" s="19">
        <f>IFERROR(VLOOKUP($A88,'[1]Donor-Served OBs'!A:N,7,0),0)</f>
        <v>0</v>
      </c>
      <c r="AD88" s="19">
        <f>ROUNDUP(IF(A88=0,0,IFERROR(VLOOKUP($A88,'[1]Donor''s Assigned Kilos'!A:N,8,0),0)),0)</f>
        <v>0</v>
      </c>
      <c r="AE88" s="19">
        <f>IF(A88=0,0,IFERROR(SUMIFS([1]Population!R:R,[1]Population!J:J,'MASTER-2025'!A88),0))</f>
        <v>0</v>
      </c>
      <c r="AF88" s="20">
        <f>IFERROR(VLOOKUP($A88,'[1]Donor-Served OBs'!A:N,8,0),0)</f>
        <v>0</v>
      </c>
      <c r="AG88" s="20">
        <f>ROUNDUP(IF(A88=0,0,IFERROR(VLOOKUP($A88,'[1]Donor''s Assigned Kilos'!A:N,6,0),0)),0)</f>
        <v>0</v>
      </c>
      <c r="AH88" s="20">
        <f>IF(A88=0,0,IFERROR(SUMIFS([1]Population!P:P,[1]Population!J:J,'MASTER-2025'!A88),0))</f>
        <v>0</v>
      </c>
      <c r="AI88" s="18">
        <f>IFERROR(VLOOKUP($A88,'[1]Donor-Served OBs'!A:N,9,0),0)</f>
        <v>0</v>
      </c>
      <c r="AJ88" s="18">
        <f>ROUNDUP(IF(A88=0,0,IFERROR(VLOOKUP($A88,'[1]Donor''s Assigned Kilos'!A:N,12,0),0)),0)</f>
        <v>0</v>
      </c>
      <c r="AK88" s="18">
        <f>IF(A88=0,0,IFERROR(SUMIFS([1]Population!V:V,[1]Population!J:J,'MASTER-2025'!A88),0))</f>
        <v>0</v>
      </c>
      <c r="AL88" s="19">
        <f>IFERROR(VLOOKUP($A88,'[1]Donor-Served OBs'!A:N,16,0),0)</f>
        <v>0</v>
      </c>
      <c r="AM88" s="19">
        <f>ROUNDUP(IF(A88=0,0,IFERROR(VLOOKUP($A88,'[1]Donor''s Assigned Kilos'!A:O,16,0),0)),0)</f>
        <v>0</v>
      </c>
      <c r="AN88" s="19">
        <f>IF(A88=0,0,IFERROR(SUMIFS([1]Population!Z:Z,[1]Population!J:J,'MASTER-2025'!A88),0))</f>
        <v>0</v>
      </c>
      <c r="AO88" s="20">
        <f>IFERROR(VLOOKUP($A88,'[1]Donor-Served OBs'!A:N,11,0),0)</f>
        <v>0</v>
      </c>
      <c r="AP88" s="20">
        <f>ROUNDUP(IF(A88=0,0,IFERROR(VLOOKUP($A88,'[1]Donor''s Assigned Kilos'!A:N,13,0),0)),0)</f>
        <v>0</v>
      </c>
      <c r="AQ88" s="20">
        <f>IF(A88=0,0,IFERROR(SUMIFS([1]Population!W:W,[1]Population!J:J,'MASTER-2025'!A88),0))</f>
        <v>0</v>
      </c>
      <c r="AR88" s="18">
        <f>IFERROR(VLOOKUP($A88,'[1]Donor-Served OBs'!A:N,5,0),0)</f>
        <v>0</v>
      </c>
      <c r="AS88" s="18">
        <f>ROUNDUP(IF(A88=0,0,IFERROR(VLOOKUP($A88,'[1]Donor''s Assigned Kilos'!A:N,10,0),0)),0)</f>
        <v>0</v>
      </c>
      <c r="AT88" s="18">
        <f>IF(A88=0,0,IFERROR(SUMIFS([1]Population!T:T,[1]Population!J:J,'MASTER-2025'!A88),0))</f>
        <v>0</v>
      </c>
      <c r="AU88" s="19">
        <f>IFERROR(VLOOKUP($A88,'[1]Donor-Served OBs'!A:N,13,0),0)</f>
        <v>0</v>
      </c>
      <c r="AV88" s="19">
        <f>ROUNDUP(IF(A88=0,0,IFERROR(VLOOKUP($A88,'[1]Donor''s Assigned Kilos'!A:N,14,0),0)),0)</f>
        <v>0</v>
      </c>
      <c r="AW88" s="19">
        <f>IF(A88=0,0,IFERROR(SUMIFS([1]Population!X:X,[1]Population!J:J,'MASTER-2025'!A88),0))</f>
        <v>0</v>
      </c>
      <c r="AX88" s="20">
        <f>IFERROR(VLOOKUP($A88,'[1]Donor-Served OBs'!A:N,16,0),0)</f>
        <v>0</v>
      </c>
      <c r="AY88" s="20">
        <f>ROUNDUP(IF(A88=0,0,IFERROR(VLOOKUP($A88,'[1]Donor''s Assigned Kilos'!A:O,16,0),0)),0)</f>
        <v>0</v>
      </c>
      <c r="AZ88" s="20">
        <f>IF(A88=0,0,IFERROR(SUMIFS([1]Population!Y:Y,[1]Population!J:J,'MASTER-2025'!A88),0))</f>
        <v>0</v>
      </c>
      <c r="BA88" s="21">
        <f t="shared" si="34"/>
        <v>0</v>
      </c>
      <c r="BB88" s="21">
        <f t="shared" si="29"/>
        <v>0</v>
      </c>
      <c r="BC88" s="21">
        <f t="shared" si="39"/>
        <v>0</v>
      </c>
      <c r="BD88" s="21">
        <f t="shared" si="26"/>
        <v>0</v>
      </c>
      <c r="BE88" s="22" t="e">
        <f>IF(A88=0,0,SUMIFS([1]Population!C:C,[1]Population!A:A,'MASTER-2025'!A88))</f>
        <v>#VALUE!</v>
      </c>
      <c r="BF88" s="22" t="e">
        <f>IF(A88=0,0,SUMIFS([1]Population!D:D,[1]Population!A:A,'MASTER-2025'!A88))</f>
        <v>#VALUE!</v>
      </c>
      <c r="BG88" s="22" t="e">
        <f>IF(A88=0,0,SUMIFS([1]Population!E:E,[1]Population!A:A,'MASTER-2025'!A88))</f>
        <v>#VALUE!</v>
      </c>
      <c r="BH88" s="22" t="e">
        <f>IF(A88=0,0,SUMIFS([1]Population!F:F,[1]Population!A:A,'MASTER-2025'!A88))</f>
        <v>#VALUE!</v>
      </c>
      <c r="BI88" s="22" t="e">
        <f t="shared" si="35"/>
        <v>#VALUE!</v>
      </c>
      <c r="BJ88" s="23" t="e">
        <f t="shared" si="30"/>
        <v>#VALUE!</v>
      </c>
      <c r="BK88" s="22" t="e">
        <f>IF(A88=0,0,SUMIFS([1]Population!G:G,[1]Population!A:A,'MASTER-2025'!A88))</f>
        <v>#VALUE!</v>
      </c>
      <c r="BL88" s="24" cm="1">
        <f t="array" ref="BL88:BW88">IFERROR(VLOOKUP(A88,'[1]Now-OB-kg-POB-25'!A:AQ,{3,4,5,6,7,8,9,10,11,12,13,14},0),0)</f>
        <v>0</v>
      </c>
      <c r="BM88" s="24">
        <v>0</v>
      </c>
      <c r="BN88" s="24">
        <v>0</v>
      </c>
      <c r="BO88" s="24">
        <v>0</v>
      </c>
      <c r="BP88" s="24">
        <v>0</v>
      </c>
      <c r="BQ88" s="24">
        <v>0</v>
      </c>
      <c r="BR88" s="24">
        <v>0</v>
      </c>
      <c r="BS88" s="24">
        <v>0</v>
      </c>
      <c r="BT88" s="24">
        <v>0</v>
      </c>
      <c r="BU88" s="24">
        <v>0</v>
      </c>
      <c r="BV88" s="24">
        <v>0</v>
      </c>
      <c r="BW88" s="24">
        <v>0</v>
      </c>
      <c r="BX88" s="24">
        <f t="shared" si="31"/>
        <v>0</v>
      </c>
      <c r="BY88" s="25" cm="1">
        <f t="array" ref="BY88:CJ88">IFERROR(VLOOKUP(A88,'[1]Now-OB-kg-POB-25'!A:AQ,{17,18,19,20,21,22,23,24,25,26,27,28},0),0)</f>
        <v>0</v>
      </c>
      <c r="BZ88" s="25">
        <v>0</v>
      </c>
      <c r="CA88" s="25">
        <v>0</v>
      </c>
      <c r="CB88" s="25">
        <v>0</v>
      </c>
      <c r="CC88" s="25">
        <v>0</v>
      </c>
      <c r="CD88" s="25">
        <v>0</v>
      </c>
      <c r="CE88" s="25">
        <v>0</v>
      </c>
      <c r="CF88" s="25">
        <v>0</v>
      </c>
      <c r="CG88" s="25">
        <v>0</v>
      </c>
      <c r="CH88" s="25">
        <v>0</v>
      </c>
      <c r="CI88" s="25">
        <v>0</v>
      </c>
      <c r="CJ88" s="25">
        <v>0</v>
      </c>
      <c r="CK88" s="25">
        <f t="shared" si="32"/>
        <v>0</v>
      </c>
      <c r="CL88" s="26" cm="1">
        <f t="array" ref="CL88:CW88">IFERROR(VLOOKUP(A88,'[1]Now-OB-kg-POB-25'!A:AQ,{31,32,33,34,35,36,37,38,39,40,41,42},0),0)</f>
        <v>0</v>
      </c>
      <c r="CM88" s="26">
        <v>0</v>
      </c>
      <c r="CN88" s="26">
        <v>0</v>
      </c>
      <c r="CO88" s="26">
        <v>0</v>
      </c>
      <c r="CP88" s="26">
        <v>0</v>
      </c>
      <c r="CQ88" s="26">
        <v>0</v>
      </c>
      <c r="CR88" s="26">
        <v>0</v>
      </c>
      <c r="CS88" s="26">
        <v>0</v>
      </c>
      <c r="CT88" s="26">
        <v>0</v>
      </c>
      <c r="CU88" s="26">
        <v>0</v>
      </c>
      <c r="CV88" s="26">
        <v>0</v>
      </c>
      <c r="CW88" s="26">
        <v>0</v>
      </c>
      <c r="CX88" s="26">
        <f t="shared" si="33"/>
        <v>0</v>
      </c>
      <c r="CY88" s="14" t="str">
        <f>IF(A88=0,0,IFERROR(VLOOKUP(A88,'[1]Info Donantes'!C:F,2,0),"Sin Contacto"))</f>
        <v>Sin Contacto</v>
      </c>
      <c r="CZ88" s="14" t="str">
        <f>IF(A88=0,0,IFERROR(VLOOKUP(A88,'[1]Info Donantes'!C:F,3,0),"Sin Correo"))</f>
        <v>Sin Correo</v>
      </c>
      <c r="DA88" s="14" t="str">
        <f>IF(A88=0,0,IFERROR(VLOOKUP(A88,'[1]Info Donantes'!C:F,4,0),"Sin Telefono"))</f>
        <v>Sin Telefono</v>
      </c>
      <c r="DB88" s="14" t="str">
        <f>IF(A88=0,0,"Reporte de Trazabiidad"&amp;" - "&amp;'[1]Donor Summary'!$C$2&amp;" - "&amp;A88&amp;"")</f>
        <v>Reporte de Trazabiidad -  - FOREVER OCEANS PANAMA, S.A.</v>
      </c>
    </row>
    <row r="89" spans="1:106" x14ac:dyDescent="0.55000000000000004">
      <c r="A89" s="31" t="s">
        <v>249</v>
      </c>
      <c r="B89" s="15">
        <f>INT(IFERROR(VLOOKUP(A89,'[1]Donor Summary'!C:F,3,0),0))</f>
        <v>0</v>
      </c>
      <c r="C89" s="15">
        <f>INT(ROUND(IFERROR(VLOOKUP(A89,'[1]Donor Summary'!C:F,4,0),0),1))</f>
        <v>0</v>
      </c>
      <c r="D89" s="16">
        <f t="shared" si="36"/>
        <v>0</v>
      </c>
      <c r="E89" s="17" t="str">
        <f t="shared" si="37"/>
        <v>0.00%</v>
      </c>
      <c r="F89" s="17" t="str">
        <f t="shared" si="38"/>
        <v>0.0%</v>
      </c>
      <c r="G89" s="15">
        <f t="shared" si="25"/>
        <v>0</v>
      </c>
      <c r="H89" s="18"/>
      <c r="I89" s="18">
        <f>IFERROR(VLOOKUP(A89,'[1]Lot All by Part'!T:Y,6,0),0)</f>
        <v>0</v>
      </c>
      <c r="J89" s="18"/>
      <c r="K89" s="19">
        <f>IFERROR(VLOOKUP($A89,'[1]Donor-Served OBs'!A:N,3,0),0)</f>
        <v>0</v>
      </c>
      <c r="L89" s="19">
        <f>ROUNDUP(IF(A89=0,0,IFERROR(VLOOKUP($A89,'[1]Donor''s Assigned Kilos'!A:O,3,0),0)),0)</f>
        <v>0</v>
      </c>
      <c r="M89" s="19">
        <f>IF(A89=0,0,IFERROR(SUMIFS([1]Population!M:M,[1]Population!J:J,'MASTER-2025'!A89),0))</f>
        <v>0</v>
      </c>
      <c r="N89" s="20">
        <f>IFERROR(VLOOKUP($A89,'[1]Donor-Served OBs'!A:N,4,0),0)</f>
        <v>0</v>
      </c>
      <c r="O89" s="20">
        <f>ROUNDUP(IF(A89=0,0,IFERROR(VLOOKUP($A89,'[1]Donor''s Assigned Kilos'!A:O,4,0),0)),0)</f>
        <v>0</v>
      </c>
      <c r="P89" s="20">
        <f>IF(A89=0,0,IFERROR(SUMIFS([1]Population!N:N,[1]Population!J:J,'MASTER-2025'!A89),0))</f>
        <v>0</v>
      </c>
      <c r="Q89" s="18">
        <f>IFERROR(VLOOKUP($A89,'[1]Donor-Served OBs'!A:N,2,0),0)</f>
        <v>0</v>
      </c>
      <c r="R89" s="18">
        <f>ROUNDUP(ROUND(IF(A89=0,0,IFERROR(VLOOKUP($A89,'[1]Donor''s Assigned Kilos'!A:O,9,0),0)),1),0)</f>
        <v>0</v>
      </c>
      <c r="S89" s="18">
        <f>IF(A89=0,0,IFERROR(SUMIFS([1]Population!S:S,[1]Population!J:J,'MASTER-2025'!A89),0))</f>
        <v>0</v>
      </c>
      <c r="T89" s="19">
        <f>IFERROR(VLOOKUP($A89,'[1]Donor-Served OBs'!A:N,12,0),0)</f>
        <v>0</v>
      </c>
      <c r="U89" s="19">
        <f>ROUNDUP(IF(A89=0,0,IF(A89=0,0,IFERROR(VLOOKUP($A89,'[1]Donor''s Assigned Kilos'!A:O,7,0),0))),0)</f>
        <v>0</v>
      </c>
      <c r="V89" s="19">
        <f>IF(A89=0,0,IFERROR(SUMIFS([1]Population!Q:Q,[1]Population!J:J,'MASTER-2025'!A89),0))</f>
        <v>0</v>
      </c>
      <c r="W89" s="20">
        <f>IFERROR(VLOOKUP($A89,'[1]Donor-Served OBs'!A:N,10,0),0)</f>
        <v>0</v>
      </c>
      <c r="X89" s="20">
        <f>ROUNDUP(IF(A89=0,0,IFERROR(VLOOKUP($A89,'[1]Donor''s Assigned Kilos'!A:N,5,0),0)),0)</f>
        <v>0</v>
      </c>
      <c r="Y89" s="20">
        <f>IF(A89=0,0,IFERROR(SUMIFS([1]Population!O:O,[1]Population!J:J,'MASTER-2025'!A89),0))</f>
        <v>0</v>
      </c>
      <c r="Z89" s="18">
        <f>IFERROR(VLOOKUP($A89,'[1]Donor-Served OBs'!A:N,6,0),0)</f>
        <v>0</v>
      </c>
      <c r="AA89" s="18">
        <f>ROUNDUP(IF(A89=0,0,IFERROR(VLOOKUP($A89,'[1]Donor''s Assigned Kilos'!A:N,11,0),0)),0)</f>
        <v>0</v>
      </c>
      <c r="AB89" s="18">
        <f>IF(A89=0,0,IFERROR(SUMIFS([1]Population!U:U,[1]Population!J:J,'MASTER-2025'!A89),0))</f>
        <v>0</v>
      </c>
      <c r="AC89" s="19">
        <f>IFERROR(VLOOKUP($A89,'[1]Donor-Served OBs'!A:N,7,0),0)</f>
        <v>0</v>
      </c>
      <c r="AD89" s="19">
        <f>ROUNDUP(IF(A89=0,0,IFERROR(VLOOKUP($A89,'[1]Donor''s Assigned Kilos'!A:N,8,0),0)),0)</f>
        <v>0</v>
      </c>
      <c r="AE89" s="19">
        <f>IF(A89=0,0,IFERROR(SUMIFS([1]Population!R:R,[1]Population!J:J,'MASTER-2025'!A89),0))</f>
        <v>0</v>
      </c>
      <c r="AF89" s="20">
        <f>IFERROR(VLOOKUP($A89,'[1]Donor-Served OBs'!A:N,8,0),0)</f>
        <v>0</v>
      </c>
      <c r="AG89" s="20">
        <f>ROUNDUP(IF(A89=0,0,IFERROR(VLOOKUP($A89,'[1]Donor''s Assigned Kilos'!A:N,6,0),0)),0)</f>
        <v>0</v>
      </c>
      <c r="AH89" s="20">
        <f>IF(A89=0,0,IFERROR(SUMIFS([1]Population!P:P,[1]Population!J:J,'MASTER-2025'!A89),0))</f>
        <v>0</v>
      </c>
      <c r="AI89" s="18">
        <f>IFERROR(VLOOKUP($A89,'[1]Donor-Served OBs'!A:N,9,0),0)</f>
        <v>0</v>
      </c>
      <c r="AJ89" s="18">
        <f>ROUNDUP(IF(A89=0,0,IFERROR(VLOOKUP($A89,'[1]Donor''s Assigned Kilos'!A:N,12,0),0)),0)</f>
        <v>0</v>
      </c>
      <c r="AK89" s="18">
        <f>IF(A89=0,0,IFERROR(SUMIFS([1]Population!V:V,[1]Population!J:J,'MASTER-2025'!A89),0))</f>
        <v>0</v>
      </c>
      <c r="AL89" s="19">
        <f>IFERROR(VLOOKUP($A89,'[1]Donor-Served OBs'!A:N,16,0),0)</f>
        <v>0</v>
      </c>
      <c r="AM89" s="19">
        <f>ROUNDUP(IF(A89=0,0,IFERROR(VLOOKUP($A89,'[1]Donor''s Assigned Kilos'!A:O,16,0),0)),0)</f>
        <v>0</v>
      </c>
      <c r="AN89" s="19">
        <f>IF(A89=0,0,IFERROR(SUMIFS([1]Population!Z:Z,[1]Population!J:J,'MASTER-2025'!A89),0))</f>
        <v>0</v>
      </c>
      <c r="AO89" s="20">
        <f>IFERROR(VLOOKUP($A89,'[1]Donor-Served OBs'!A:N,11,0),0)</f>
        <v>0</v>
      </c>
      <c r="AP89" s="20">
        <f>ROUNDUP(IF(A89=0,0,IFERROR(VLOOKUP($A89,'[1]Donor''s Assigned Kilos'!A:N,13,0),0)),0)</f>
        <v>0</v>
      </c>
      <c r="AQ89" s="20">
        <f>IF(A89=0,0,IFERROR(SUMIFS([1]Population!W:W,[1]Population!J:J,'MASTER-2025'!A89),0))</f>
        <v>0</v>
      </c>
      <c r="AR89" s="18">
        <f>IFERROR(VLOOKUP($A89,'[1]Donor-Served OBs'!A:N,5,0),0)</f>
        <v>0</v>
      </c>
      <c r="AS89" s="18">
        <f>ROUNDUP(IF(A89=0,0,IFERROR(VLOOKUP($A89,'[1]Donor''s Assigned Kilos'!A:N,10,0),0)),0)</f>
        <v>0</v>
      </c>
      <c r="AT89" s="18">
        <f>IF(A89=0,0,IFERROR(SUMIFS([1]Population!T:T,[1]Population!J:J,'MASTER-2025'!A89),0))</f>
        <v>0</v>
      </c>
      <c r="AU89" s="19">
        <f>IFERROR(VLOOKUP($A89,'[1]Donor-Served OBs'!A:N,13,0),0)</f>
        <v>0</v>
      </c>
      <c r="AV89" s="19">
        <f>ROUNDUP(IF(A89=0,0,IFERROR(VLOOKUP($A89,'[1]Donor''s Assigned Kilos'!A:N,14,0),0)),0)</f>
        <v>0</v>
      </c>
      <c r="AW89" s="19">
        <f>IF(A89=0,0,IFERROR(SUMIFS([1]Population!X:X,[1]Population!J:J,'MASTER-2025'!A89),0))</f>
        <v>0</v>
      </c>
      <c r="AX89" s="20">
        <f>IFERROR(VLOOKUP($A89,'[1]Donor-Served OBs'!A:N,16,0),0)</f>
        <v>0</v>
      </c>
      <c r="AY89" s="20">
        <f>ROUNDUP(IF(A89=0,0,IFERROR(VLOOKUP($A89,'[1]Donor''s Assigned Kilos'!A:O,16,0),0)),0)</f>
        <v>0</v>
      </c>
      <c r="AZ89" s="20">
        <f>IF(A89=0,0,IFERROR(SUMIFS([1]Population!Y:Y,[1]Population!J:J,'MASTER-2025'!A89),0))</f>
        <v>0</v>
      </c>
      <c r="BA89" s="21">
        <f t="shared" si="34"/>
        <v>0</v>
      </c>
      <c r="BB89" s="21">
        <f t="shared" si="29"/>
        <v>0</v>
      </c>
      <c r="BC89" s="21">
        <f t="shared" si="39"/>
        <v>0</v>
      </c>
      <c r="BD89" s="21">
        <f t="shared" si="26"/>
        <v>0</v>
      </c>
      <c r="BE89" s="22" t="e">
        <f>IF(A89=0,0,SUMIFS([1]Population!C:C,[1]Population!A:A,'MASTER-2025'!A89))</f>
        <v>#VALUE!</v>
      </c>
      <c r="BF89" s="22" t="e">
        <f>IF(A89=0,0,SUMIFS([1]Population!D:D,[1]Population!A:A,'MASTER-2025'!A89))</f>
        <v>#VALUE!</v>
      </c>
      <c r="BG89" s="22" t="e">
        <f>IF(A89=0,0,SUMIFS([1]Population!E:E,[1]Population!A:A,'MASTER-2025'!A89))</f>
        <v>#VALUE!</v>
      </c>
      <c r="BH89" s="22" t="e">
        <f>IF(A89=0,0,SUMIFS([1]Population!F:F,[1]Population!A:A,'MASTER-2025'!A89))</f>
        <v>#VALUE!</v>
      </c>
      <c r="BI89" s="22" t="e">
        <f t="shared" si="35"/>
        <v>#VALUE!</v>
      </c>
      <c r="BJ89" s="23" t="e">
        <f t="shared" si="30"/>
        <v>#VALUE!</v>
      </c>
      <c r="BK89" s="22" t="e">
        <f>IF(A89=0,0,SUMIFS([1]Population!G:G,[1]Population!A:A,'MASTER-2025'!A89))</f>
        <v>#VALUE!</v>
      </c>
      <c r="BL89" s="24" cm="1">
        <f t="array" ref="BL89:BW89">IFERROR(VLOOKUP(A89,'[1]Now-OB-kg-POB-25'!A:AQ,{3,4,5,6,7,8,9,10,11,12,13,14},0),0)</f>
        <v>0</v>
      </c>
      <c r="BM89" s="24">
        <v>0</v>
      </c>
      <c r="BN89" s="24">
        <v>0</v>
      </c>
      <c r="BO89" s="24">
        <v>0</v>
      </c>
      <c r="BP89" s="24">
        <v>0</v>
      </c>
      <c r="BQ89" s="24">
        <v>0</v>
      </c>
      <c r="BR89" s="24">
        <v>0</v>
      </c>
      <c r="BS89" s="24">
        <v>0</v>
      </c>
      <c r="BT89" s="24">
        <v>0</v>
      </c>
      <c r="BU89" s="24">
        <v>0</v>
      </c>
      <c r="BV89" s="24">
        <v>0</v>
      </c>
      <c r="BW89" s="24">
        <v>0</v>
      </c>
      <c r="BX89" s="24">
        <f t="shared" si="31"/>
        <v>0</v>
      </c>
      <c r="BY89" s="25" cm="1">
        <f t="array" ref="BY89:CJ89">IFERROR(VLOOKUP(A89,'[1]Now-OB-kg-POB-25'!A:AQ,{17,18,19,20,21,22,23,24,25,26,27,28},0),0)</f>
        <v>0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0</v>
      </c>
      <c r="CH89" s="25">
        <v>0</v>
      </c>
      <c r="CI89" s="25">
        <v>0</v>
      </c>
      <c r="CJ89" s="25">
        <v>0</v>
      </c>
      <c r="CK89" s="25">
        <f t="shared" si="32"/>
        <v>0</v>
      </c>
      <c r="CL89" s="26" cm="1">
        <f t="array" ref="CL89:CW89">IFERROR(VLOOKUP(A89,'[1]Now-OB-kg-POB-25'!A:AQ,{31,32,33,34,35,36,37,38,39,40,41,42},0),0)</f>
        <v>0</v>
      </c>
      <c r="CM89" s="26">
        <v>0</v>
      </c>
      <c r="CN89" s="26">
        <v>0</v>
      </c>
      <c r="CO89" s="26">
        <v>0</v>
      </c>
      <c r="CP89" s="26">
        <v>0</v>
      </c>
      <c r="CQ89" s="26">
        <v>0</v>
      </c>
      <c r="CR89" s="26">
        <v>0</v>
      </c>
      <c r="CS89" s="26">
        <v>0</v>
      </c>
      <c r="CT89" s="26">
        <v>0</v>
      </c>
      <c r="CU89" s="26">
        <v>0</v>
      </c>
      <c r="CV89" s="26">
        <v>0</v>
      </c>
      <c r="CW89" s="26">
        <v>0</v>
      </c>
      <c r="CX89" s="26">
        <f t="shared" si="33"/>
        <v>0</v>
      </c>
      <c r="CY89" s="14" t="str">
        <f>IF(A89=0,0,IFERROR(VLOOKUP(A89,'[1]Info Donantes'!C:F,2,0),"Sin Contacto"))</f>
        <v>Marisol Vallarino</v>
      </c>
      <c r="CZ89" s="14" t="str">
        <f>IF(A89=0,0,IFERROR(VLOOKUP(A89,'[1]Info Donantes'!C:F,3,0),"Sin Correo"))</f>
        <v>mvallarino@arrocha.com</v>
      </c>
      <c r="DA89" s="14" t="str">
        <f>IF(A89=0,0,IFERROR(VLOOKUP(A89,'[1]Info Donantes'!C:F,4,0),"Sin Telefono"))</f>
        <v>279-9000</v>
      </c>
      <c r="DB89" s="14" t="str">
        <f>IF(A89=0,0,"Reporte de Trazabiidad"&amp;" - "&amp;'[1]Donor Summary'!$C$2&amp;" - "&amp;A89&amp;"")</f>
        <v>Reporte de Trazabiidad -  - CESAR ARROCHA GRAELL Y CIA, S.A (Arrocha)</v>
      </c>
    </row>
    <row r="90" spans="1:106" x14ac:dyDescent="0.55000000000000004">
      <c r="A90" s="31" t="s">
        <v>250</v>
      </c>
      <c r="B90" s="15">
        <f>INT(IFERROR(VLOOKUP(A90,'[1]Donor Summary'!C:F,3,0),0))</f>
        <v>0</v>
      </c>
      <c r="C90" s="15">
        <f>INT(ROUND(IFERROR(VLOOKUP(A90,'[1]Donor Summary'!C:F,4,0),0),1))</f>
        <v>0</v>
      </c>
      <c r="D90" s="16">
        <f t="shared" si="36"/>
        <v>0</v>
      </c>
      <c r="E90" s="17" t="str">
        <f t="shared" si="37"/>
        <v>0.00%</v>
      </c>
      <c r="F90" s="17" t="str">
        <f t="shared" si="38"/>
        <v>0.0%</v>
      </c>
      <c r="G90" s="15">
        <f t="shared" ref="G90:G130" si="40">INT(D90*3)</f>
        <v>0</v>
      </c>
      <c r="H90" s="18"/>
      <c r="I90" s="18">
        <f>IFERROR(VLOOKUP(A90,'[1]Lot All by Part'!T:Y,6,0),0)</f>
        <v>0</v>
      </c>
      <c r="J90" s="18"/>
      <c r="K90" s="19">
        <f>IFERROR(VLOOKUP($A90,'[1]Donor-Served OBs'!A:N,3,0),0)</f>
        <v>0</v>
      </c>
      <c r="L90" s="19">
        <f>ROUNDUP(IF(A90=0,0,IFERROR(VLOOKUP($A90,'[1]Donor''s Assigned Kilos'!A:O,3,0),0)),0)</f>
        <v>0</v>
      </c>
      <c r="M90" s="19">
        <f>IF(A90=0,0,IFERROR(SUMIFS([1]Population!M:M,[1]Population!J:J,'MASTER-2025'!A90),0))</f>
        <v>0</v>
      </c>
      <c r="N90" s="20">
        <f>IFERROR(VLOOKUP($A90,'[1]Donor-Served OBs'!A:N,4,0),0)</f>
        <v>0</v>
      </c>
      <c r="O90" s="20">
        <f>ROUNDUP(IF(A90=0,0,IFERROR(VLOOKUP($A90,'[1]Donor''s Assigned Kilos'!A:O,4,0),0)),0)</f>
        <v>0</v>
      </c>
      <c r="P90" s="20">
        <f>IF(A90=0,0,IFERROR(SUMIFS([1]Population!N:N,[1]Population!J:J,'MASTER-2025'!A90),0))</f>
        <v>0</v>
      </c>
      <c r="Q90" s="18">
        <f>IFERROR(VLOOKUP($A90,'[1]Donor-Served OBs'!A:N,2,0),0)</f>
        <v>0</v>
      </c>
      <c r="R90" s="18">
        <f>ROUNDUP(ROUND(IF(A90=0,0,IFERROR(VLOOKUP($A90,'[1]Donor''s Assigned Kilos'!A:O,9,0),0)),1),0)</f>
        <v>0</v>
      </c>
      <c r="S90" s="18">
        <f>IF(A90=0,0,IFERROR(SUMIFS([1]Population!S:S,[1]Population!J:J,'MASTER-2025'!A90),0))</f>
        <v>0</v>
      </c>
      <c r="T90" s="19">
        <f>IFERROR(VLOOKUP($A90,'[1]Donor-Served OBs'!A:N,12,0),0)</f>
        <v>0</v>
      </c>
      <c r="U90" s="19">
        <f>ROUNDUP(IF(A90=0,0,IF(A90=0,0,IFERROR(VLOOKUP($A90,'[1]Donor''s Assigned Kilos'!A:O,7,0),0))),0)</f>
        <v>0</v>
      </c>
      <c r="V90" s="19">
        <f>IF(A90=0,0,IFERROR(SUMIFS([1]Population!Q:Q,[1]Population!J:J,'MASTER-2025'!A90),0))</f>
        <v>0</v>
      </c>
      <c r="W90" s="20">
        <f>IFERROR(VLOOKUP($A90,'[1]Donor-Served OBs'!A:N,10,0),0)</f>
        <v>0</v>
      </c>
      <c r="X90" s="20">
        <f>ROUNDUP(IF(A90=0,0,IFERROR(VLOOKUP($A90,'[1]Donor''s Assigned Kilos'!A:N,5,0),0)),0)</f>
        <v>0</v>
      </c>
      <c r="Y90" s="20">
        <f>IF(A90=0,0,IFERROR(SUMIFS([1]Population!O:O,[1]Population!J:J,'MASTER-2025'!A90),0))</f>
        <v>0</v>
      </c>
      <c r="Z90" s="18">
        <f>IFERROR(VLOOKUP($A90,'[1]Donor-Served OBs'!A:N,6,0),0)</f>
        <v>0</v>
      </c>
      <c r="AA90" s="18">
        <f>ROUNDUP(IF(A90=0,0,IFERROR(VLOOKUP($A90,'[1]Donor''s Assigned Kilos'!A:N,11,0),0)),0)</f>
        <v>0</v>
      </c>
      <c r="AB90" s="18">
        <f>IF(A90=0,0,IFERROR(SUMIFS([1]Population!U:U,[1]Population!J:J,'MASTER-2025'!A90),0))</f>
        <v>0</v>
      </c>
      <c r="AC90" s="19">
        <f>IFERROR(VLOOKUP($A90,'[1]Donor-Served OBs'!A:N,7,0),0)</f>
        <v>0</v>
      </c>
      <c r="AD90" s="19">
        <f>ROUNDUP(IF(A90=0,0,IFERROR(VLOOKUP($A90,'[1]Donor''s Assigned Kilos'!A:N,8,0),0)),0)</f>
        <v>0</v>
      </c>
      <c r="AE90" s="19">
        <f>IF(A90=0,0,IFERROR(SUMIFS([1]Population!R:R,[1]Population!J:J,'MASTER-2025'!A90),0))</f>
        <v>0</v>
      </c>
      <c r="AF90" s="20">
        <f>IFERROR(VLOOKUP($A90,'[1]Donor-Served OBs'!A:N,8,0),0)</f>
        <v>0</v>
      </c>
      <c r="AG90" s="20">
        <f>ROUNDUP(IF(A90=0,0,IFERROR(VLOOKUP($A90,'[1]Donor''s Assigned Kilos'!A:N,6,0),0)),0)</f>
        <v>0</v>
      </c>
      <c r="AH90" s="20">
        <f>IF(A90=0,0,IFERROR(SUMIFS([1]Population!P:P,[1]Population!J:J,'MASTER-2025'!A90),0))</f>
        <v>0</v>
      </c>
      <c r="AI90" s="18">
        <f>IFERROR(VLOOKUP($A90,'[1]Donor-Served OBs'!A:N,9,0),0)</f>
        <v>0</v>
      </c>
      <c r="AJ90" s="18">
        <f>ROUNDUP(IF(A90=0,0,IFERROR(VLOOKUP($A90,'[1]Donor''s Assigned Kilos'!A:N,12,0),0)),0)</f>
        <v>0</v>
      </c>
      <c r="AK90" s="18">
        <f>IF(A90=0,0,IFERROR(SUMIFS([1]Population!V:V,[1]Population!J:J,'MASTER-2025'!A90),0))</f>
        <v>0</v>
      </c>
      <c r="AL90" s="19">
        <f>IFERROR(VLOOKUP($A90,'[1]Donor-Served OBs'!A:N,16,0),0)</f>
        <v>0</v>
      </c>
      <c r="AM90" s="19">
        <f>ROUNDUP(IF(A90=0,0,IFERROR(VLOOKUP($A90,'[1]Donor''s Assigned Kilos'!A:O,16,0),0)),0)</f>
        <v>0</v>
      </c>
      <c r="AN90" s="19">
        <f>IF(A90=0,0,IFERROR(SUMIFS([1]Population!Z:Z,[1]Population!J:J,'MASTER-2025'!A90),0))</f>
        <v>0</v>
      </c>
      <c r="AO90" s="20">
        <f>IFERROR(VLOOKUP($A90,'[1]Donor-Served OBs'!A:N,11,0),0)</f>
        <v>0</v>
      </c>
      <c r="AP90" s="20">
        <f>ROUNDUP(IF(A90=0,0,IFERROR(VLOOKUP($A90,'[1]Donor''s Assigned Kilos'!A:N,13,0),0)),0)</f>
        <v>0</v>
      </c>
      <c r="AQ90" s="20">
        <f>IF(A90=0,0,IFERROR(SUMIFS([1]Population!W:W,[1]Population!J:J,'MASTER-2025'!A90),0))</f>
        <v>0</v>
      </c>
      <c r="AR90" s="18">
        <f>IFERROR(VLOOKUP($A90,'[1]Donor-Served OBs'!A:N,5,0),0)</f>
        <v>0</v>
      </c>
      <c r="AS90" s="18">
        <f>ROUNDUP(IF(A90=0,0,IFERROR(VLOOKUP($A90,'[1]Donor''s Assigned Kilos'!A:N,10,0),0)),0)</f>
        <v>0</v>
      </c>
      <c r="AT90" s="18">
        <f>IF(A90=0,0,IFERROR(SUMIFS([1]Population!T:T,[1]Population!J:J,'MASTER-2025'!A90),0))</f>
        <v>0</v>
      </c>
      <c r="AU90" s="19">
        <f>IFERROR(VLOOKUP($A90,'[1]Donor-Served OBs'!A:N,13,0),0)</f>
        <v>0</v>
      </c>
      <c r="AV90" s="19">
        <f>ROUNDUP(IF(A90=0,0,IFERROR(VLOOKUP($A90,'[1]Donor''s Assigned Kilos'!A:N,14,0),0)),0)</f>
        <v>0</v>
      </c>
      <c r="AW90" s="19">
        <f>IF(A90=0,0,IFERROR(SUMIFS([1]Population!X:X,[1]Population!J:J,'MASTER-2025'!A90),0))</f>
        <v>0</v>
      </c>
      <c r="AX90" s="20">
        <f>IFERROR(VLOOKUP($A90,'[1]Donor-Served OBs'!A:N,16,0),0)</f>
        <v>0</v>
      </c>
      <c r="AY90" s="20">
        <f>ROUNDUP(IF(A90=0,0,IFERROR(VLOOKUP($A90,'[1]Donor''s Assigned Kilos'!A:O,16,0),0)),0)</f>
        <v>0</v>
      </c>
      <c r="AZ90" s="20">
        <f>IF(A90=0,0,IFERROR(SUMIFS([1]Population!Y:Y,[1]Population!J:J,'MASTER-2025'!A90),0))</f>
        <v>0</v>
      </c>
      <c r="BA90" s="21">
        <f t="shared" si="34"/>
        <v>0</v>
      </c>
      <c r="BB90" s="21">
        <f t="shared" si="29"/>
        <v>0</v>
      </c>
      <c r="BC90" s="21">
        <f t="shared" si="39"/>
        <v>0</v>
      </c>
      <c r="BD90" s="21">
        <f t="shared" ref="BD90:BD111" si="41">IF(A90=0,0,(+J90+M90+P90+S90+V90+Y90+AB90+AE90+AH90+AK90+AN90+AQ90+AT90+AW90+AZ90))</f>
        <v>0</v>
      </c>
      <c r="BE90" s="22" t="e">
        <f>IF(A90=0,0,SUMIFS([1]Population!C:C,[1]Population!A:A,'MASTER-2025'!A90))</f>
        <v>#VALUE!</v>
      </c>
      <c r="BF90" s="22" t="e">
        <f>IF(A90=0,0,SUMIFS([1]Population!D:D,[1]Population!A:A,'MASTER-2025'!A90))</f>
        <v>#VALUE!</v>
      </c>
      <c r="BG90" s="22" t="e">
        <f>IF(A90=0,0,SUMIFS([1]Population!E:E,[1]Population!A:A,'MASTER-2025'!A90))</f>
        <v>#VALUE!</v>
      </c>
      <c r="BH90" s="22" t="e">
        <f>IF(A90=0,0,SUMIFS([1]Population!F:F,[1]Population!A:A,'MASTER-2025'!A90))</f>
        <v>#VALUE!</v>
      </c>
      <c r="BI90" s="22" t="e">
        <f t="shared" si="35"/>
        <v>#VALUE!</v>
      </c>
      <c r="BJ90" s="23" t="e">
        <f t="shared" si="30"/>
        <v>#VALUE!</v>
      </c>
      <c r="BK90" s="22" t="e">
        <f>IF(A90=0,0,SUMIFS([1]Population!G:G,[1]Population!A:A,'MASTER-2025'!A90))</f>
        <v>#VALUE!</v>
      </c>
      <c r="BL90" s="24" cm="1">
        <f t="array" ref="BL90:BW90">IFERROR(VLOOKUP(A90,'[1]Now-OB-kg-POB-25'!A:AQ,{3,4,5,6,7,8,9,10,11,12,13,14},0),0)</f>
        <v>0</v>
      </c>
      <c r="BM90" s="24">
        <v>0</v>
      </c>
      <c r="BN90" s="24">
        <v>0</v>
      </c>
      <c r="BO90" s="24">
        <v>0</v>
      </c>
      <c r="BP90" s="24">
        <v>0</v>
      </c>
      <c r="BQ90" s="24">
        <v>0</v>
      </c>
      <c r="BR90" s="24">
        <v>0</v>
      </c>
      <c r="BS90" s="24">
        <v>0</v>
      </c>
      <c r="BT90" s="24">
        <v>0</v>
      </c>
      <c r="BU90" s="24">
        <v>0</v>
      </c>
      <c r="BV90" s="24">
        <v>0</v>
      </c>
      <c r="BW90" s="24">
        <v>0</v>
      </c>
      <c r="BX90" s="24">
        <f t="shared" si="31"/>
        <v>0</v>
      </c>
      <c r="BY90" s="25" cm="1">
        <f t="array" ref="BY90:CJ90">IFERROR(VLOOKUP(A90,'[1]Now-OB-kg-POB-25'!A:AQ,{17,18,19,20,21,22,23,24,25,26,27,28},0),0)</f>
        <v>0</v>
      </c>
      <c r="BZ90" s="25">
        <v>0</v>
      </c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0</v>
      </c>
      <c r="CH90" s="25">
        <v>0</v>
      </c>
      <c r="CI90" s="25">
        <v>0</v>
      </c>
      <c r="CJ90" s="25">
        <v>0</v>
      </c>
      <c r="CK90" s="25">
        <f t="shared" si="32"/>
        <v>0</v>
      </c>
      <c r="CL90" s="26" cm="1">
        <f t="array" ref="CL90:CW90">IFERROR(VLOOKUP(A90,'[1]Now-OB-kg-POB-25'!A:AQ,{31,32,33,34,35,36,37,38,39,40,41,42},0),0)</f>
        <v>0</v>
      </c>
      <c r="CM90" s="26">
        <v>0</v>
      </c>
      <c r="CN90" s="26">
        <v>0</v>
      </c>
      <c r="CO90" s="26">
        <v>0</v>
      </c>
      <c r="CP90" s="26">
        <v>0</v>
      </c>
      <c r="CQ90" s="26">
        <v>0</v>
      </c>
      <c r="CR90" s="26">
        <v>0</v>
      </c>
      <c r="CS90" s="26">
        <v>0</v>
      </c>
      <c r="CT90" s="26">
        <v>0</v>
      </c>
      <c r="CU90" s="26">
        <v>0</v>
      </c>
      <c r="CV90" s="26">
        <v>0</v>
      </c>
      <c r="CW90" s="26">
        <v>0</v>
      </c>
      <c r="CX90" s="26">
        <f t="shared" si="33"/>
        <v>0</v>
      </c>
      <c r="CY90" s="14" t="str">
        <f>IF(A90=0,0,IFERROR(VLOOKUP(A90,'[1]Info Donantes'!C:F,2,0),"Sin Contacto"))</f>
        <v>Sin Contacto</v>
      </c>
      <c r="CZ90" s="14" t="str">
        <f>IF(A90=0,0,IFERROR(VLOOKUP(A90,'[1]Info Donantes'!C:F,3,0),"Sin Correo"))</f>
        <v>Sin Correo</v>
      </c>
      <c r="DA90" s="14" t="str">
        <f>IF(A90=0,0,IFERROR(VLOOKUP(A90,'[1]Info Donantes'!C:F,4,0),"Sin Telefono"))</f>
        <v>Sin Telefono</v>
      </c>
      <c r="DB90" s="14" t="str">
        <f>IF(A90=0,0,"Reporte de Trazabiidad"&amp;" - "&amp;'[1]Donor Summary'!$C$2&amp;" - "&amp;A90&amp;"")</f>
        <v>Reporte de Trazabiidad -  - FOODS OF THE ISTHMUS (PEPSICO)</v>
      </c>
    </row>
    <row r="91" spans="1:106" x14ac:dyDescent="0.55000000000000004">
      <c r="A91" s="31" t="s">
        <v>251</v>
      </c>
      <c r="B91" s="15">
        <f>INT(IFERROR(VLOOKUP(A91,'[1]Donor Summary'!C:F,3,0),0))</f>
        <v>0</v>
      </c>
      <c r="C91" s="15">
        <f>INT(ROUND(IFERROR(VLOOKUP(A91,'[1]Donor Summary'!C:F,4,0),0),1))</f>
        <v>0</v>
      </c>
      <c r="D91" s="16">
        <f t="shared" si="36"/>
        <v>0</v>
      </c>
      <c r="E91" s="17" t="str">
        <f t="shared" si="37"/>
        <v>0.00%</v>
      </c>
      <c r="F91" s="17" t="str">
        <f t="shared" si="38"/>
        <v>0.0%</v>
      </c>
      <c r="G91" s="15">
        <f t="shared" si="40"/>
        <v>0</v>
      </c>
      <c r="H91" s="18"/>
      <c r="I91" s="18">
        <f>IFERROR(VLOOKUP(A91,'[1]Lot All by Part'!T:Y,6,0),0)</f>
        <v>0</v>
      </c>
      <c r="J91" s="18"/>
      <c r="K91" s="19">
        <f>IFERROR(VLOOKUP($A91,'[1]Donor-Served OBs'!A:N,3,0),0)</f>
        <v>0</v>
      </c>
      <c r="L91" s="19">
        <f>ROUNDUP(IF(A91=0,0,IFERROR(VLOOKUP($A91,'[1]Donor''s Assigned Kilos'!A:O,3,0),0)),0)</f>
        <v>0</v>
      </c>
      <c r="M91" s="19">
        <f>IF(A91=0,0,IFERROR(SUMIFS([1]Population!M:M,[1]Population!J:J,'MASTER-2025'!A91),0))</f>
        <v>0</v>
      </c>
      <c r="N91" s="20">
        <f>IFERROR(VLOOKUP($A91,'[1]Donor-Served OBs'!A:N,4,0),0)</f>
        <v>0</v>
      </c>
      <c r="O91" s="20">
        <f>ROUNDUP(IF(A91=0,0,IFERROR(VLOOKUP($A91,'[1]Donor''s Assigned Kilos'!A:O,4,0),0)),0)</f>
        <v>0</v>
      </c>
      <c r="P91" s="20">
        <f>IF(A91=0,0,IFERROR(SUMIFS([1]Population!N:N,[1]Population!J:J,'MASTER-2025'!A91),0))</f>
        <v>0</v>
      </c>
      <c r="Q91" s="18">
        <f>IFERROR(VLOOKUP($A91,'[1]Donor-Served OBs'!A:N,2,0),0)</f>
        <v>0</v>
      </c>
      <c r="R91" s="18">
        <f>ROUNDUP(ROUND(IF(A91=0,0,IFERROR(VLOOKUP($A91,'[1]Donor''s Assigned Kilos'!A:O,9,0),0)),1),0)</f>
        <v>0</v>
      </c>
      <c r="S91" s="18">
        <f>IF(A91=0,0,IFERROR(SUMIFS([1]Population!S:S,[1]Population!J:J,'MASTER-2025'!A91),0))</f>
        <v>0</v>
      </c>
      <c r="T91" s="19">
        <f>IFERROR(VLOOKUP($A91,'[1]Donor-Served OBs'!A:N,12,0),0)</f>
        <v>0</v>
      </c>
      <c r="U91" s="19">
        <f>ROUNDUP(IF(A91=0,0,IF(A91=0,0,IFERROR(VLOOKUP($A91,'[1]Donor''s Assigned Kilos'!A:O,7,0),0))),0)</f>
        <v>0</v>
      </c>
      <c r="V91" s="19">
        <f>IF(A91=0,0,IFERROR(SUMIFS([1]Population!Q:Q,[1]Population!J:J,'MASTER-2025'!A91),0))</f>
        <v>0</v>
      </c>
      <c r="W91" s="20">
        <f>IFERROR(VLOOKUP($A91,'[1]Donor-Served OBs'!A:N,10,0),0)</f>
        <v>0</v>
      </c>
      <c r="X91" s="20">
        <f>ROUNDUP(IF(A91=0,0,IFERROR(VLOOKUP($A91,'[1]Donor''s Assigned Kilos'!A:N,5,0),0)),0)</f>
        <v>0</v>
      </c>
      <c r="Y91" s="20">
        <f>IF(A91=0,0,IFERROR(SUMIFS([1]Population!O:O,[1]Population!J:J,'MASTER-2025'!A91),0))</f>
        <v>0</v>
      </c>
      <c r="Z91" s="18">
        <f>IFERROR(VLOOKUP($A91,'[1]Donor-Served OBs'!A:N,6,0),0)</f>
        <v>0</v>
      </c>
      <c r="AA91" s="18">
        <f>ROUNDUP(IF(A91=0,0,IFERROR(VLOOKUP($A91,'[1]Donor''s Assigned Kilos'!A:N,11,0),0)),0)</f>
        <v>0</v>
      </c>
      <c r="AB91" s="18">
        <f>IF(A91=0,0,IFERROR(SUMIFS([1]Population!U:U,[1]Population!J:J,'MASTER-2025'!A91),0))</f>
        <v>0</v>
      </c>
      <c r="AC91" s="19">
        <f>IFERROR(VLOOKUP($A91,'[1]Donor-Served OBs'!A:N,7,0),0)</f>
        <v>0</v>
      </c>
      <c r="AD91" s="19">
        <f>ROUNDUP(IF(A91=0,0,IFERROR(VLOOKUP($A91,'[1]Donor''s Assigned Kilos'!A:N,8,0),0)),0)</f>
        <v>0</v>
      </c>
      <c r="AE91" s="19">
        <f>IF(A91=0,0,IFERROR(SUMIFS([1]Population!R:R,[1]Population!J:J,'MASTER-2025'!A91),0))</f>
        <v>0</v>
      </c>
      <c r="AF91" s="20">
        <f>IFERROR(VLOOKUP($A91,'[1]Donor-Served OBs'!A:N,8,0),0)</f>
        <v>0</v>
      </c>
      <c r="AG91" s="20">
        <f>ROUNDUP(IF(A91=0,0,IFERROR(VLOOKUP($A91,'[1]Donor''s Assigned Kilos'!A:N,6,0),0)),0)</f>
        <v>0</v>
      </c>
      <c r="AH91" s="20">
        <f>IF(A91=0,0,IFERROR(SUMIFS([1]Population!P:P,[1]Population!J:J,'MASTER-2025'!A91),0))</f>
        <v>0</v>
      </c>
      <c r="AI91" s="18">
        <f>IFERROR(VLOOKUP($A91,'[1]Donor-Served OBs'!A:N,9,0),0)</f>
        <v>0</v>
      </c>
      <c r="AJ91" s="18">
        <f>ROUNDUP(IF(A91=0,0,IFERROR(VLOOKUP($A91,'[1]Donor''s Assigned Kilos'!A:N,12,0),0)),0)</f>
        <v>0</v>
      </c>
      <c r="AK91" s="18">
        <f>IF(A91=0,0,IFERROR(SUMIFS([1]Population!V:V,[1]Population!J:J,'MASTER-2025'!A91),0))</f>
        <v>0</v>
      </c>
      <c r="AL91" s="19">
        <f>IFERROR(VLOOKUP($A91,'[1]Donor-Served OBs'!A:N,16,0),0)</f>
        <v>0</v>
      </c>
      <c r="AM91" s="19">
        <f>ROUNDUP(IF(A91=0,0,IFERROR(VLOOKUP($A91,'[1]Donor''s Assigned Kilos'!A:O,16,0),0)),0)</f>
        <v>0</v>
      </c>
      <c r="AN91" s="19">
        <f>IF(A91=0,0,IFERROR(SUMIFS([1]Population!Z:Z,[1]Population!J:J,'MASTER-2025'!A91),0))</f>
        <v>0</v>
      </c>
      <c r="AO91" s="20">
        <f>IFERROR(VLOOKUP($A91,'[1]Donor-Served OBs'!A:N,11,0),0)</f>
        <v>0</v>
      </c>
      <c r="AP91" s="20">
        <f>ROUNDUP(IF(A91=0,0,IFERROR(VLOOKUP($A91,'[1]Donor''s Assigned Kilos'!A:N,13,0),0)),0)</f>
        <v>0</v>
      </c>
      <c r="AQ91" s="20">
        <f>IF(A91=0,0,IFERROR(SUMIFS([1]Population!W:W,[1]Population!J:J,'MASTER-2025'!A91),0))</f>
        <v>0</v>
      </c>
      <c r="AR91" s="18">
        <f>IFERROR(VLOOKUP($A91,'[1]Donor-Served OBs'!A:N,5,0),0)</f>
        <v>0</v>
      </c>
      <c r="AS91" s="18">
        <f>ROUNDUP(IF(A91=0,0,IFERROR(VLOOKUP($A91,'[1]Donor''s Assigned Kilos'!A:N,10,0),0)),0)</f>
        <v>0</v>
      </c>
      <c r="AT91" s="18">
        <f>IF(A91=0,0,IFERROR(SUMIFS([1]Population!T:T,[1]Population!J:J,'MASTER-2025'!A91),0))</f>
        <v>0</v>
      </c>
      <c r="AU91" s="19">
        <f>IFERROR(VLOOKUP($A91,'[1]Donor-Served OBs'!A:N,13,0),0)</f>
        <v>0</v>
      </c>
      <c r="AV91" s="19">
        <f>ROUNDUP(IF(A91=0,0,IFERROR(VLOOKUP($A91,'[1]Donor''s Assigned Kilos'!A:N,14,0),0)),0)</f>
        <v>0</v>
      </c>
      <c r="AW91" s="19">
        <f>IF(A91=0,0,IFERROR(SUMIFS([1]Population!X:X,[1]Population!J:J,'MASTER-2025'!A91),0))</f>
        <v>0</v>
      </c>
      <c r="AX91" s="20">
        <f>IFERROR(VLOOKUP($A91,'[1]Donor-Served OBs'!A:N,16,0),0)</f>
        <v>0</v>
      </c>
      <c r="AY91" s="20">
        <f>ROUNDUP(IF(A91=0,0,IFERROR(VLOOKUP($A91,'[1]Donor''s Assigned Kilos'!A:O,16,0),0)),0)</f>
        <v>0</v>
      </c>
      <c r="AZ91" s="20">
        <f>IF(A91=0,0,IFERROR(SUMIFS([1]Population!Y:Y,[1]Population!J:J,'MASTER-2025'!A91),0))</f>
        <v>0</v>
      </c>
      <c r="BA91" s="21">
        <f t="shared" si="34"/>
        <v>0</v>
      </c>
      <c r="BB91" s="21">
        <f t="shared" si="29"/>
        <v>0</v>
      </c>
      <c r="BC91" s="21">
        <f t="shared" si="39"/>
        <v>0</v>
      </c>
      <c r="BD91" s="21">
        <f t="shared" si="41"/>
        <v>0</v>
      </c>
      <c r="BE91" s="22" t="e">
        <f>IF(A91=0,0,SUMIFS([1]Population!C:C,[1]Population!A:A,'MASTER-2025'!A91))</f>
        <v>#VALUE!</v>
      </c>
      <c r="BF91" s="22" t="e">
        <f>IF(A91=0,0,SUMIFS([1]Population!D:D,[1]Population!A:A,'MASTER-2025'!A91))</f>
        <v>#VALUE!</v>
      </c>
      <c r="BG91" s="22" t="e">
        <f>IF(A91=0,0,SUMIFS([1]Population!E:E,[1]Population!A:A,'MASTER-2025'!A91))</f>
        <v>#VALUE!</v>
      </c>
      <c r="BH91" s="22" t="e">
        <f>IF(A91=0,0,SUMIFS([1]Population!F:F,[1]Population!A:A,'MASTER-2025'!A91))</f>
        <v>#VALUE!</v>
      </c>
      <c r="BI91" s="22" t="e">
        <f t="shared" si="35"/>
        <v>#VALUE!</v>
      </c>
      <c r="BJ91" s="23" t="e">
        <f t="shared" si="30"/>
        <v>#VALUE!</v>
      </c>
      <c r="BK91" s="22" t="e">
        <f>IF(A91=0,0,SUMIFS([1]Population!G:G,[1]Population!A:A,'MASTER-2025'!A91))</f>
        <v>#VALUE!</v>
      </c>
      <c r="BL91" s="24" cm="1">
        <f t="array" ref="BL91:BW91">IFERROR(VLOOKUP(A91,'[1]Now-OB-kg-POB-25'!A:AQ,{3,4,5,6,7,8,9,10,11,12,13,14},0),0)</f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>
        <v>0</v>
      </c>
      <c r="BV91" s="24">
        <v>0</v>
      </c>
      <c r="BW91" s="24">
        <v>0</v>
      </c>
      <c r="BX91" s="24">
        <f t="shared" si="31"/>
        <v>0</v>
      </c>
      <c r="BY91" s="25" cm="1">
        <f t="array" ref="BY91:CJ91">IFERROR(VLOOKUP(A91,'[1]Now-OB-kg-POB-25'!A:AQ,{17,18,19,20,21,22,23,24,25,26,27,28},0),0)</f>
        <v>0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0</v>
      </c>
      <c r="CH91" s="25">
        <v>0</v>
      </c>
      <c r="CI91" s="25">
        <v>0</v>
      </c>
      <c r="CJ91" s="25">
        <v>0</v>
      </c>
      <c r="CK91" s="25">
        <f t="shared" si="32"/>
        <v>0</v>
      </c>
      <c r="CL91" s="26" cm="1">
        <f t="array" ref="CL91:CW91">IFERROR(VLOOKUP(A91,'[1]Now-OB-kg-POB-25'!A:AQ,{31,32,33,34,35,36,37,38,39,40,41,42},0),0)</f>
        <v>0</v>
      </c>
      <c r="CM91" s="26">
        <v>0</v>
      </c>
      <c r="CN91" s="26">
        <v>0</v>
      </c>
      <c r="CO91" s="26">
        <v>0</v>
      </c>
      <c r="CP91" s="26">
        <v>0</v>
      </c>
      <c r="CQ91" s="26">
        <v>0</v>
      </c>
      <c r="CR91" s="26">
        <v>0</v>
      </c>
      <c r="CS91" s="26">
        <v>0</v>
      </c>
      <c r="CT91" s="26">
        <v>0</v>
      </c>
      <c r="CU91" s="26">
        <v>0</v>
      </c>
      <c r="CV91" s="26">
        <v>0</v>
      </c>
      <c r="CW91" s="26">
        <v>0</v>
      </c>
      <c r="CX91" s="26">
        <f t="shared" si="33"/>
        <v>0</v>
      </c>
      <c r="CY91" s="14" t="str">
        <f>IF(A91=0,0,IFERROR(VLOOKUP(A91,'[1]Info Donantes'!C:F,2,0),"Sin Contacto"))</f>
        <v>Alejandro Ponce</v>
      </c>
      <c r="CZ91" s="14">
        <f>IF(A91=0,0,IFERROR(VLOOKUP(A91,'[1]Info Donantes'!C:F,3,0),"Sin Correo"))</f>
        <v>0</v>
      </c>
      <c r="DA91" s="14" t="str">
        <f>IF(A91=0,0,IFERROR(VLOOKUP(A91,'[1]Info Donantes'!C:F,4,0),"Sin Telefono"))</f>
        <v>62003197</v>
      </c>
      <c r="DB91" s="14" t="str">
        <f>IF(A91=0,0,"Reporte de Trazabiidad"&amp;" - "&amp;'[1]Donor Summary'!$C$2&amp;" - "&amp;A91&amp;"")</f>
        <v>Reporte de Trazabiidad -  - Grupo BIO, S.A</v>
      </c>
    </row>
    <row r="92" spans="1:106" x14ac:dyDescent="0.55000000000000004">
      <c r="A92" s="31" t="s">
        <v>252</v>
      </c>
      <c r="B92" s="15">
        <f>INT(IFERROR(VLOOKUP(A92,'[1]Donor Summary'!C:F,3,0),0))</f>
        <v>0</v>
      </c>
      <c r="C92" s="15">
        <f>INT(ROUND(IFERROR(VLOOKUP(A92,'[1]Donor Summary'!C:F,4,0),0),1))</f>
        <v>30</v>
      </c>
      <c r="D92" s="16">
        <f t="shared" si="36"/>
        <v>30</v>
      </c>
      <c r="E92" s="17" t="str">
        <f t="shared" si="37"/>
        <v>100.00%</v>
      </c>
      <c r="F92" s="17" t="str">
        <f t="shared" si="38"/>
        <v>0.0%</v>
      </c>
      <c r="G92" s="15">
        <f t="shared" si="40"/>
        <v>90</v>
      </c>
      <c r="H92" s="18"/>
      <c r="I92" s="18">
        <f>IFERROR(VLOOKUP(A92,'[1]Lot All by Part'!T:Y,6,0),0)</f>
        <v>0</v>
      </c>
      <c r="J92" s="18"/>
      <c r="K92" s="19">
        <f>IFERROR(VLOOKUP($A92,'[1]Donor-Served OBs'!A:N,3,0),0)</f>
        <v>0</v>
      </c>
      <c r="L92" s="19">
        <f>ROUNDUP(IF(A92=0,0,IFERROR(VLOOKUP($A92,'[1]Donor''s Assigned Kilos'!A:O,3,0),0)),0)</f>
        <v>0</v>
      </c>
      <c r="M92" s="19">
        <f>IF(A92=0,0,IFERROR(SUMIFS([1]Population!M:M,[1]Population!J:J,'MASTER-2025'!A92),0))</f>
        <v>0</v>
      </c>
      <c r="N92" s="20">
        <f>IFERROR(VLOOKUP($A92,'[1]Donor-Served OBs'!A:N,4,0),0)</f>
        <v>0</v>
      </c>
      <c r="O92" s="20">
        <f>ROUNDUP(IF(A92=0,0,IFERROR(VLOOKUP($A92,'[1]Donor''s Assigned Kilos'!A:O,4,0),0)),0)</f>
        <v>0</v>
      </c>
      <c r="P92" s="20">
        <f>IF(A92=0,0,IFERROR(SUMIFS([1]Population!N:N,[1]Population!J:J,'MASTER-2025'!A92),0))</f>
        <v>0</v>
      </c>
      <c r="Q92" s="18">
        <f>IFERROR(VLOOKUP($A92,'[1]Donor-Served OBs'!A:N,2,0),0)</f>
        <v>0</v>
      </c>
      <c r="R92" s="18">
        <f>ROUNDUP(ROUND(IF(A92=0,0,IFERROR(VLOOKUP($A92,'[1]Donor''s Assigned Kilos'!A:O,9,0),0)),1),0)</f>
        <v>0</v>
      </c>
      <c r="S92" s="18">
        <f>IF(A92=0,0,IFERROR(SUMIFS([1]Population!S:S,[1]Population!J:J,'MASTER-2025'!A92),0))</f>
        <v>0</v>
      </c>
      <c r="T92" s="19">
        <f>IFERROR(VLOOKUP($A92,'[1]Donor-Served OBs'!A:N,12,0),0)</f>
        <v>0</v>
      </c>
      <c r="U92" s="19">
        <f>ROUNDUP(IF(A92=0,0,IF(A92=0,0,IFERROR(VLOOKUP($A92,'[1]Donor''s Assigned Kilos'!A:O,7,0),0))),0)</f>
        <v>0</v>
      </c>
      <c r="V92" s="19">
        <f>IF(A92=0,0,IFERROR(SUMIFS([1]Population!Q:Q,[1]Population!J:J,'MASTER-2025'!A92),0))</f>
        <v>0</v>
      </c>
      <c r="W92" s="20">
        <f>IFERROR(VLOOKUP($A92,'[1]Donor-Served OBs'!A:N,10,0),0)</f>
        <v>0</v>
      </c>
      <c r="X92" s="20">
        <f>ROUNDUP(IF(A92=0,0,IFERROR(VLOOKUP($A92,'[1]Donor''s Assigned Kilos'!A:N,5,0),0)),0)</f>
        <v>0</v>
      </c>
      <c r="Y92" s="20">
        <f>IF(A92=0,0,IFERROR(SUMIFS([1]Population!O:O,[1]Population!J:J,'MASTER-2025'!A92),0))</f>
        <v>0</v>
      </c>
      <c r="Z92" s="18">
        <f>IFERROR(VLOOKUP($A92,'[1]Donor-Served OBs'!A:N,6,0),0)</f>
        <v>0</v>
      </c>
      <c r="AA92" s="18">
        <f>ROUNDUP(IF(A92=0,0,IFERROR(VLOOKUP($A92,'[1]Donor''s Assigned Kilos'!A:N,11,0),0)),0)</f>
        <v>0</v>
      </c>
      <c r="AB92" s="18">
        <f>IF(A92=0,0,IFERROR(SUMIFS([1]Population!U:U,[1]Population!J:J,'MASTER-2025'!A92),0))</f>
        <v>0</v>
      </c>
      <c r="AC92" s="19">
        <f>IFERROR(VLOOKUP($A92,'[1]Donor-Served OBs'!A:N,7,0),0)</f>
        <v>0</v>
      </c>
      <c r="AD92" s="19">
        <f>ROUNDUP(IF(A92=0,0,IFERROR(VLOOKUP($A92,'[1]Donor''s Assigned Kilos'!A:N,8,0),0)),0)</f>
        <v>0</v>
      </c>
      <c r="AE92" s="19">
        <f>IF(A92=0,0,IFERROR(SUMIFS([1]Population!R:R,[1]Population!J:J,'MASTER-2025'!A92),0))</f>
        <v>0</v>
      </c>
      <c r="AF92" s="20">
        <f>IFERROR(VLOOKUP($A92,'[1]Donor-Served OBs'!A:N,8,0),0)</f>
        <v>0</v>
      </c>
      <c r="AG92" s="20">
        <f>ROUNDUP(IF(A92=0,0,IFERROR(VLOOKUP($A92,'[1]Donor''s Assigned Kilos'!A:N,6,0),0)),0)</f>
        <v>0</v>
      </c>
      <c r="AH92" s="20">
        <f>IF(A92=0,0,IFERROR(SUMIFS([1]Population!P:P,[1]Population!J:J,'MASTER-2025'!A92),0))</f>
        <v>0</v>
      </c>
      <c r="AI92" s="18">
        <f>IFERROR(VLOOKUP($A92,'[1]Donor-Served OBs'!A:N,9,0),0)</f>
        <v>0</v>
      </c>
      <c r="AJ92" s="18">
        <f>ROUNDUP(IF(A92=0,0,IFERROR(VLOOKUP($A92,'[1]Donor''s Assigned Kilos'!A:N,12,0),0)),0)</f>
        <v>0</v>
      </c>
      <c r="AK92" s="18">
        <f>IF(A92=0,0,IFERROR(SUMIFS([1]Population!V:V,[1]Population!J:J,'MASTER-2025'!A92),0))</f>
        <v>0</v>
      </c>
      <c r="AL92" s="19">
        <f>IFERROR(VLOOKUP($A92,'[1]Donor-Served OBs'!A:N,16,0),0)</f>
        <v>0</v>
      </c>
      <c r="AM92" s="19">
        <f>ROUNDUP(IF(A92=0,0,IFERROR(VLOOKUP($A92,'[1]Donor''s Assigned Kilos'!A:O,16,0),0)),0)</f>
        <v>0</v>
      </c>
      <c r="AN92" s="19">
        <f>IF(A92=0,0,IFERROR(SUMIFS([1]Population!Z:Z,[1]Population!J:J,'MASTER-2025'!A92),0))</f>
        <v>0</v>
      </c>
      <c r="AO92" s="20">
        <f>IFERROR(VLOOKUP($A92,'[1]Donor-Served OBs'!A:N,11,0),0)</f>
        <v>0</v>
      </c>
      <c r="AP92" s="20">
        <f>ROUNDUP(IF(A92=0,0,IFERROR(VLOOKUP($A92,'[1]Donor''s Assigned Kilos'!A:N,13,0),0)),0)</f>
        <v>0</v>
      </c>
      <c r="AQ92" s="20">
        <f>IF(A92=0,0,IFERROR(SUMIFS([1]Population!W:W,[1]Population!J:J,'MASTER-2025'!A92),0))</f>
        <v>0</v>
      </c>
      <c r="AR92" s="18">
        <f>IFERROR(VLOOKUP($A92,'[1]Donor-Served OBs'!A:N,5,0),0)</f>
        <v>0</v>
      </c>
      <c r="AS92" s="18">
        <f>ROUNDUP(IF(A92=0,0,IFERROR(VLOOKUP($A92,'[1]Donor''s Assigned Kilos'!A:N,10,0),0)),0)</f>
        <v>0</v>
      </c>
      <c r="AT92" s="18">
        <f>IF(A92=0,0,IFERROR(SUMIFS([1]Population!T:T,[1]Population!J:J,'MASTER-2025'!A92),0))</f>
        <v>0</v>
      </c>
      <c r="AU92" s="19">
        <f>IFERROR(VLOOKUP($A92,'[1]Donor-Served OBs'!A:N,13,0),0)</f>
        <v>0</v>
      </c>
      <c r="AV92" s="19">
        <f>ROUNDUP(IF(A92=0,0,IFERROR(VLOOKUP($A92,'[1]Donor''s Assigned Kilos'!A:N,14,0),0)),0)</f>
        <v>0</v>
      </c>
      <c r="AW92" s="19">
        <f>IF(A92=0,0,IFERROR(SUMIFS([1]Population!X:X,[1]Population!J:J,'MASTER-2025'!A92),0))</f>
        <v>0</v>
      </c>
      <c r="AX92" s="20">
        <f>IFERROR(VLOOKUP($A92,'[1]Donor-Served OBs'!A:N,16,0),0)</f>
        <v>0</v>
      </c>
      <c r="AY92" s="20">
        <f>ROUNDUP(IF(A92=0,0,IFERROR(VLOOKUP($A92,'[1]Donor''s Assigned Kilos'!A:O,16,0),0)),0)</f>
        <v>0</v>
      </c>
      <c r="AZ92" s="20">
        <f>IF(A92=0,0,IFERROR(SUMIFS([1]Population!Y:Y,[1]Population!J:J,'MASTER-2025'!A92),0))</f>
        <v>0</v>
      </c>
      <c r="BA92" s="21">
        <f t="shared" si="34"/>
        <v>0</v>
      </c>
      <c r="BB92" s="21">
        <f t="shared" si="29"/>
        <v>0</v>
      </c>
      <c r="BC92" s="21">
        <f t="shared" si="39"/>
        <v>0</v>
      </c>
      <c r="BD92" s="21">
        <f t="shared" si="41"/>
        <v>0</v>
      </c>
      <c r="BE92" s="22" t="e">
        <f>IF(A92=0,0,SUMIFS([1]Population!C:C,[1]Population!A:A,'MASTER-2025'!A92))</f>
        <v>#VALUE!</v>
      </c>
      <c r="BF92" s="22" t="e">
        <f>IF(A92=0,0,SUMIFS([1]Population!D:D,[1]Population!A:A,'MASTER-2025'!A92))</f>
        <v>#VALUE!</v>
      </c>
      <c r="BG92" s="22" t="e">
        <f>IF(A92=0,0,SUMIFS([1]Population!E:E,[1]Population!A:A,'MASTER-2025'!A92))</f>
        <v>#VALUE!</v>
      </c>
      <c r="BH92" s="22" t="e">
        <f>IF(A92=0,0,SUMIFS([1]Population!F:F,[1]Population!A:A,'MASTER-2025'!A92))</f>
        <v>#VALUE!</v>
      </c>
      <c r="BI92" s="22" t="e">
        <f t="shared" si="35"/>
        <v>#VALUE!</v>
      </c>
      <c r="BJ92" s="23" t="e">
        <f t="shared" si="30"/>
        <v>#VALUE!</v>
      </c>
      <c r="BK92" s="22" t="e">
        <f>IF(A92=0,0,SUMIFS([1]Population!G:G,[1]Population!A:A,'MASTER-2025'!A92))</f>
        <v>#VALUE!</v>
      </c>
      <c r="BL92" s="24" cm="1">
        <f t="array" ref="BL92:BW92">IFERROR(VLOOKUP(A92,'[1]Now-OB-kg-POB-25'!A:AQ,{3,4,5,6,7,8,9,10,11,12,13,14},0),0)</f>
        <v>0</v>
      </c>
      <c r="BM92" s="24">
        <v>0</v>
      </c>
      <c r="BN92" s="24">
        <v>0</v>
      </c>
      <c r="BO92" s="24">
        <v>0</v>
      </c>
      <c r="BP92" s="24">
        <v>0</v>
      </c>
      <c r="BQ92" s="24">
        <v>0</v>
      </c>
      <c r="BR92" s="24">
        <v>0</v>
      </c>
      <c r="BS92" s="24">
        <v>0</v>
      </c>
      <c r="BT92" s="24">
        <v>0</v>
      </c>
      <c r="BU92" s="24">
        <v>0</v>
      </c>
      <c r="BV92" s="24">
        <v>0</v>
      </c>
      <c r="BW92" s="24">
        <v>0</v>
      </c>
      <c r="BX92" s="24">
        <f t="shared" si="31"/>
        <v>0</v>
      </c>
      <c r="BY92" s="25" cm="1">
        <f t="array" ref="BY92:CJ92">IFERROR(VLOOKUP(A92,'[1]Now-OB-kg-POB-25'!A:AQ,{17,18,19,20,21,22,23,24,25,26,27,28},0),0)</f>
        <v>0</v>
      </c>
      <c r="BZ92" s="25">
        <v>0</v>
      </c>
      <c r="CA92" s="25">
        <v>30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0</v>
      </c>
      <c r="CH92" s="25">
        <v>0</v>
      </c>
      <c r="CI92" s="25">
        <v>0</v>
      </c>
      <c r="CJ92" s="25">
        <v>0</v>
      </c>
      <c r="CK92" s="25">
        <f t="shared" si="32"/>
        <v>30</v>
      </c>
      <c r="CL92" s="26" cm="1">
        <f t="array" ref="CL92:CW92">IFERROR(VLOOKUP(A92,'[1]Now-OB-kg-POB-25'!A:AQ,{31,32,33,34,35,36,37,38,39,40,41,42},0),0)</f>
        <v>0</v>
      </c>
      <c r="CM92" s="26">
        <v>0</v>
      </c>
      <c r="CN92" s="26">
        <v>0</v>
      </c>
      <c r="CO92" s="26">
        <v>0</v>
      </c>
      <c r="CP92" s="26">
        <v>0</v>
      </c>
      <c r="CQ92" s="26">
        <v>0</v>
      </c>
      <c r="CR92" s="26">
        <v>0</v>
      </c>
      <c r="CS92" s="26">
        <v>0</v>
      </c>
      <c r="CT92" s="26">
        <v>0</v>
      </c>
      <c r="CU92" s="26">
        <v>0</v>
      </c>
      <c r="CV92" s="26">
        <v>0</v>
      </c>
      <c r="CW92" s="26">
        <v>0</v>
      </c>
      <c r="CX92" s="26">
        <f t="shared" si="33"/>
        <v>0</v>
      </c>
      <c r="CY92" s="14" t="str">
        <f>IF(A92=0,0,IFERROR(VLOOKUP(A92,'[1]Info Donantes'!C:F,2,0),"Sin Contacto"))</f>
        <v>Sin Contacto</v>
      </c>
      <c r="CZ92" s="14" t="str">
        <f>IF(A92=0,0,IFERROR(VLOOKUP(A92,'[1]Info Donantes'!C:F,3,0),"Sin Correo"))</f>
        <v>Sin Correo</v>
      </c>
      <c r="DA92" s="14" t="str">
        <f>IF(A92=0,0,IFERROR(VLOOKUP(A92,'[1]Info Donantes'!C:F,4,0),"Sin Telefono"))</f>
        <v>Sin Telefono</v>
      </c>
      <c r="DB92" s="14" t="str">
        <f>IF(A92=0,0,"Reporte de Trazabiidad"&amp;" - "&amp;'[1]Donor Summary'!$C$2&amp;" - "&amp;A92&amp;"")</f>
        <v>Reporte de Trazabiidad -  - Panama Ship Warehouse</v>
      </c>
    </row>
    <row r="93" spans="1:106" x14ac:dyDescent="0.55000000000000004">
      <c r="A93" s="31" t="s">
        <v>253</v>
      </c>
      <c r="B93" s="15">
        <f>INT(IFERROR(VLOOKUP(A93,'[1]Donor Summary'!C:F,3,0),0))</f>
        <v>0</v>
      </c>
      <c r="C93" s="15">
        <f>INT(ROUND(IFERROR(VLOOKUP(A93,'[1]Donor Summary'!C:F,4,0),0),1))</f>
        <v>0</v>
      </c>
      <c r="D93" s="16">
        <f t="shared" si="36"/>
        <v>0</v>
      </c>
      <c r="E93" s="17" t="str">
        <f t="shared" si="37"/>
        <v>0.00%</v>
      </c>
      <c r="F93" s="17" t="str">
        <f t="shared" si="38"/>
        <v>0.0%</v>
      </c>
      <c r="G93" s="15">
        <f t="shared" si="40"/>
        <v>0</v>
      </c>
      <c r="H93" s="18"/>
      <c r="I93" s="18">
        <f>IFERROR(VLOOKUP(A93,'[1]Lot All by Part'!T:Y,6,0),0)</f>
        <v>0</v>
      </c>
      <c r="J93" s="18"/>
      <c r="K93" s="19">
        <f>IFERROR(VLOOKUP($A93,'[1]Donor-Served OBs'!A:N,3,0),0)</f>
        <v>0</v>
      </c>
      <c r="L93" s="19">
        <f>ROUNDUP(IF(A93=0,0,IFERROR(VLOOKUP($A93,'[1]Donor''s Assigned Kilos'!A:O,3,0),0)),0)</f>
        <v>0</v>
      </c>
      <c r="M93" s="19">
        <f>IF(A93=0,0,IFERROR(SUMIFS([1]Population!M:M,[1]Population!J:J,'MASTER-2025'!A93),0))</f>
        <v>0</v>
      </c>
      <c r="N93" s="20">
        <f>IFERROR(VLOOKUP($A93,'[1]Donor-Served OBs'!A:N,4,0),0)</f>
        <v>0</v>
      </c>
      <c r="O93" s="20">
        <f>ROUNDUP(IF(A93=0,0,IFERROR(VLOOKUP($A93,'[1]Donor''s Assigned Kilos'!A:O,4,0),0)),0)</f>
        <v>0</v>
      </c>
      <c r="P93" s="20">
        <f>IF(A93=0,0,IFERROR(SUMIFS([1]Population!N:N,[1]Population!J:J,'MASTER-2025'!A93),0))</f>
        <v>0</v>
      </c>
      <c r="Q93" s="18">
        <f>IFERROR(VLOOKUP($A93,'[1]Donor-Served OBs'!A:N,2,0),0)</f>
        <v>0</v>
      </c>
      <c r="R93" s="18">
        <f>ROUNDUP(ROUND(IF(A93=0,0,IFERROR(VLOOKUP($A93,'[1]Donor''s Assigned Kilos'!A:O,9,0),0)),1),0)</f>
        <v>0</v>
      </c>
      <c r="S93" s="18">
        <f>IF(A93=0,0,IFERROR(SUMIFS([1]Population!S:S,[1]Population!J:J,'MASTER-2025'!A93),0))</f>
        <v>0</v>
      </c>
      <c r="T93" s="19">
        <f>IFERROR(VLOOKUP($A93,'[1]Donor-Served OBs'!A:N,12,0),0)</f>
        <v>0</v>
      </c>
      <c r="U93" s="19">
        <f>ROUNDUP(IF(A93=0,0,IF(A93=0,0,IFERROR(VLOOKUP($A93,'[1]Donor''s Assigned Kilos'!A:O,7,0),0))),0)</f>
        <v>0</v>
      </c>
      <c r="V93" s="19">
        <f>IF(A93=0,0,IFERROR(SUMIFS([1]Population!Q:Q,[1]Population!J:J,'MASTER-2025'!A93),0))</f>
        <v>0</v>
      </c>
      <c r="W93" s="20">
        <f>IFERROR(VLOOKUP($A93,'[1]Donor-Served OBs'!A:N,10,0),0)</f>
        <v>0</v>
      </c>
      <c r="X93" s="20">
        <f>ROUNDUP(IF(A93=0,0,IFERROR(VLOOKUP($A93,'[1]Donor''s Assigned Kilos'!A:N,5,0),0)),0)</f>
        <v>0</v>
      </c>
      <c r="Y93" s="20">
        <f>IF(A93=0,0,IFERROR(SUMIFS([1]Population!O:O,[1]Population!J:J,'MASTER-2025'!A93),0))</f>
        <v>0</v>
      </c>
      <c r="Z93" s="18">
        <f>IFERROR(VLOOKUP($A93,'[1]Donor-Served OBs'!A:N,6,0),0)</f>
        <v>0</v>
      </c>
      <c r="AA93" s="18">
        <f>ROUNDUP(IF(A93=0,0,IFERROR(VLOOKUP($A93,'[1]Donor''s Assigned Kilos'!A:N,11,0),0)),0)</f>
        <v>0</v>
      </c>
      <c r="AB93" s="18">
        <f>IF(A93=0,0,IFERROR(SUMIFS([1]Population!U:U,[1]Population!J:J,'MASTER-2025'!A93),0))</f>
        <v>0</v>
      </c>
      <c r="AC93" s="19">
        <f>IFERROR(VLOOKUP($A93,'[1]Donor-Served OBs'!A:N,7,0),0)</f>
        <v>0</v>
      </c>
      <c r="AD93" s="19">
        <f>ROUNDUP(IF(A93=0,0,IFERROR(VLOOKUP($A93,'[1]Donor''s Assigned Kilos'!A:N,8,0),0)),0)</f>
        <v>0</v>
      </c>
      <c r="AE93" s="19">
        <f>IF(A93=0,0,IFERROR(SUMIFS([1]Population!R:R,[1]Population!J:J,'MASTER-2025'!A93),0))</f>
        <v>0</v>
      </c>
      <c r="AF93" s="20">
        <f>IFERROR(VLOOKUP($A93,'[1]Donor-Served OBs'!A:N,8,0),0)</f>
        <v>0</v>
      </c>
      <c r="AG93" s="20">
        <f>ROUNDUP(IF(A93=0,0,IFERROR(VLOOKUP($A93,'[1]Donor''s Assigned Kilos'!A:N,6,0),0)),0)</f>
        <v>0</v>
      </c>
      <c r="AH93" s="20">
        <f>IF(A93=0,0,IFERROR(SUMIFS([1]Population!P:P,[1]Population!J:J,'MASTER-2025'!A93),0))</f>
        <v>0</v>
      </c>
      <c r="AI93" s="18">
        <f>IFERROR(VLOOKUP($A93,'[1]Donor-Served OBs'!A:N,9,0),0)</f>
        <v>0</v>
      </c>
      <c r="AJ93" s="18">
        <f>ROUNDUP(IF(A93=0,0,IFERROR(VLOOKUP($A93,'[1]Donor''s Assigned Kilos'!A:N,12,0),0)),0)</f>
        <v>0</v>
      </c>
      <c r="AK93" s="18">
        <f>IF(A93=0,0,IFERROR(SUMIFS([1]Population!V:V,[1]Population!J:J,'MASTER-2025'!A93),0))</f>
        <v>0</v>
      </c>
      <c r="AL93" s="19">
        <f>IFERROR(VLOOKUP($A93,'[1]Donor-Served OBs'!A:N,16,0),0)</f>
        <v>0</v>
      </c>
      <c r="AM93" s="19">
        <f>ROUNDUP(IF(A93=0,0,IFERROR(VLOOKUP($A93,'[1]Donor''s Assigned Kilos'!A:O,16,0),0)),0)</f>
        <v>0</v>
      </c>
      <c r="AN93" s="19">
        <f>IF(A93=0,0,IFERROR(SUMIFS([1]Population!Z:Z,[1]Population!J:J,'MASTER-2025'!A93),0))</f>
        <v>0</v>
      </c>
      <c r="AO93" s="20">
        <f>IFERROR(VLOOKUP($A93,'[1]Donor-Served OBs'!A:N,11,0),0)</f>
        <v>0</v>
      </c>
      <c r="AP93" s="20">
        <f>ROUNDUP(IF(A93=0,0,IFERROR(VLOOKUP($A93,'[1]Donor''s Assigned Kilos'!A:N,13,0),0)),0)</f>
        <v>0</v>
      </c>
      <c r="AQ93" s="20">
        <f>IF(A93=0,0,IFERROR(SUMIFS([1]Population!W:W,[1]Population!J:J,'MASTER-2025'!A93),0))</f>
        <v>0</v>
      </c>
      <c r="AR93" s="18">
        <f>IFERROR(VLOOKUP($A93,'[1]Donor-Served OBs'!A:N,5,0),0)</f>
        <v>0</v>
      </c>
      <c r="AS93" s="18">
        <f>ROUNDUP(IF(A93=0,0,IFERROR(VLOOKUP($A93,'[1]Donor''s Assigned Kilos'!A:N,10,0),0)),0)</f>
        <v>0</v>
      </c>
      <c r="AT93" s="18">
        <f>IF(A93=0,0,IFERROR(SUMIFS([1]Population!T:T,[1]Population!J:J,'MASTER-2025'!A93),0))</f>
        <v>0</v>
      </c>
      <c r="AU93" s="19">
        <f>IFERROR(VLOOKUP($A93,'[1]Donor-Served OBs'!A:N,13,0),0)</f>
        <v>0</v>
      </c>
      <c r="AV93" s="19">
        <f>ROUNDUP(IF(A93=0,0,IFERROR(VLOOKUP($A93,'[1]Donor''s Assigned Kilos'!A:N,14,0),0)),0)</f>
        <v>0</v>
      </c>
      <c r="AW93" s="19">
        <f>IF(A93=0,0,IFERROR(SUMIFS([1]Population!X:X,[1]Population!J:J,'MASTER-2025'!A93),0))</f>
        <v>0</v>
      </c>
      <c r="AX93" s="20">
        <f>IFERROR(VLOOKUP($A93,'[1]Donor-Served OBs'!A:N,16,0),0)</f>
        <v>0</v>
      </c>
      <c r="AY93" s="20">
        <f>ROUNDUP(IF(A93=0,0,IFERROR(VLOOKUP($A93,'[1]Donor''s Assigned Kilos'!A:O,16,0),0)),0)</f>
        <v>0</v>
      </c>
      <c r="AZ93" s="20">
        <f>IF(A93=0,0,IFERROR(SUMIFS([1]Population!Y:Y,[1]Population!J:J,'MASTER-2025'!A93),0))</f>
        <v>0</v>
      </c>
      <c r="BA93" s="21">
        <f t="shared" si="34"/>
        <v>0</v>
      </c>
      <c r="BB93" s="21">
        <f t="shared" si="29"/>
        <v>0</v>
      </c>
      <c r="BC93" s="21">
        <f t="shared" si="39"/>
        <v>0</v>
      </c>
      <c r="BD93" s="21">
        <f t="shared" si="41"/>
        <v>0</v>
      </c>
      <c r="BE93" s="22" t="e">
        <f>IF(A93=0,0,SUMIFS([1]Population!C:C,[1]Population!A:A,'MASTER-2025'!A93))</f>
        <v>#VALUE!</v>
      </c>
      <c r="BF93" s="22" t="e">
        <f>IF(A93=0,0,SUMIFS([1]Population!D:D,[1]Population!A:A,'MASTER-2025'!A93))</f>
        <v>#VALUE!</v>
      </c>
      <c r="BG93" s="22" t="e">
        <f>IF(A93=0,0,SUMIFS([1]Population!E:E,[1]Population!A:A,'MASTER-2025'!A93))</f>
        <v>#VALUE!</v>
      </c>
      <c r="BH93" s="22" t="e">
        <f>IF(A93=0,0,SUMIFS([1]Population!F:F,[1]Population!A:A,'MASTER-2025'!A93))</f>
        <v>#VALUE!</v>
      </c>
      <c r="BI93" s="22" t="e">
        <f t="shared" si="35"/>
        <v>#VALUE!</v>
      </c>
      <c r="BJ93" s="23" t="e">
        <f t="shared" si="30"/>
        <v>#VALUE!</v>
      </c>
      <c r="BK93" s="22" t="e">
        <f>IF(A93=0,0,SUMIFS([1]Population!G:G,[1]Population!A:A,'MASTER-2025'!A93))</f>
        <v>#VALUE!</v>
      </c>
      <c r="BL93" s="24" cm="1">
        <f t="array" ref="BL93:BW93">IFERROR(VLOOKUP(A93,'[1]Now-OB-kg-POB-25'!A:AQ,{3,4,5,6,7,8,9,10,11,12,13,14},0),0)</f>
        <v>0</v>
      </c>
      <c r="BM93" s="24">
        <v>0</v>
      </c>
      <c r="BN93" s="24">
        <v>0</v>
      </c>
      <c r="BO93" s="24">
        <v>0</v>
      </c>
      <c r="BP93" s="24">
        <v>0</v>
      </c>
      <c r="BQ93" s="24">
        <v>0</v>
      </c>
      <c r="BR93" s="24">
        <v>0</v>
      </c>
      <c r="BS93" s="24">
        <v>0</v>
      </c>
      <c r="BT93" s="24">
        <v>0</v>
      </c>
      <c r="BU93" s="24">
        <v>0</v>
      </c>
      <c r="BV93" s="24">
        <v>0</v>
      </c>
      <c r="BW93" s="24">
        <v>0</v>
      </c>
      <c r="BX93" s="24">
        <f t="shared" si="31"/>
        <v>0</v>
      </c>
      <c r="BY93" s="25" cm="1">
        <f t="array" ref="BY93:CJ93">IFERROR(VLOOKUP(A93,'[1]Now-OB-kg-POB-25'!A:AQ,{17,18,19,20,21,22,23,24,25,26,27,28},0),0)</f>
        <v>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0</v>
      </c>
      <c r="CH93" s="25">
        <v>0</v>
      </c>
      <c r="CI93" s="25">
        <v>0</v>
      </c>
      <c r="CJ93" s="25">
        <v>0</v>
      </c>
      <c r="CK93" s="25">
        <f t="shared" si="32"/>
        <v>0</v>
      </c>
      <c r="CL93" s="26" cm="1">
        <f t="array" ref="CL93:CW93">IFERROR(VLOOKUP(A93,'[1]Now-OB-kg-POB-25'!A:AQ,{31,32,33,34,35,36,37,38,39,40,41,42},0),0)</f>
        <v>0</v>
      </c>
      <c r="CM93" s="26">
        <v>0</v>
      </c>
      <c r="CN93" s="26">
        <v>0</v>
      </c>
      <c r="CO93" s="26">
        <v>0</v>
      </c>
      <c r="CP93" s="26">
        <v>0</v>
      </c>
      <c r="CQ93" s="26">
        <v>0</v>
      </c>
      <c r="CR93" s="26">
        <v>0</v>
      </c>
      <c r="CS93" s="26">
        <v>0</v>
      </c>
      <c r="CT93" s="26">
        <v>0</v>
      </c>
      <c r="CU93" s="26">
        <v>0</v>
      </c>
      <c r="CV93" s="26">
        <v>0</v>
      </c>
      <c r="CW93" s="26">
        <v>0</v>
      </c>
      <c r="CX93" s="26">
        <f t="shared" si="33"/>
        <v>0</v>
      </c>
      <c r="CY93" s="14" t="str">
        <f>IF(A93=0,0,IFERROR(VLOOKUP(A93,'[1]Info Donantes'!C:F,2,0),"Sin Contacto"))</f>
        <v>Sin Contacto</v>
      </c>
      <c r="CZ93" s="14" t="str">
        <f>IF(A93=0,0,IFERROR(VLOOKUP(A93,'[1]Info Donantes'!C:F,3,0),"Sin Correo"))</f>
        <v>Sin Correo</v>
      </c>
      <c r="DA93" s="14" t="str">
        <f>IF(A93=0,0,IFERROR(VLOOKUP(A93,'[1]Info Donantes'!C:F,4,0),"Sin Telefono"))</f>
        <v>Sin Telefono</v>
      </c>
      <c r="DB93" s="14" t="str">
        <f>IF(A93=0,0,"Reporte de Trazabiidad"&amp;" - "&amp;'[1]Donor Summary'!$C$2&amp;" - "&amp;A93&amp;"")</f>
        <v>Reporte de Trazabiidad -  - Comercializadora Continental Santana S.A. (Costa Group)</v>
      </c>
    </row>
    <row r="94" spans="1:106" x14ac:dyDescent="0.55000000000000004">
      <c r="A94" s="31" t="s">
        <v>254</v>
      </c>
      <c r="B94" s="15">
        <f>INT(IFERROR(VLOOKUP(A94,'[1]Donor Summary'!C:F,3,0),0))</f>
        <v>0</v>
      </c>
      <c r="C94" s="15">
        <f>INT(ROUND(IFERROR(VLOOKUP(A94,'[1]Donor Summary'!C:F,4,0),0),1))</f>
        <v>0</v>
      </c>
      <c r="D94" s="16">
        <f t="shared" si="36"/>
        <v>0</v>
      </c>
      <c r="E94" s="17" t="str">
        <f t="shared" si="37"/>
        <v>0.00%</v>
      </c>
      <c r="F94" s="17" t="str">
        <f t="shared" si="38"/>
        <v>0.0%</v>
      </c>
      <c r="G94" s="15">
        <f t="shared" si="40"/>
        <v>0</v>
      </c>
      <c r="H94" s="18"/>
      <c r="I94" s="18">
        <f>IFERROR(VLOOKUP(A94,'[1]Lot All by Part'!T:Y,6,0),0)</f>
        <v>0</v>
      </c>
      <c r="J94" s="18"/>
      <c r="K94" s="19">
        <f>IFERROR(VLOOKUP($A94,'[1]Donor-Served OBs'!A:N,3,0),0)</f>
        <v>0</v>
      </c>
      <c r="L94" s="19">
        <f>ROUNDUP(IF(A94=0,0,IFERROR(VLOOKUP($A94,'[1]Donor''s Assigned Kilos'!A:O,3,0),0)),0)</f>
        <v>0</v>
      </c>
      <c r="M94" s="19">
        <f>IF(A94=0,0,IFERROR(SUMIFS([1]Population!M:M,[1]Population!J:J,'MASTER-2025'!A94),0))</f>
        <v>0</v>
      </c>
      <c r="N94" s="20">
        <f>IFERROR(VLOOKUP($A94,'[1]Donor-Served OBs'!A:N,4,0),0)</f>
        <v>0</v>
      </c>
      <c r="O94" s="20">
        <f>ROUNDUP(IF(A94=0,0,IFERROR(VLOOKUP($A94,'[1]Donor''s Assigned Kilos'!A:O,4,0),0)),0)</f>
        <v>0</v>
      </c>
      <c r="P94" s="20">
        <f>IF(A94=0,0,IFERROR(SUMIFS([1]Population!N:N,[1]Population!J:J,'MASTER-2025'!A94),0))</f>
        <v>0</v>
      </c>
      <c r="Q94" s="18">
        <f>IFERROR(VLOOKUP($A94,'[1]Donor-Served OBs'!A:N,2,0),0)</f>
        <v>0</v>
      </c>
      <c r="R94" s="18">
        <f>ROUNDUP(ROUND(IF(A94=0,0,IFERROR(VLOOKUP($A94,'[1]Donor''s Assigned Kilos'!A:O,9,0),0)),1),0)</f>
        <v>0</v>
      </c>
      <c r="S94" s="18">
        <f>IF(A94=0,0,IFERROR(SUMIFS([1]Population!S:S,[1]Population!J:J,'MASTER-2025'!A94),0))</f>
        <v>0</v>
      </c>
      <c r="T94" s="19">
        <f>IFERROR(VLOOKUP($A94,'[1]Donor-Served OBs'!A:N,12,0),0)</f>
        <v>0</v>
      </c>
      <c r="U94" s="19">
        <f>ROUNDUP(IF(A94=0,0,IF(A94=0,0,IFERROR(VLOOKUP($A94,'[1]Donor''s Assigned Kilos'!A:O,7,0),0))),0)</f>
        <v>0</v>
      </c>
      <c r="V94" s="19">
        <f>IF(A94=0,0,IFERROR(SUMIFS([1]Population!Q:Q,[1]Population!J:J,'MASTER-2025'!A94),0))</f>
        <v>0</v>
      </c>
      <c r="W94" s="20">
        <f>IFERROR(VLOOKUP($A94,'[1]Donor-Served OBs'!A:N,10,0),0)</f>
        <v>0</v>
      </c>
      <c r="X94" s="20">
        <f>ROUNDUP(IF(A94=0,0,IFERROR(VLOOKUP($A94,'[1]Donor''s Assigned Kilos'!A:N,5,0),0)),0)</f>
        <v>0</v>
      </c>
      <c r="Y94" s="20">
        <f>IF(A94=0,0,IFERROR(SUMIFS([1]Population!O:O,[1]Population!J:J,'MASTER-2025'!A94),0))</f>
        <v>0</v>
      </c>
      <c r="Z94" s="18">
        <f>IFERROR(VLOOKUP($A94,'[1]Donor-Served OBs'!A:N,6,0),0)</f>
        <v>0</v>
      </c>
      <c r="AA94" s="18">
        <f>ROUNDUP(IF(A94=0,0,IFERROR(VLOOKUP($A94,'[1]Donor''s Assigned Kilos'!A:N,11,0),0)),0)</f>
        <v>0</v>
      </c>
      <c r="AB94" s="18">
        <f>IF(A94=0,0,IFERROR(SUMIFS([1]Population!U:U,[1]Population!J:J,'MASTER-2025'!A94),0))</f>
        <v>0</v>
      </c>
      <c r="AC94" s="19">
        <f>IFERROR(VLOOKUP($A94,'[1]Donor-Served OBs'!A:N,7,0),0)</f>
        <v>0</v>
      </c>
      <c r="AD94" s="19">
        <f>ROUNDUP(IF(A94=0,0,IFERROR(VLOOKUP($A94,'[1]Donor''s Assigned Kilos'!A:N,8,0),0)),0)</f>
        <v>0</v>
      </c>
      <c r="AE94" s="19">
        <f>IF(A94=0,0,IFERROR(SUMIFS([1]Population!R:R,[1]Population!J:J,'MASTER-2025'!A94),0))</f>
        <v>0</v>
      </c>
      <c r="AF94" s="20">
        <f>IFERROR(VLOOKUP($A94,'[1]Donor-Served OBs'!A:N,8,0),0)</f>
        <v>0</v>
      </c>
      <c r="AG94" s="20">
        <f>ROUNDUP(IF(A94=0,0,IFERROR(VLOOKUP($A94,'[1]Donor''s Assigned Kilos'!A:N,6,0),0)),0)</f>
        <v>0</v>
      </c>
      <c r="AH94" s="20">
        <f>IF(A94=0,0,IFERROR(SUMIFS([1]Population!P:P,[1]Population!J:J,'MASTER-2025'!A94),0))</f>
        <v>0</v>
      </c>
      <c r="AI94" s="18">
        <f>IFERROR(VLOOKUP($A94,'[1]Donor-Served OBs'!A:N,9,0),0)</f>
        <v>0</v>
      </c>
      <c r="AJ94" s="18">
        <f>ROUNDUP(IF(A94=0,0,IFERROR(VLOOKUP($A94,'[1]Donor''s Assigned Kilos'!A:N,12,0),0)),0)</f>
        <v>0</v>
      </c>
      <c r="AK94" s="18">
        <f>IF(A94=0,0,IFERROR(SUMIFS([1]Population!V:V,[1]Population!J:J,'MASTER-2025'!A94),0))</f>
        <v>0</v>
      </c>
      <c r="AL94" s="19">
        <f>IFERROR(VLOOKUP($A94,'[1]Donor-Served OBs'!A:N,16,0),0)</f>
        <v>0</v>
      </c>
      <c r="AM94" s="19">
        <f>ROUNDUP(IF(A94=0,0,IFERROR(VLOOKUP($A94,'[1]Donor''s Assigned Kilos'!A:O,16,0),0)),0)</f>
        <v>0</v>
      </c>
      <c r="AN94" s="19">
        <f>IF(A94=0,0,IFERROR(SUMIFS([1]Population!Z:Z,[1]Population!J:J,'MASTER-2025'!A94),0))</f>
        <v>0</v>
      </c>
      <c r="AO94" s="20">
        <f>IFERROR(VLOOKUP($A94,'[1]Donor-Served OBs'!A:N,11,0),0)</f>
        <v>0</v>
      </c>
      <c r="AP94" s="20">
        <f>ROUNDUP(IF(A94=0,0,IFERROR(VLOOKUP($A94,'[1]Donor''s Assigned Kilos'!A:N,13,0),0)),0)</f>
        <v>0</v>
      </c>
      <c r="AQ94" s="20">
        <f>IF(A94=0,0,IFERROR(SUMIFS([1]Population!W:W,[1]Population!J:J,'MASTER-2025'!A94),0))</f>
        <v>0</v>
      </c>
      <c r="AR94" s="18">
        <f>IFERROR(VLOOKUP($A94,'[1]Donor-Served OBs'!A:N,5,0),0)</f>
        <v>0</v>
      </c>
      <c r="AS94" s="18">
        <f>ROUNDUP(IF(A94=0,0,IFERROR(VLOOKUP($A94,'[1]Donor''s Assigned Kilos'!A:N,10,0),0)),0)</f>
        <v>0</v>
      </c>
      <c r="AT94" s="18">
        <f>IF(A94=0,0,IFERROR(SUMIFS([1]Population!T:T,[1]Population!J:J,'MASTER-2025'!A94),0))</f>
        <v>0</v>
      </c>
      <c r="AU94" s="19">
        <f>IFERROR(VLOOKUP($A94,'[1]Donor-Served OBs'!A:N,13,0),0)</f>
        <v>0</v>
      </c>
      <c r="AV94" s="19">
        <f>ROUNDUP(IF(A94=0,0,IFERROR(VLOOKUP($A94,'[1]Donor''s Assigned Kilos'!A:N,14,0),0)),0)</f>
        <v>0</v>
      </c>
      <c r="AW94" s="19">
        <f>IF(A94=0,0,IFERROR(SUMIFS([1]Population!X:X,[1]Population!J:J,'MASTER-2025'!A94),0))</f>
        <v>0</v>
      </c>
      <c r="AX94" s="20">
        <f>IFERROR(VLOOKUP($A94,'[1]Donor-Served OBs'!A:N,16,0),0)</f>
        <v>0</v>
      </c>
      <c r="AY94" s="20">
        <f>ROUNDUP(IF(A94=0,0,IFERROR(VLOOKUP($A94,'[1]Donor''s Assigned Kilos'!A:O,16,0),0)),0)</f>
        <v>0</v>
      </c>
      <c r="AZ94" s="20">
        <f>IF(A94=0,0,IFERROR(SUMIFS([1]Population!Y:Y,[1]Population!J:J,'MASTER-2025'!A94),0))</f>
        <v>0</v>
      </c>
      <c r="BA94" s="21">
        <f t="shared" si="34"/>
        <v>0</v>
      </c>
      <c r="BB94" s="21">
        <f t="shared" si="29"/>
        <v>0</v>
      </c>
      <c r="BC94" s="21">
        <f t="shared" si="39"/>
        <v>0</v>
      </c>
      <c r="BD94" s="21">
        <f t="shared" si="41"/>
        <v>0</v>
      </c>
      <c r="BE94" s="22" t="e">
        <f>IF(A94=0,0,SUMIFS([1]Population!C:C,[1]Population!A:A,'MASTER-2025'!A94))</f>
        <v>#VALUE!</v>
      </c>
      <c r="BF94" s="22" t="e">
        <f>IF(A94=0,0,SUMIFS([1]Population!D:D,[1]Population!A:A,'MASTER-2025'!A94))</f>
        <v>#VALUE!</v>
      </c>
      <c r="BG94" s="22" t="e">
        <f>IF(A94=0,0,SUMIFS([1]Population!E:E,[1]Population!A:A,'MASTER-2025'!A94))</f>
        <v>#VALUE!</v>
      </c>
      <c r="BH94" s="22" t="e">
        <f>IF(A94=0,0,SUMIFS([1]Population!F:F,[1]Population!A:A,'MASTER-2025'!A94))</f>
        <v>#VALUE!</v>
      </c>
      <c r="BI94" s="22" t="e">
        <f t="shared" si="35"/>
        <v>#VALUE!</v>
      </c>
      <c r="BJ94" s="23" t="e">
        <f t="shared" si="30"/>
        <v>#VALUE!</v>
      </c>
      <c r="BK94" s="22" t="e">
        <f>IF(A94=0,0,SUMIFS([1]Population!G:G,[1]Population!A:A,'MASTER-2025'!A94))</f>
        <v>#VALUE!</v>
      </c>
      <c r="BL94" s="24" cm="1">
        <f t="array" ref="BL94:BW94">IFERROR(VLOOKUP(A94,'[1]Now-OB-kg-POB-25'!A:AQ,{3,4,5,6,7,8,9,10,11,12,13,14},0),0)</f>
        <v>0</v>
      </c>
      <c r="BM94" s="24">
        <v>0</v>
      </c>
      <c r="BN94" s="24">
        <v>0</v>
      </c>
      <c r="BO94" s="24">
        <v>0</v>
      </c>
      <c r="BP94" s="24">
        <v>0</v>
      </c>
      <c r="BQ94" s="24">
        <v>0</v>
      </c>
      <c r="BR94" s="24">
        <v>0</v>
      </c>
      <c r="BS94" s="24">
        <v>0</v>
      </c>
      <c r="BT94" s="24">
        <v>0</v>
      </c>
      <c r="BU94" s="24">
        <v>0</v>
      </c>
      <c r="BV94" s="24">
        <v>0</v>
      </c>
      <c r="BW94" s="24">
        <v>0</v>
      </c>
      <c r="BX94" s="24">
        <f t="shared" si="31"/>
        <v>0</v>
      </c>
      <c r="BY94" s="25" cm="1">
        <f t="array" ref="BY94:CJ94">IFERROR(VLOOKUP(A94,'[1]Now-OB-kg-POB-25'!A:AQ,{17,18,19,20,21,22,23,24,25,26,27,28},0),0)</f>
        <v>0</v>
      </c>
      <c r="BZ94" s="25">
        <v>0</v>
      </c>
      <c r="CA94" s="25">
        <v>0</v>
      </c>
      <c r="CB94" s="25">
        <v>0</v>
      </c>
      <c r="CC94" s="25">
        <v>0</v>
      </c>
      <c r="CD94" s="25">
        <v>0</v>
      </c>
      <c r="CE94" s="25">
        <v>0</v>
      </c>
      <c r="CF94" s="25">
        <v>0</v>
      </c>
      <c r="CG94" s="25">
        <v>0</v>
      </c>
      <c r="CH94" s="25">
        <v>0</v>
      </c>
      <c r="CI94" s="25">
        <v>0</v>
      </c>
      <c r="CJ94" s="25">
        <v>0</v>
      </c>
      <c r="CK94" s="25">
        <f t="shared" si="32"/>
        <v>0</v>
      </c>
      <c r="CL94" s="26" cm="1">
        <f t="array" ref="CL94:CW94">IFERROR(VLOOKUP(A94,'[1]Now-OB-kg-POB-25'!A:AQ,{31,32,33,34,35,36,37,38,39,40,41,42},0),0)</f>
        <v>0</v>
      </c>
      <c r="CM94" s="26">
        <v>0</v>
      </c>
      <c r="CN94" s="26">
        <v>0</v>
      </c>
      <c r="CO94" s="26">
        <v>0</v>
      </c>
      <c r="CP94" s="26">
        <v>0</v>
      </c>
      <c r="CQ94" s="26">
        <v>0</v>
      </c>
      <c r="CR94" s="26">
        <v>0</v>
      </c>
      <c r="CS94" s="26">
        <v>0</v>
      </c>
      <c r="CT94" s="26">
        <v>0</v>
      </c>
      <c r="CU94" s="26">
        <v>0</v>
      </c>
      <c r="CV94" s="26">
        <v>0</v>
      </c>
      <c r="CW94" s="26">
        <v>0</v>
      </c>
      <c r="CX94" s="26">
        <f t="shared" si="33"/>
        <v>0</v>
      </c>
      <c r="CY94" s="14" t="str">
        <f>IF(A94=0,0,IFERROR(VLOOKUP(A94,'[1]Info Donantes'!C:F,2,0),"Sin Contacto"))</f>
        <v>Vivian Barahona</v>
      </c>
      <c r="CZ94" s="14">
        <f>IF(A94=0,0,IFERROR(VLOOKUP(A94,'[1]Info Donantes'!C:F,3,0),"Sin Correo"))</f>
        <v>0</v>
      </c>
      <c r="DA94" s="14" t="str">
        <f>IF(A94=0,0,IFERROR(VLOOKUP(A94,'[1]Info Donantes'!C:F,4,0),"Sin Telefono"))</f>
        <v>340-3422</v>
      </c>
      <c r="DB94" s="14" t="str">
        <f>IF(A94=0,0,"Reporte de Trazabiidad"&amp;" - "&amp;'[1]Donor Summary'!$C$2&amp;" - "&amp;A94&amp;"")</f>
        <v>Reporte de Trazabiidad -  - GRUPO BARSASH, S.A</v>
      </c>
    </row>
    <row r="95" spans="1:106" x14ac:dyDescent="0.55000000000000004">
      <c r="A95" s="31" t="s">
        <v>255</v>
      </c>
      <c r="B95" s="15">
        <f>INT(IFERROR(VLOOKUP(A95,'[1]Donor Summary'!C:F,3,0),0))</f>
        <v>0</v>
      </c>
      <c r="C95" s="15">
        <f>INT(ROUND(IFERROR(VLOOKUP(A95,'[1]Donor Summary'!C:F,4,0),0),1))</f>
        <v>0</v>
      </c>
      <c r="D95" s="16">
        <f t="shared" si="36"/>
        <v>0</v>
      </c>
      <c r="E95" s="17" t="str">
        <f t="shared" si="37"/>
        <v>0.00%</v>
      </c>
      <c r="F95" s="17" t="str">
        <f t="shared" si="38"/>
        <v>0.0%</v>
      </c>
      <c r="G95" s="15">
        <f t="shared" si="40"/>
        <v>0</v>
      </c>
      <c r="H95" s="18"/>
      <c r="I95" s="18">
        <f>IFERROR(VLOOKUP(A95,'[1]Lot All by Part'!T:Y,6,0),0)</f>
        <v>0</v>
      </c>
      <c r="J95" s="18"/>
      <c r="K95" s="19">
        <f>IFERROR(VLOOKUP($A95,'[1]Donor-Served OBs'!A:N,3,0),0)</f>
        <v>0</v>
      </c>
      <c r="L95" s="19">
        <f>ROUNDUP(IF(A95=0,0,IFERROR(VLOOKUP($A95,'[1]Donor''s Assigned Kilos'!A:O,3,0),0)),0)</f>
        <v>0</v>
      </c>
      <c r="M95" s="19">
        <f>IF(A95=0,0,IFERROR(SUMIFS([1]Population!M:M,[1]Population!J:J,'MASTER-2025'!A95),0))</f>
        <v>0</v>
      </c>
      <c r="N95" s="20">
        <f>IFERROR(VLOOKUP($A95,'[1]Donor-Served OBs'!A:N,4,0),0)</f>
        <v>0</v>
      </c>
      <c r="O95" s="20">
        <f>ROUNDUP(IF(A95=0,0,IFERROR(VLOOKUP($A95,'[1]Donor''s Assigned Kilos'!A:O,4,0),0)),0)</f>
        <v>0</v>
      </c>
      <c r="P95" s="20">
        <f>IF(A95=0,0,IFERROR(SUMIFS([1]Population!N:N,[1]Population!J:J,'MASTER-2025'!A95),0))</f>
        <v>0</v>
      </c>
      <c r="Q95" s="18">
        <f>IFERROR(VLOOKUP($A95,'[1]Donor-Served OBs'!A:N,2,0),0)</f>
        <v>0</v>
      </c>
      <c r="R95" s="18">
        <f>ROUNDUP(ROUND(IF(A95=0,0,IFERROR(VLOOKUP($A95,'[1]Donor''s Assigned Kilos'!A:O,9,0),0)),1),0)</f>
        <v>0</v>
      </c>
      <c r="S95" s="18">
        <f>IF(A95=0,0,IFERROR(SUMIFS([1]Population!S:S,[1]Population!J:J,'MASTER-2025'!A95),0))</f>
        <v>0</v>
      </c>
      <c r="T95" s="19">
        <f>IFERROR(VLOOKUP($A95,'[1]Donor-Served OBs'!A:N,12,0),0)</f>
        <v>0</v>
      </c>
      <c r="U95" s="19">
        <f>ROUNDUP(IF(A95=0,0,IF(A95=0,0,IFERROR(VLOOKUP($A95,'[1]Donor''s Assigned Kilos'!A:O,7,0),0))),0)</f>
        <v>0</v>
      </c>
      <c r="V95" s="19">
        <f>IF(A95=0,0,IFERROR(SUMIFS([1]Population!Q:Q,[1]Population!J:J,'MASTER-2025'!A95),0))</f>
        <v>0</v>
      </c>
      <c r="W95" s="20">
        <f>IFERROR(VLOOKUP($A95,'[1]Donor-Served OBs'!A:N,10,0),0)</f>
        <v>0</v>
      </c>
      <c r="X95" s="20">
        <f>ROUNDUP(IF(A95=0,0,IFERROR(VLOOKUP($A95,'[1]Donor''s Assigned Kilos'!A:N,5,0),0)),0)</f>
        <v>0</v>
      </c>
      <c r="Y95" s="20">
        <f>IF(A95=0,0,IFERROR(SUMIFS([1]Population!O:O,[1]Population!J:J,'MASTER-2025'!A95),0))</f>
        <v>0</v>
      </c>
      <c r="Z95" s="18">
        <f>IFERROR(VLOOKUP($A95,'[1]Donor-Served OBs'!A:N,6,0),0)</f>
        <v>0</v>
      </c>
      <c r="AA95" s="18">
        <f>ROUNDUP(IF(A95=0,0,IFERROR(VLOOKUP($A95,'[1]Donor''s Assigned Kilos'!A:N,11,0),0)),0)</f>
        <v>0</v>
      </c>
      <c r="AB95" s="18">
        <f>IF(A95=0,0,IFERROR(SUMIFS([1]Population!U:U,[1]Population!J:J,'MASTER-2025'!A95),0))</f>
        <v>0</v>
      </c>
      <c r="AC95" s="19">
        <f>IFERROR(VLOOKUP($A95,'[1]Donor-Served OBs'!A:N,7,0),0)</f>
        <v>0</v>
      </c>
      <c r="AD95" s="19">
        <f>ROUNDUP(IF(A95=0,0,IFERROR(VLOOKUP($A95,'[1]Donor''s Assigned Kilos'!A:N,8,0),0)),0)</f>
        <v>0</v>
      </c>
      <c r="AE95" s="19">
        <f>IF(A95=0,0,IFERROR(SUMIFS([1]Population!R:R,[1]Population!J:J,'MASTER-2025'!A95),0))</f>
        <v>0</v>
      </c>
      <c r="AF95" s="20">
        <f>IFERROR(VLOOKUP($A95,'[1]Donor-Served OBs'!A:N,8,0),0)</f>
        <v>0</v>
      </c>
      <c r="AG95" s="20">
        <f>ROUNDUP(IF(A95=0,0,IFERROR(VLOOKUP($A95,'[1]Donor''s Assigned Kilos'!A:N,6,0),0)),0)</f>
        <v>0</v>
      </c>
      <c r="AH95" s="20">
        <f>IF(A95=0,0,IFERROR(SUMIFS([1]Population!P:P,[1]Population!J:J,'MASTER-2025'!A95),0))</f>
        <v>0</v>
      </c>
      <c r="AI95" s="18">
        <f>IFERROR(VLOOKUP($A95,'[1]Donor-Served OBs'!A:N,9,0),0)</f>
        <v>0</v>
      </c>
      <c r="AJ95" s="18">
        <f>ROUNDUP(IF(A95=0,0,IFERROR(VLOOKUP($A95,'[1]Donor''s Assigned Kilos'!A:N,12,0),0)),0)</f>
        <v>0</v>
      </c>
      <c r="AK95" s="18">
        <f>IF(A95=0,0,IFERROR(SUMIFS([1]Population!V:V,[1]Population!J:J,'MASTER-2025'!A95),0))</f>
        <v>0</v>
      </c>
      <c r="AL95" s="19">
        <f>IFERROR(VLOOKUP($A95,'[1]Donor-Served OBs'!A:N,16,0),0)</f>
        <v>0</v>
      </c>
      <c r="AM95" s="19">
        <f>ROUNDUP(IF(A95=0,0,IFERROR(VLOOKUP($A95,'[1]Donor''s Assigned Kilos'!A:O,16,0),0)),0)</f>
        <v>0</v>
      </c>
      <c r="AN95" s="19">
        <f>IF(A95=0,0,IFERROR(SUMIFS([1]Population!Z:Z,[1]Population!J:J,'MASTER-2025'!A95),0))</f>
        <v>0</v>
      </c>
      <c r="AO95" s="20">
        <f>IFERROR(VLOOKUP($A95,'[1]Donor-Served OBs'!A:N,11,0),0)</f>
        <v>0</v>
      </c>
      <c r="AP95" s="20">
        <f>ROUNDUP(IF(A95=0,0,IFERROR(VLOOKUP($A95,'[1]Donor''s Assigned Kilos'!A:N,13,0),0)),0)</f>
        <v>0</v>
      </c>
      <c r="AQ95" s="20">
        <f>IF(A95=0,0,IFERROR(SUMIFS([1]Population!W:W,[1]Population!J:J,'MASTER-2025'!A95),0))</f>
        <v>0</v>
      </c>
      <c r="AR95" s="18">
        <f>IFERROR(VLOOKUP($A95,'[1]Donor-Served OBs'!A:N,5,0),0)</f>
        <v>0</v>
      </c>
      <c r="AS95" s="18">
        <f>ROUNDUP(IF(A95=0,0,IFERROR(VLOOKUP($A95,'[1]Donor''s Assigned Kilos'!A:N,10,0),0)),0)</f>
        <v>0</v>
      </c>
      <c r="AT95" s="18">
        <f>IF(A95=0,0,IFERROR(SUMIFS([1]Population!T:T,[1]Population!J:J,'MASTER-2025'!A95),0))</f>
        <v>0</v>
      </c>
      <c r="AU95" s="19">
        <f>IFERROR(VLOOKUP($A95,'[1]Donor-Served OBs'!A:N,13,0),0)</f>
        <v>0</v>
      </c>
      <c r="AV95" s="19">
        <f>ROUNDUP(IF(A95=0,0,IFERROR(VLOOKUP($A95,'[1]Donor''s Assigned Kilos'!A:N,14,0),0)),0)</f>
        <v>0</v>
      </c>
      <c r="AW95" s="19">
        <f>IF(A95=0,0,IFERROR(SUMIFS([1]Population!X:X,[1]Population!J:J,'MASTER-2025'!A95),0))</f>
        <v>0</v>
      </c>
      <c r="AX95" s="20">
        <f>IFERROR(VLOOKUP($A95,'[1]Donor-Served OBs'!A:N,16,0),0)</f>
        <v>0</v>
      </c>
      <c r="AY95" s="20">
        <f>ROUNDUP(IF(A95=0,0,IFERROR(VLOOKUP($A95,'[1]Donor''s Assigned Kilos'!A:O,16,0),0)),0)</f>
        <v>0</v>
      </c>
      <c r="AZ95" s="20">
        <f>IF(A95=0,0,IFERROR(SUMIFS([1]Population!Y:Y,[1]Population!J:J,'MASTER-2025'!A95),0))</f>
        <v>0</v>
      </c>
      <c r="BA95" s="21">
        <f t="shared" si="34"/>
        <v>0</v>
      </c>
      <c r="BB95" s="21">
        <f t="shared" si="29"/>
        <v>0</v>
      </c>
      <c r="BC95" s="21">
        <f t="shared" si="39"/>
        <v>0</v>
      </c>
      <c r="BD95" s="21">
        <f t="shared" si="41"/>
        <v>0</v>
      </c>
      <c r="BE95" s="22" t="e">
        <f>IF(A95=0,0,SUMIFS([1]Population!C:C,[1]Population!A:A,'MASTER-2025'!A95))</f>
        <v>#VALUE!</v>
      </c>
      <c r="BF95" s="22" t="e">
        <f>IF(A95=0,0,SUMIFS([1]Population!D:D,[1]Population!A:A,'MASTER-2025'!A95))</f>
        <v>#VALUE!</v>
      </c>
      <c r="BG95" s="22" t="e">
        <f>IF(A95=0,0,SUMIFS([1]Population!E:E,[1]Population!A:A,'MASTER-2025'!A95))</f>
        <v>#VALUE!</v>
      </c>
      <c r="BH95" s="22" t="e">
        <f>IF(A95=0,0,SUMIFS([1]Population!F:F,[1]Population!A:A,'MASTER-2025'!A95))</f>
        <v>#VALUE!</v>
      </c>
      <c r="BI95" s="22" t="e">
        <f t="shared" si="35"/>
        <v>#VALUE!</v>
      </c>
      <c r="BJ95" s="23" t="e">
        <f t="shared" si="30"/>
        <v>#VALUE!</v>
      </c>
      <c r="BK95" s="22" t="e">
        <f>IF(A95=0,0,SUMIFS([1]Population!G:G,[1]Population!A:A,'MASTER-2025'!A95))</f>
        <v>#VALUE!</v>
      </c>
      <c r="BL95" s="24" cm="1">
        <f t="array" ref="BL95:BW95">IFERROR(VLOOKUP(A95,'[1]Now-OB-kg-POB-25'!A:AQ,{3,4,5,6,7,8,9,10,11,12,13,14},0),0)</f>
        <v>0</v>
      </c>
      <c r="BM95" s="24">
        <v>0</v>
      </c>
      <c r="BN95" s="24">
        <v>0</v>
      </c>
      <c r="BO95" s="24">
        <v>0</v>
      </c>
      <c r="BP95" s="24">
        <v>0</v>
      </c>
      <c r="BQ95" s="24">
        <v>0</v>
      </c>
      <c r="BR95" s="24">
        <v>0</v>
      </c>
      <c r="BS95" s="24">
        <v>0</v>
      </c>
      <c r="BT95" s="24">
        <v>0</v>
      </c>
      <c r="BU95" s="24">
        <v>0</v>
      </c>
      <c r="BV95" s="24">
        <v>0</v>
      </c>
      <c r="BW95" s="24">
        <v>0</v>
      </c>
      <c r="BX95" s="24">
        <f t="shared" si="31"/>
        <v>0</v>
      </c>
      <c r="BY95" s="25" cm="1">
        <f t="array" ref="BY95:CJ95">IFERROR(VLOOKUP(A95,'[1]Now-OB-kg-POB-25'!A:AQ,{17,18,19,20,21,22,23,24,25,26,27,28},0),0)</f>
        <v>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0</v>
      </c>
      <c r="CH95" s="25">
        <v>0</v>
      </c>
      <c r="CI95" s="25">
        <v>0</v>
      </c>
      <c r="CJ95" s="25">
        <v>0</v>
      </c>
      <c r="CK95" s="25">
        <f t="shared" si="32"/>
        <v>0</v>
      </c>
      <c r="CL95" s="26" cm="1">
        <f t="array" ref="CL95:CW95">IFERROR(VLOOKUP(A95,'[1]Now-OB-kg-POB-25'!A:AQ,{31,32,33,34,35,36,37,38,39,40,41,42},0),0)</f>
        <v>0</v>
      </c>
      <c r="CM95" s="26">
        <v>0</v>
      </c>
      <c r="CN95" s="26">
        <v>0</v>
      </c>
      <c r="CO95" s="26">
        <v>0</v>
      </c>
      <c r="CP95" s="26">
        <v>0</v>
      </c>
      <c r="CQ95" s="26">
        <v>0</v>
      </c>
      <c r="CR95" s="26">
        <v>0</v>
      </c>
      <c r="CS95" s="26">
        <v>0</v>
      </c>
      <c r="CT95" s="26">
        <v>0</v>
      </c>
      <c r="CU95" s="26">
        <v>0</v>
      </c>
      <c r="CV95" s="26">
        <v>0</v>
      </c>
      <c r="CW95" s="26">
        <v>0</v>
      </c>
      <c r="CX95" s="26">
        <f t="shared" si="33"/>
        <v>0</v>
      </c>
      <c r="CY95" s="14" t="str">
        <f>IF(A95=0,0,IFERROR(VLOOKUP(A95,'[1]Info Donantes'!C:F,2,0),"Sin Contacto"))</f>
        <v>Sin Contacto</v>
      </c>
      <c r="CZ95" s="14" t="str">
        <f>IF(A95=0,0,IFERROR(VLOOKUP(A95,'[1]Info Donantes'!C:F,3,0),"Sin Correo"))</f>
        <v>Sin Correo</v>
      </c>
      <c r="DA95" s="14" t="str">
        <f>IF(A95=0,0,IFERROR(VLOOKUP(A95,'[1]Info Donantes'!C:F,4,0),"Sin Telefono"))</f>
        <v>Sin Telefono</v>
      </c>
      <c r="DB95" s="14" t="str">
        <f>IF(A95=0,0,"Reporte de Trazabiidad"&amp;" - "&amp;'[1]Donor Summary'!$C$2&amp;" - "&amp;A95&amp;"")</f>
        <v>Reporte de Trazabiidad -  - POTUGA FRUIT COMPANY S.A</v>
      </c>
    </row>
    <row r="96" spans="1:106" x14ac:dyDescent="0.55000000000000004">
      <c r="A96" s="31" t="s">
        <v>256</v>
      </c>
      <c r="B96" s="15">
        <f>INT(IFERROR(VLOOKUP(A96,'[1]Donor Summary'!C:F,3,0),0))</f>
        <v>0</v>
      </c>
      <c r="C96" s="15">
        <f>INT(ROUND(IFERROR(VLOOKUP(A96,'[1]Donor Summary'!C:F,4,0),0),1))</f>
        <v>0</v>
      </c>
      <c r="D96" s="16">
        <f t="shared" si="36"/>
        <v>0</v>
      </c>
      <c r="E96" s="17" t="str">
        <f t="shared" si="37"/>
        <v>0.00%</v>
      </c>
      <c r="F96" s="17" t="str">
        <f t="shared" si="38"/>
        <v>0.0%</v>
      </c>
      <c r="G96" s="15">
        <f t="shared" si="40"/>
        <v>0</v>
      </c>
      <c r="H96" s="18"/>
      <c r="I96" s="18">
        <f>IFERROR(VLOOKUP(A96,'[1]Lot All by Part'!T:Y,6,0),0)</f>
        <v>0</v>
      </c>
      <c r="J96" s="18"/>
      <c r="K96" s="19">
        <f>IFERROR(VLOOKUP($A96,'[1]Donor-Served OBs'!A:N,3,0),0)</f>
        <v>0</v>
      </c>
      <c r="L96" s="19">
        <f>ROUNDUP(IF(A96=0,0,IFERROR(VLOOKUP($A96,'[1]Donor''s Assigned Kilos'!A:O,3,0),0)),0)</f>
        <v>0</v>
      </c>
      <c r="M96" s="19">
        <f>IF(A96=0,0,IFERROR(SUMIFS([1]Population!M:M,[1]Population!J:J,'MASTER-2025'!A96),0))</f>
        <v>0</v>
      </c>
      <c r="N96" s="20">
        <f>IFERROR(VLOOKUP($A96,'[1]Donor-Served OBs'!A:N,4,0),0)</f>
        <v>0</v>
      </c>
      <c r="O96" s="20">
        <f>ROUNDUP(IF(A96=0,0,IFERROR(VLOOKUP($A96,'[1]Donor''s Assigned Kilos'!A:O,4,0),0)),0)</f>
        <v>0</v>
      </c>
      <c r="P96" s="20">
        <f>IF(A96=0,0,IFERROR(SUMIFS([1]Population!N:N,[1]Population!J:J,'MASTER-2025'!A96),0))</f>
        <v>0</v>
      </c>
      <c r="Q96" s="18">
        <f>IFERROR(VLOOKUP($A96,'[1]Donor-Served OBs'!A:N,2,0),0)</f>
        <v>0</v>
      </c>
      <c r="R96" s="18">
        <f>ROUNDUP(ROUND(IF(A96=0,0,IFERROR(VLOOKUP($A96,'[1]Donor''s Assigned Kilos'!A:O,9,0),0)),1),0)</f>
        <v>0</v>
      </c>
      <c r="S96" s="18">
        <f>IF(A96=0,0,IFERROR(SUMIFS([1]Population!S:S,[1]Population!J:J,'MASTER-2025'!A96),0))</f>
        <v>0</v>
      </c>
      <c r="T96" s="19">
        <f>IFERROR(VLOOKUP($A96,'[1]Donor-Served OBs'!A:N,12,0),0)</f>
        <v>0</v>
      </c>
      <c r="U96" s="19">
        <f>ROUNDUP(IF(A96=0,0,IF(A96=0,0,IFERROR(VLOOKUP($A96,'[1]Donor''s Assigned Kilos'!A:O,7,0),0))),0)</f>
        <v>0</v>
      </c>
      <c r="V96" s="19">
        <f>IF(A96=0,0,IFERROR(SUMIFS([1]Population!Q:Q,[1]Population!J:J,'MASTER-2025'!A96),0))</f>
        <v>0</v>
      </c>
      <c r="W96" s="20">
        <f>IFERROR(VLOOKUP($A96,'[1]Donor-Served OBs'!A:N,10,0),0)</f>
        <v>0</v>
      </c>
      <c r="X96" s="20">
        <f>ROUNDUP(IF(A96=0,0,IFERROR(VLOOKUP($A96,'[1]Donor''s Assigned Kilos'!A:N,5,0),0)),0)</f>
        <v>0</v>
      </c>
      <c r="Y96" s="20">
        <f>IF(A96=0,0,IFERROR(SUMIFS([1]Population!O:O,[1]Population!J:J,'MASTER-2025'!A96),0))</f>
        <v>0</v>
      </c>
      <c r="Z96" s="18">
        <f>IFERROR(VLOOKUP($A96,'[1]Donor-Served OBs'!A:N,6,0),0)</f>
        <v>0</v>
      </c>
      <c r="AA96" s="18">
        <f>ROUNDUP(IF(A96=0,0,IFERROR(VLOOKUP($A96,'[1]Donor''s Assigned Kilos'!A:N,11,0),0)),0)</f>
        <v>0</v>
      </c>
      <c r="AB96" s="18">
        <f>IF(A96=0,0,IFERROR(SUMIFS([1]Population!U:U,[1]Population!J:J,'MASTER-2025'!A96),0))</f>
        <v>0</v>
      </c>
      <c r="AC96" s="19">
        <f>IFERROR(VLOOKUP($A96,'[1]Donor-Served OBs'!A:N,7,0),0)</f>
        <v>0</v>
      </c>
      <c r="AD96" s="19">
        <f>ROUNDUP(IF(A96=0,0,IFERROR(VLOOKUP($A96,'[1]Donor''s Assigned Kilos'!A:N,8,0),0)),0)</f>
        <v>0</v>
      </c>
      <c r="AE96" s="19">
        <f>IF(A96=0,0,IFERROR(SUMIFS([1]Population!R:R,[1]Population!J:J,'MASTER-2025'!A96),0))</f>
        <v>0</v>
      </c>
      <c r="AF96" s="20">
        <f>IFERROR(VLOOKUP($A96,'[1]Donor-Served OBs'!A:N,8,0),0)</f>
        <v>0</v>
      </c>
      <c r="AG96" s="20">
        <f>ROUNDUP(IF(A96=0,0,IFERROR(VLOOKUP($A96,'[1]Donor''s Assigned Kilos'!A:N,6,0),0)),0)</f>
        <v>0</v>
      </c>
      <c r="AH96" s="20">
        <f>IF(A96=0,0,IFERROR(SUMIFS([1]Population!P:P,[1]Population!J:J,'MASTER-2025'!A96),0))</f>
        <v>0</v>
      </c>
      <c r="AI96" s="18">
        <f>IFERROR(VLOOKUP($A96,'[1]Donor-Served OBs'!A:N,9,0),0)</f>
        <v>0</v>
      </c>
      <c r="AJ96" s="18">
        <f>ROUNDUP(IF(A96=0,0,IFERROR(VLOOKUP($A96,'[1]Donor''s Assigned Kilos'!A:N,12,0),0)),0)</f>
        <v>0</v>
      </c>
      <c r="AK96" s="18">
        <f>IF(A96=0,0,IFERROR(SUMIFS([1]Population!V:V,[1]Population!J:J,'MASTER-2025'!A96),0))</f>
        <v>0</v>
      </c>
      <c r="AL96" s="19">
        <f>IFERROR(VLOOKUP($A96,'[1]Donor-Served OBs'!A:N,16,0),0)</f>
        <v>0</v>
      </c>
      <c r="AM96" s="19">
        <f>ROUNDUP(IF(A96=0,0,IFERROR(VLOOKUP($A96,'[1]Donor''s Assigned Kilos'!A:O,16,0),0)),0)</f>
        <v>0</v>
      </c>
      <c r="AN96" s="19">
        <f>IF(A96=0,0,IFERROR(SUMIFS([1]Population!Z:Z,[1]Population!J:J,'MASTER-2025'!A96),0))</f>
        <v>0</v>
      </c>
      <c r="AO96" s="20">
        <f>IFERROR(VLOOKUP($A96,'[1]Donor-Served OBs'!A:N,11,0),0)</f>
        <v>0</v>
      </c>
      <c r="AP96" s="20">
        <f>ROUNDUP(IF(A96=0,0,IFERROR(VLOOKUP($A96,'[1]Donor''s Assigned Kilos'!A:N,13,0),0)),0)</f>
        <v>0</v>
      </c>
      <c r="AQ96" s="20">
        <f>IF(A96=0,0,IFERROR(SUMIFS([1]Population!W:W,[1]Population!J:J,'MASTER-2025'!A96),0))</f>
        <v>0</v>
      </c>
      <c r="AR96" s="18">
        <f>IFERROR(VLOOKUP($A96,'[1]Donor-Served OBs'!A:N,5,0),0)</f>
        <v>0</v>
      </c>
      <c r="AS96" s="18">
        <f>ROUNDUP(IF(A96=0,0,IFERROR(VLOOKUP($A96,'[1]Donor''s Assigned Kilos'!A:N,10,0),0)),0)</f>
        <v>0</v>
      </c>
      <c r="AT96" s="18">
        <f>IF(A96=0,0,IFERROR(SUMIFS([1]Population!T:T,[1]Population!J:J,'MASTER-2025'!A96),0))</f>
        <v>0</v>
      </c>
      <c r="AU96" s="19">
        <f>IFERROR(VLOOKUP($A96,'[1]Donor-Served OBs'!A:N,13,0),0)</f>
        <v>0</v>
      </c>
      <c r="AV96" s="19">
        <f>ROUNDUP(IF(A96=0,0,IFERROR(VLOOKUP($A96,'[1]Donor''s Assigned Kilos'!A:N,14,0),0)),0)</f>
        <v>0</v>
      </c>
      <c r="AW96" s="19">
        <f>IF(A96=0,0,IFERROR(SUMIFS([1]Population!X:X,[1]Population!J:J,'MASTER-2025'!A96),0))</f>
        <v>0</v>
      </c>
      <c r="AX96" s="20">
        <f>IFERROR(VLOOKUP($A96,'[1]Donor-Served OBs'!A:N,16,0),0)</f>
        <v>0</v>
      </c>
      <c r="AY96" s="20">
        <f>ROUNDUP(IF(A96=0,0,IFERROR(VLOOKUP($A96,'[1]Donor''s Assigned Kilos'!A:O,16,0),0)),0)</f>
        <v>0</v>
      </c>
      <c r="AZ96" s="20">
        <f>IF(A96=0,0,IFERROR(SUMIFS([1]Population!Y:Y,[1]Population!J:J,'MASTER-2025'!A96),0))</f>
        <v>0</v>
      </c>
      <c r="BA96" s="21">
        <f t="shared" si="34"/>
        <v>0</v>
      </c>
      <c r="BB96" s="21">
        <f t="shared" si="29"/>
        <v>0</v>
      </c>
      <c r="BC96" s="21">
        <f t="shared" si="39"/>
        <v>0</v>
      </c>
      <c r="BD96" s="21">
        <f t="shared" si="41"/>
        <v>0</v>
      </c>
      <c r="BE96" s="22" t="e">
        <f>IF(A96=0,0,SUMIFS([1]Population!C:C,[1]Population!A:A,'MASTER-2025'!A96))</f>
        <v>#VALUE!</v>
      </c>
      <c r="BF96" s="22" t="e">
        <f>IF(A96=0,0,SUMIFS([1]Population!D:D,[1]Population!A:A,'MASTER-2025'!A96))</f>
        <v>#VALUE!</v>
      </c>
      <c r="BG96" s="22" t="e">
        <f>IF(A96=0,0,SUMIFS([1]Population!E:E,[1]Population!A:A,'MASTER-2025'!A96))</f>
        <v>#VALUE!</v>
      </c>
      <c r="BH96" s="22" t="e">
        <f>IF(A96=0,0,SUMIFS([1]Population!F:F,[1]Population!A:A,'MASTER-2025'!A96))</f>
        <v>#VALUE!</v>
      </c>
      <c r="BI96" s="22" t="e">
        <f t="shared" si="35"/>
        <v>#VALUE!</v>
      </c>
      <c r="BJ96" s="23" t="e">
        <f t="shared" si="30"/>
        <v>#VALUE!</v>
      </c>
      <c r="BK96" s="22" t="e">
        <f>IF(A96=0,0,SUMIFS([1]Population!G:G,[1]Population!A:A,'MASTER-2025'!A96))</f>
        <v>#VALUE!</v>
      </c>
      <c r="BL96" s="24" cm="1">
        <f t="array" ref="BL96:BW96">IFERROR(VLOOKUP(A96,'[1]Now-OB-kg-POB-25'!A:AQ,{3,4,5,6,7,8,9,10,11,12,13,14},0),0)</f>
        <v>0</v>
      </c>
      <c r="BM96" s="24">
        <v>0</v>
      </c>
      <c r="BN96" s="24">
        <v>0</v>
      </c>
      <c r="BO96" s="24">
        <v>0</v>
      </c>
      <c r="BP96" s="24">
        <v>0</v>
      </c>
      <c r="BQ96" s="24">
        <v>0</v>
      </c>
      <c r="BR96" s="24">
        <v>0</v>
      </c>
      <c r="BS96" s="24">
        <v>0</v>
      </c>
      <c r="BT96" s="24">
        <v>0</v>
      </c>
      <c r="BU96" s="24">
        <v>0</v>
      </c>
      <c r="BV96" s="24">
        <v>0</v>
      </c>
      <c r="BW96" s="24">
        <v>0</v>
      </c>
      <c r="BX96" s="24">
        <f t="shared" si="31"/>
        <v>0</v>
      </c>
      <c r="BY96" s="25" cm="1">
        <f t="array" ref="BY96:CJ96">IFERROR(VLOOKUP(A96,'[1]Now-OB-kg-POB-25'!A:AQ,{17,18,19,20,21,22,23,24,25,26,27,28},0),0)</f>
        <v>0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0</v>
      </c>
      <c r="CH96" s="25">
        <v>0</v>
      </c>
      <c r="CI96" s="25">
        <v>0</v>
      </c>
      <c r="CJ96" s="25">
        <v>0</v>
      </c>
      <c r="CK96" s="25">
        <f t="shared" si="32"/>
        <v>0</v>
      </c>
      <c r="CL96" s="26" cm="1">
        <f t="array" ref="CL96:CW96">IFERROR(VLOOKUP(A96,'[1]Now-OB-kg-POB-25'!A:AQ,{31,32,33,34,35,36,37,38,39,40,41,42},0),0)</f>
        <v>0</v>
      </c>
      <c r="CM96" s="26">
        <v>0</v>
      </c>
      <c r="CN96" s="26">
        <v>0</v>
      </c>
      <c r="CO96" s="26">
        <v>0</v>
      </c>
      <c r="CP96" s="26">
        <v>0</v>
      </c>
      <c r="CQ96" s="26">
        <v>0</v>
      </c>
      <c r="CR96" s="26">
        <v>0</v>
      </c>
      <c r="CS96" s="26">
        <v>0</v>
      </c>
      <c r="CT96" s="26">
        <v>0</v>
      </c>
      <c r="CU96" s="26">
        <v>0</v>
      </c>
      <c r="CV96" s="26">
        <v>0</v>
      </c>
      <c r="CW96" s="26">
        <v>0</v>
      </c>
      <c r="CX96" s="26">
        <f t="shared" si="33"/>
        <v>0</v>
      </c>
      <c r="CY96" s="14" t="str">
        <f>IF(A96=0,0,IFERROR(VLOOKUP(A96,'[1]Info Donantes'!C:F,2,0),"Sin Contacto"))</f>
        <v>Sin Contacto</v>
      </c>
      <c r="CZ96" s="14" t="str">
        <f>IF(A96=0,0,IFERROR(VLOOKUP(A96,'[1]Info Donantes'!C:F,3,0),"Sin Correo"))</f>
        <v>Sin Correo</v>
      </c>
      <c r="DA96" s="14" t="str">
        <f>IF(A96=0,0,IFERROR(VLOOKUP(A96,'[1]Info Donantes'!C:F,4,0),"Sin Telefono"))</f>
        <v>Sin Telefono</v>
      </c>
      <c r="DB96" s="14" t="str">
        <f>IF(A96=0,0,"Reporte de Trazabiidad"&amp;" - "&amp;'[1]Donor Summary'!$C$2&amp;" - "&amp;A96&amp;"")</f>
        <v>Reporte de Trazabiidad -  - RAMON GONZALEZ REVILLA DRUGSTORE</v>
      </c>
    </row>
    <row r="97" spans="1:106" x14ac:dyDescent="0.55000000000000004">
      <c r="A97" s="31" t="s">
        <v>257</v>
      </c>
      <c r="B97" s="15">
        <f>INT(IFERROR(VLOOKUP(A97,'[1]Donor Summary'!C:F,3,0),0))</f>
        <v>0</v>
      </c>
      <c r="C97" s="15">
        <f>INT(ROUND(IFERROR(VLOOKUP(A97,'[1]Donor Summary'!C:F,4,0),0),1))</f>
        <v>0</v>
      </c>
      <c r="D97" s="16">
        <f t="shared" si="36"/>
        <v>0</v>
      </c>
      <c r="E97" s="17" t="str">
        <f t="shared" si="37"/>
        <v>0.00%</v>
      </c>
      <c r="F97" s="17" t="str">
        <f t="shared" si="38"/>
        <v>0.0%</v>
      </c>
      <c r="G97" s="15">
        <f t="shared" si="40"/>
        <v>0</v>
      </c>
      <c r="H97" s="18"/>
      <c r="I97" s="18">
        <f>IFERROR(VLOOKUP(A97,'[1]Lot All by Part'!T:Y,6,0),0)</f>
        <v>0</v>
      </c>
      <c r="J97" s="18"/>
      <c r="K97" s="19">
        <f>IFERROR(VLOOKUP($A97,'[1]Donor-Served OBs'!A:N,3,0),0)</f>
        <v>0</v>
      </c>
      <c r="L97" s="19">
        <f>ROUNDUP(IF(A97=0,0,IFERROR(VLOOKUP($A97,'[1]Donor''s Assigned Kilos'!A:O,3,0),0)),0)</f>
        <v>0</v>
      </c>
      <c r="M97" s="19">
        <f>IF(A97=0,0,IFERROR(SUMIFS([1]Population!M:M,[1]Population!J:J,'MASTER-2025'!A97),0))</f>
        <v>0</v>
      </c>
      <c r="N97" s="20">
        <f>IFERROR(VLOOKUP($A97,'[1]Donor-Served OBs'!A:N,4,0),0)</f>
        <v>0</v>
      </c>
      <c r="O97" s="20">
        <f>ROUNDUP(IF(A97=0,0,IFERROR(VLOOKUP($A97,'[1]Donor''s Assigned Kilos'!A:O,4,0),0)),0)</f>
        <v>0</v>
      </c>
      <c r="P97" s="20">
        <f>IF(A97=0,0,IFERROR(SUMIFS([1]Population!N:N,[1]Population!J:J,'MASTER-2025'!A97),0))</f>
        <v>0</v>
      </c>
      <c r="Q97" s="18">
        <f>IFERROR(VLOOKUP($A97,'[1]Donor-Served OBs'!A:N,2,0),0)</f>
        <v>0</v>
      </c>
      <c r="R97" s="18">
        <f>ROUNDUP(ROUND(IF(A97=0,0,IFERROR(VLOOKUP($A97,'[1]Donor''s Assigned Kilos'!A:O,9,0),0)),1),0)</f>
        <v>0</v>
      </c>
      <c r="S97" s="18">
        <f>IF(A97=0,0,IFERROR(SUMIFS([1]Population!S:S,[1]Population!J:J,'MASTER-2025'!A97),0))</f>
        <v>0</v>
      </c>
      <c r="T97" s="19">
        <f>IFERROR(VLOOKUP($A97,'[1]Donor-Served OBs'!A:N,12,0),0)</f>
        <v>0</v>
      </c>
      <c r="U97" s="19">
        <f>ROUNDUP(IF(A97=0,0,IF(A97=0,0,IFERROR(VLOOKUP($A97,'[1]Donor''s Assigned Kilos'!A:O,7,0),0))),0)</f>
        <v>0</v>
      </c>
      <c r="V97" s="19">
        <f>IF(A97=0,0,IFERROR(SUMIFS([1]Population!Q:Q,[1]Population!J:J,'MASTER-2025'!A97),0))</f>
        <v>0</v>
      </c>
      <c r="W97" s="20">
        <f>IFERROR(VLOOKUP($A97,'[1]Donor-Served OBs'!A:N,10,0),0)</f>
        <v>0</v>
      </c>
      <c r="X97" s="20">
        <f>ROUNDUP(IF(A97=0,0,IFERROR(VLOOKUP($A97,'[1]Donor''s Assigned Kilos'!A:N,5,0),0)),0)</f>
        <v>0</v>
      </c>
      <c r="Y97" s="20">
        <f>IF(A97=0,0,IFERROR(SUMIFS([1]Population!O:O,[1]Population!J:J,'MASTER-2025'!A97),0))</f>
        <v>0</v>
      </c>
      <c r="Z97" s="18">
        <f>IFERROR(VLOOKUP($A97,'[1]Donor-Served OBs'!A:N,6,0),0)</f>
        <v>0</v>
      </c>
      <c r="AA97" s="18">
        <f>ROUNDUP(IF(A97=0,0,IFERROR(VLOOKUP($A97,'[1]Donor''s Assigned Kilos'!A:N,11,0),0)),0)</f>
        <v>0</v>
      </c>
      <c r="AB97" s="18">
        <f>IF(A97=0,0,IFERROR(SUMIFS([1]Population!U:U,[1]Population!J:J,'MASTER-2025'!A97),0))</f>
        <v>0</v>
      </c>
      <c r="AC97" s="19">
        <f>IFERROR(VLOOKUP($A97,'[1]Donor-Served OBs'!A:N,7,0),0)</f>
        <v>0</v>
      </c>
      <c r="AD97" s="19">
        <f>ROUNDUP(IF(A97=0,0,IFERROR(VLOOKUP($A97,'[1]Donor''s Assigned Kilos'!A:N,8,0),0)),0)</f>
        <v>0</v>
      </c>
      <c r="AE97" s="19">
        <f>IF(A97=0,0,IFERROR(SUMIFS([1]Population!R:R,[1]Population!J:J,'MASTER-2025'!A97),0))</f>
        <v>0</v>
      </c>
      <c r="AF97" s="20">
        <f>IFERROR(VLOOKUP($A97,'[1]Donor-Served OBs'!A:N,8,0),0)</f>
        <v>0</v>
      </c>
      <c r="AG97" s="20">
        <f>ROUNDUP(IF(A97=0,0,IFERROR(VLOOKUP($A97,'[1]Donor''s Assigned Kilos'!A:N,6,0),0)),0)</f>
        <v>0</v>
      </c>
      <c r="AH97" s="20">
        <f>IF(A97=0,0,IFERROR(SUMIFS([1]Population!P:P,[1]Population!J:J,'MASTER-2025'!A97),0))</f>
        <v>0</v>
      </c>
      <c r="AI97" s="18">
        <f>IFERROR(VLOOKUP($A97,'[1]Donor-Served OBs'!A:N,9,0),0)</f>
        <v>0</v>
      </c>
      <c r="AJ97" s="18">
        <f>ROUNDUP(IF(A97=0,0,IFERROR(VLOOKUP($A97,'[1]Donor''s Assigned Kilos'!A:N,12,0),0)),0)</f>
        <v>0</v>
      </c>
      <c r="AK97" s="18">
        <f>IF(A97=0,0,IFERROR(SUMIFS([1]Population!V:V,[1]Population!J:J,'MASTER-2025'!A97),0))</f>
        <v>0</v>
      </c>
      <c r="AL97" s="19">
        <f>IFERROR(VLOOKUP($A97,'[1]Donor-Served OBs'!A:N,16,0),0)</f>
        <v>0</v>
      </c>
      <c r="AM97" s="19">
        <f>ROUNDUP(IF(A97=0,0,IFERROR(VLOOKUP($A97,'[1]Donor''s Assigned Kilos'!A:O,16,0),0)),0)</f>
        <v>0</v>
      </c>
      <c r="AN97" s="19">
        <f>IF(A97=0,0,IFERROR(SUMIFS([1]Population!Z:Z,[1]Population!J:J,'MASTER-2025'!A97),0))</f>
        <v>0</v>
      </c>
      <c r="AO97" s="20">
        <f>IFERROR(VLOOKUP($A97,'[1]Donor-Served OBs'!A:N,11,0),0)</f>
        <v>0</v>
      </c>
      <c r="AP97" s="20">
        <f>ROUNDUP(IF(A97=0,0,IFERROR(VLOOKUP($A97,'[1]Donor''s Assigned Kilos'!A:N,13,0),0)),0)</f>
        <v>0</v>
      </c>
      <c r="AQ97" s="20">
        <f>IF(A97=0,0,IFERROR(SUMIFS([1]Population!W:W,[1]Population!J:J,'MASTER-2025'!A97),0))</f>
        <v>0</v>
      </c>
      <c r="AR97" s="18">
        <f>IFERROR(VLOOKUP($A97,'[1]Donor-Served OBs'!A:N,5,0),0)</f>
        <v>0</v>
      </c>
      <c r="AS97" s="18">
        <f>ROUNDUP(IF(A97=0,0,IFERROR(VLOOKUP($A97,'[1]Donor''s Assigned Kilos'!A:N,10,0),0)),0)</f>
        <v>0</v>
      </c>
      <c r="AT97" s="18">
        <f>IF(A97=0,0,IFERROR(SUMIFS([1]Population!T:T,[1]Population!J:J,'MASTER-2025'!A97),0))</f>
        <v>0</v>
      </c>
      <c r="AU97" s="19">
        <f>IFERROR(VLOOKUP($A97,'[1]Donor-Served OBs'!A:N,13,0),0)</f>
        <v>0</v>
      </c>
      <c r="AV97" s="19">
        <f>ROUNDUP(IF(A97=0,0,IFERROR(VLOOKUP($A97,'[1]Donor''s Assigned Kilos'!A:N,14,0),0)),0)</f>
        <v>0</v>
      </c>
      <c r="AW97" s="19">
        <f>IF(A97=0,0,IFERROR(SUMIFS([1]Population!X:X,[1]Population!J:J,'MASTER-2025'!A97),0))</f>
        <v>0</v>
      </c>
      <c r="AX97" s="20">
        <f>IFERROR(VLOOKUP($A97,'[1]Donor-Served OBs'!A:N,16,0),0)</f>
        <v>0</v>
      </c>
      <c r="AY97" s="20">
        <f>ROUNDUP(IF(A97=0,0,IFERROR(VLOOKUP($A97,'[1]Donor''s Assigned Kilos'!A:O,16,0),0)),0)</f>
        <v>0</v>
      </c>
      <c r="AZ97" s="20">
        <f>IF(A97=0,0,IFERROR(SUMIFS([1]Population!Y:Y,[1]Population!J:J,'MASTER-2025'!A97),0))</f>
        <v>0</v>
      </c>
      <c r="BA97" s="21">
        <f t="shared" si="34"/>
        <v>0</v>
      </c>
      <c r="BB97" s="21">
        <f t="shared" si="29"/>
        <v>0</v>
      </c>
      <c r="BC97" s="21">
        <f t="shared" si="39"/>
        <v>0</v>
      </c>
      <c r="BD97" s="21">
        <f t="shared" si="41"/>
        <v>0</v>
      </c>
      <c r="BE97" s="22" t="e">
        <f>IF(A97=0,0,SUMIFS([1]Population!C:C,[1]Population!A:A,'MASTER-2025'!A97))</f>
        <v>#VALUE!</v>
      </c>
      <c r="BF97" s="22" t="e">
        <f>IF(A97=0,0,SUMIFS([1]Population!D:D,[1]Population!A:A,'MASTER-2025'!A97))</f>
        <v>#VALUE!</v>
      </c>
      <c r="BG97" s="22" t="e">
        <f>IF(A97=0,0,SUMIFS([1]Population!E:E,[1]Population!A:A,'MASTER-2025'!A97))</f>
        <v>#VALUE!</v>
      </c>
      <c r="BH97" s="22" t="e">
        <f>IF(A97=0,0,SUMIFS([1]Population!F:F,[1]Population!A:A,'MASTER-2025'!A97))</f>
        <v>#VALUE!</v>
      </c>
      <c r="BI97" s="22" t="e">
        <f t="shared" si="35"/>
        <v>#VALUE!</v>
      </c>
      <c r="BJ97" s="23" t="e">
        <f t="shared" si="30"/>
        <v>#VALUE!</v>
      </c>
      <c r="BK97" s="22" t="e">
        <f>IF(A97=0,0,SUMIFS([1]Population!G:G,[1]Population!A:A,'MASTER-2025'!A97))</f>
        <v>#VALUE!</v>
      </c>
      <c r="BL97" s="24" cm="1">
        <f t="array" ref="BL97:BW97">IFERROR(VLOOKUP(A97,'[1]Now-OB-kg-POB-25'!A:AQ,{3,4,5,6,7,8,9,10,11,12,13,14},0),0)</f>
        <v>0</v>
      </c>
      <c r="BM97" s="24">
        <v>0</v>
      </c>
      <c r="BN97" s="24">
        <v>0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24">
        <v>0</v>
      </c>
      <c r="BU97" s="24">
        <v>0</v>
      </c>
      <c r="BV97" s="24">
        <v>0</v>
      </c>
      <c r="BW97" s="24">
        <v>0</v>
      </c>
      <c r="BX97" s="24">
        <f t="shared" si="31"/>
        <v>0</v>
      </c>
      <c r="BY97" s="25" cm="1">
        <f t="array" ref="BY97:CJ97">IFERROR(VLOOKUP(A97,'[1]Now-OB-kg-POB-25'!A:AQ,{17,18,19,20,21,22,23,24,25,26,27,28},0),0)</f>
        <v>0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0</v>
      </c>
      <c r="CH97" s="25">
        <v>0</v>
      </c>
      <c r="CI97" s="25">
        <v>0</v>
      </c>
      <c r="CJ97" s="25">
        <v>0</v>
      </c>
      <c r="CK97" s="25">
        <f t="shared" si="32"/>
        <v>0</v>
      </c>
      <c r="CL97" s="26" cm="1">
        <f t="array" ref="CL97:CW97">IFERROR(VLOOKUP(A97,'[1]Now-OB-kg-POB-25'!A:AQ,{31,32,33,34,35,36,37,38,39,40,41,42},0),0)</f>
        <v>0</v>
      </c>
      <c r="CM97" s="26">
        <v>0</v>
      </c>
      <c r="CN97" s="26">
        <v>0</v>
      </c>
      <c r="CO97" s="26">
        <v>0</v>
      </c>
      <c r="CP97" s="26">
        <v>0</v>
      </c>
      <c r="CQ97" s="26">
        <v>0</v>
      </c>
      <c r="CR97" s="26">
        <v>0</v>
      </c>
      <c r="CS97" s="26">
        <v>0</v>
      </c>
      <c r="CT97" s="26">
        <v>0</v>
      </c>
      <c r="CU97" s="26">
        <v>0</v>
      </c>
      <c r="CV97" s="26">
        <v>0</v>
      </c>
      <c r="CW97" s="26">
        <v>0</v>
      </c>
      <c r="CX97" s="26">
        <f t="shared" si="33"/>
        <v>0</v>
      </c>
      <c r="CY97" s="14">
        <f>IF(A97=0,0,IFERROR(VLOOKUP(A97,'[1]Info Donantes'!C:F,2,0),"Sin Contacto"))</f>
        <v>0</v>
      </c>
      <c r="CZ97" s="14">
        <f>IF(A97=0,0,IFERROR(VLOOKUP(A97,'[1]Info Donantes'!C:F,3,0),"Sin Correo"))</f>
        <v>0</v>
      </c>
      <c r="DA97" s="14" t="str">
        <f>IF(A97=0,0,IFERROR(VLOOKUP(A97,'[1]Info Donantes'!C:F,4,0),"Sin Telefono"))</f>
        <v>2607344</v>
      </c>
      <c r="DB97" s="14" t="str">
        <f>IF(A97=0,0,"Reporte de Trazabiidad"&amp;" - "&amp;'[1]Donor Summary'!$C$2&amp;" - "&amp;A97&amp;"")</f>
        <v>Reporte de Trazabiidad -  - DULCERIA MOMI, S.A.</v>
      </c>
    </row>
    <row r="98" spans="1:106" x14ac:dyDescent="0.55000000000000004">
      <c r="A98" s="14" t="s">
        <v>258</v>
      </c>
      <c r="B98" s="15">
        <f>INT(IFERROR(VLOOKUP(A98,'[1]Donor Summary'!C:F,3,0),0))</f>
        <v>0</v>
      </c>
      <c r="C98" s="15">
        <f>INT(ROUND(IFERROR(VLOOKUP(A98,'[1]Donor Summary'!C:F,4,0),0),1))</f>
        <v>0</v>
      </c>
      <c r="D98" s="16">
        <f t="shared" si="36"/>
        <v>0</v>
      </c>
      <c r="E98" s="17" t="str">
        <f t="shared" si="37"/>
        <v>0.00%</v>
      </c>
      <c r="F98" s="17" t="str">
        <f t="shared" si="38"/>
        <v>0.0%</v>
      </c>
      <c r="G98" s="15">
        <f t="shared" si="40"/>
        <v>0</v>
      </c>
      <c r="H98" s="18"/>
      <c r="I98" s="18">
        <f>IFERROR(VLOOKUP(A98,'[1]Lot All by Part'!T:Y,6,0),0)</f>
        <v>0</v>
      </c>
      <c r="J98" s="18"/>
      <c r="K98" s="19">
        <f>IFERROR(VLOOKUP($A98,'[1]Donor-Served OBs'!A:N,3,0),0)</f>
        <v>0</v>
      </c>
      <c r="L98" s="19">
        <f>ROUNDUP(IF(A98=0,0,IFERROR(VLOOKUP($A98,'[1]Donor''s Assigned Kilos'!A:O,3,0),0)),0)</f>
        <v>0</v>
      </c>
      <c r="M98" s="19">
        <f>IF(A98=0,0,IFERROR(SUMIFS([1]Population!M:M,[1]Population!J:J,'MASTER-2025'!A98),0))</f>
        <v>0</v>
      </c>
      <c r="N98" s="20">
        <f>IFERROR(VLOOKUP($A98,'[1]Donor-Served OBs'!A:N,4,0),0)</f>
        <v>0</v>
      </c>
      <c r="O98" s="20">
        <f>ROUNDUP(IF(A98=0,0,IFERROR(VLOOKUP($A98,'[1]Donor''s Assigned Kilos'!A:O,4,0),0)),0)</f>
        <v>0</v>
      </c>
      <c r="P98" s="20">
        <f>IF(A98=0,0,IFERROR(SUMIFS([1]Population!N:N,[1]Population!J:J,'MASTER-2025'!A98),0))</f>
        <v>0</v>
      </c>
      <c r="Q98" s="18">
        <f>IFERROR(VLOOKUP($A98,'[1]Donor-Served OBs'!A:N,2,0),0)</f>
        <v>0</v>
      </c>
      <c r="R98" s="18">
        <f>ROUNDUP(ROUND(IF(A98=0,0,IFERROR(VLOOKUP($A98,'[1]Donor''s Assigned Kilos'!A:O,9,0),0)),1),0)</f>
        <v>0</v>
      </c>
      <c r="S98" s="18">
        <f>IF(A98=0,0,IFERROR(SUMIFS([1]Population!S:S,[1]Population!J:J,'MASTER-2025'!A98),0))</f>
        <v>0</v>
      </c>
      <c r="T98" s="19">
        <f>IFERROR(VLOOKUP($A98,'[1]Donor-Served OBs'!A:N,12,0),0)</f>
        <v>0</v>
      </c>
      <c r="U98" s="19">
        <f>ROUNDUP(IF(A98=0,0,IF(A98=0,0,IFERROR(VLOOKUP($A98,'[1]Donor''s Assigned Kilos'!A:O,7,0),0))),0)</f>
        <v>0</v>
      </c>
      <c r="V98" s="19">
        <f>IF(A98=0,0,IFERROR(SUMIFS([1]Population!Q:Q,[1]Population!J:J,'MASTER-2025'!A98),0))</f>
        <v>0</v>
      </c>
      <c r="W98" s="20">
        <f>IFERROR(VLOOKUP($A98,'[1]Donor-Served OBs'!A:N,10,0),0)</f>
        <v>0</v>
      </c>
      <c r="X98" s="20">
        <f>ROUNDUP(IF(A98=0,0,IFERROR(VLOOKUP($A98,'[1]Donor''s Assigned Kilos'!A:N,5,0),0)),0)</f>
        <v>0</v>
      </c>
      <c r="Y98" s="20">
        <f>IF(A98=0,0,IFERROR(SUMIFS([1]Population!O:O,[1]Population!J:J,'MASTER-2025'!A98),0))</f>
        <v>0</v>
      </c>
      <c r="Z98" s="18">
        <f>IFERROR(VLOOKUP($A98,'[1]Donor-Served OBs'!A:N,6,0),0)</f>
        <v>0</v>
      </c>
      <c r="AA98" s="18">
        <f>ROUNDUP(IF(A98=0,0,IFERROR(VLOOKUP($A98,'[1]Donor''s Assigned Kilos'!A:N,11,0),0)),0)</f>
        <v>0</v>
      </c>
      <c r="AB98" s="18">
        <f>IF(A98=0,0,IFERROR(SUMIFS([1]Population!U:U,[1]Population!J:J,'MASTER-2025'!A98),0))</f>
        <v>0</v>
      </c>
      <c r="AC98" s="19">
        <f>IFERROR(VLOOKUP($A98,'[1]Donor-Served OBs'!A:N,7,0),0)</f>
        <v>0</v>
      </c>
      <c r="AD98" s="19">
        <f>ROUNDUP(IF(A98=0,0,IFERROR(VLOOKUP($A98,'[1]Donor''s Assigned Kilos'!A:N,8,0),0)),0)</f>
        <v>0</v>
      </c>
      <c r="AE98" s="19">
        <f>IF(A98=0,0,IFERROR(SUMIFS([1]Population!R:R,[1]Population!J:J,'MASTER-2025'!A98),0))</f>
        <v>0</v>
      </c>
      <c r="AF98" s="20">
        <f>IFERROR(VLOOKUP($A98,'[1]Donor-Served OBs'!A:N,8,0),0)</f>
        <v>0</v>
      </c>
      <c r="AG98" s="20">
        <f>ROUNDUP(IF(A98=0,0,IFERROR(VLOOKUP($A98,'[1]Donor''s Assigned Kilos'!A:N,6,0),0)),0)</f>
        <v>0</v>
      </c>
      <c r="AH98" s="20">
        <f>IF(A98=0,0,IFERROR(SUMIFS([1]Population!P:P,[1]Population!J:J,'MASTER-2025'!A98),0))</f>
        <v>0</v>
      </c>
      <c r="AI98" s="18">
        <f>IFERROR(VLOOKUP($A98,'[1]Donor-Served OBs'!A:N,9,0),0)</f>
        <v>0</v>
      </c>
      <c r="AJ98" s="18">
        <f>ROUNDUP(IF(A98=0,0,IFERROR(VLOOKUP($A98,'[1]Donor''s Assigned Kilos'!A:N,12,0),0)),0)</f>
        <v>0</v>
      </c>
      <c r="AK98" s="18">
        <f>IF(A98=0,0,IFERROR(SUMIFS([1]Population!V:V,[1]Population!J:J,'MASTER-2025'!A98),0))</f>
        <v>0</v>
      </c>
      <c r="AL98" s="19">
        <f>IFERROR(VLOOKUP($A98,'[1]Donor-Served OBs'!A:N,16,0),0)</f>
        <v>0</v>
      </c>
      <c r="AM98" s="19">
        <f>ROUNDUP(IF(A98=0,0,IFERROR(VLOOKUP($A98,'[1]Donor''s Assigned Kilos'!A:O,16,0),0)),0)</f>
        <v>0</v>
      </c>
      <c r="AN98" s="19">
        <f>IF(A98=0,0,IFERROR(SUMIFS([1]Population!Z:Z,[1]Population!J:J,'MASTER-2025'!A98),0))</f>
        <v>0</v>
      </c>
      <c r="AO98" s="20">
        <f>IFERROR(VLOOKUP($A98,'[1]Donor-Served OBs'!A:N,11,0),0)</f>
        <v>0</v>
      </c>
      <c r="AP98" s="20">
        <f>ROUNDUP(IF(A98=0,0,IFERROR(VLOOKUP($A98,'[1]Donor''s Assigned Kilos'!A:N,13,0),0)),0)</f>
        <v>0</v>
      </c>
      <c r="AQ98" s="20">
        <f>IF(A98=0,0,IFERROR(SUMIFS([1]Population!W:W,[1]Population!J:J,'MASTER-2025'!A98),0))</f>
        <v>0</v>
      </c>
      <c r="AR98" s="18">
        <f>IFERROR(VLOOKUP($A98,'[1]Donor-Served OBs'!A:N,5,0),0)</f>
        <v>0</v>
      </c>
      <c r="AS98" s="18">
        <f>ROUNDUP(IF(A98=0,0,IFERROR(VLOOKUP($A98,'[1]Donor''s Assigned Kilos'!A:N,10,0),0)),0)</f>
        <v>0</v>
      </c>
      <c r="AT98" s="18">
        <f>IF(A98=0,0,IFERROR(SUMIFS([1]Population!T:T,[1]Population!J:J,'MASTER-2025'!A98),0))</f>
        <v>0</v>
      </c>
      <c r="AU98" s="19">
        <f>IFERROR(VLOOKUP($A98,'[1]Donor-Served OBs'!A:N,13,0),0)</f>
        <v>0</v>
      </c>
      <c r="AV98" s="19">
        <f>ROUNDUP(IF(A98=0,0,IFERROR(VLOOKUP($A98,'[1]Donor''s Assigned Kilos'!A:N,14,0),0)),0)</f>
        <v>0</v>
      </c>
      <c r="AW98" s="19">
        <f>IF(A98=0,0,IFERROR(SUMIFS([1]Population!X:X,[1]Population!J:J,'MASTER-2025'!A98),0))</f>
        <v>0</v>
      </c>
      <c r="AX98" s="20">
        <f>IFERROR(VLOOKUP($A98,'[1]Donor-Served OBs'!A:N,16,0),0)</f>
        <v>0</v>
      </c>
      <c r="AY98" s="20">
        <f>ROUNDUP(IF(A98=0,0,IFERROR(VLOOKUP($A98,'[1]Donor''s Assigned Kilos'!A:O,16,0),0)),0)</f>
        <v>0</v>
      </c>
      <c r="AZ98" s="20">
        <f>IF(A98=0,0,IFERROR(SUMIFS([1]Population!Y:Y,[1]Population!J:J,'MASTER-2025'!A98),0))</f>
        <v>0</v>
      </c>
      <c r="BA98" s="21">
        <f t="shared" si="34"/>
        <v>0</v>
      </c>
      <c r="BB98" s="21">
        <f t="shared" si="29"/>
        <v>0</v>
      </c>
      <c r="BC98" s="21">
        <f t="shared" si="39"/>
        <v>0</v>
      </c>
      <c r="BD98" s="21">
        <f t="shared" si="41"/>
        <v>0</v>
      </c>
      <c r="BE98" s="22" t="e">
        <f>IF(A98=0,0,SUMIFS([1]Population!C:C,[1]Population!A:A,'MASTER-2025'!A98))</f>
        <v>#VALUE!</v>
      </c>
      <c r="BF98" s="22" t="e">
        <f>IF(A98=0,0,SUMIFS([1]Population!D:D,[1]Population!A:A,'MASTER-2025'!A98))</f>
        <v>#VALUE!</v>
      </c>
      <c r="BG98" s="22" t="e">
        <f>IF(A98=0,0,SUMIFS([1]Population!E:E,[1]Population!A:A,'MASTER-2025'!A98))</f>
        <v>#VALUE!</v>
      </c>
      <c r="BH98" s="22" t="e">
        <f>IF(A98=0,0,SUMIFS([1]Population!F:F,[1]Population!A:A,'MASTER-2025'!A98))</f>
        <v>#VALUE!</v>
      </c>
      <c r="BI98" s="22" t="e">
        <f t="shared" si="35"/>
        <v>#VALUE!</v>
      </c>
      <c r="BJ98" s="23" t="e">
        <f t="shared" si="30"/>
        <v>#VALUE!</v>
      </c>
      <c r="BK98" s="22" t="e">
        <f>IF(A98=0,0,SUMIFS([1]Population!G:G,[1]Population!A:A,'MASTER-2025'!A98))</f>
        <v>#VALUE!</v>
      </c>
      <c r="BL98" s="24" cm="1">
        <f t="array" ref="BL98:BW98">IFERROR(VLOOKUP(A98,'[1]Now-OB-kg-POB-25'!A:AQ,{3,4,5,6,7,8,9,10,11,12,13,14},0),0)</f>
        <v>0</v>
      </c>
      <c r="BM98" s="24">
        <v>0</v>
      </c>
      <c r="BN98" s="24">
        <v>0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>
        <v>0</v>
      </c>
      <c r="BV98" s="24">
        <v>0</v>
      </c>
      <c r="BW98" s="24">
        <v>0</v>
      </c>
      <c r="BX98" s="24">
        <f t="shared" si="31"/>
        <v>0</v>
      </c>
      <c r="BY98" s="25" cm="1">
        <f t="array" ref="BY98:CJ98">IFERROR(VLOOKUP(A98,'[1]Now-OB-kg-POB-25'!A:AQ,{17,18,19,20,21,22,23,24,25,26,27,28},0),0)</f>
        <v>0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0</v>
      </c>
      <c r="CH98" s="25">
        <v>0</v>
      </c>
      <c r="CI98" s="25">
        <v>0</v>
      </c>
      <c r="CJ98" s="25">
        <v>0</v>
      </c>
      <c r="CK98" s="25">
        <f t="shared" si="32"/>
        <v>0</v>
      </c>
      <c r="CL98" s="26" cm="1">
        <f t="array" ref="CL98:CW98">IFERROR(VLOOKUP(A98,'[1]Now-OB-kg-POB-25'!A:AQ,{31,32,33,34,35,36,37,38,39,40,41,42},0),0)</f>
        <v>0</v>
      </c>
      <c r="CM98" s="26">
        <v>0</v>
      </c>
      <c r="CN98" s="26">
        <v>0</v>
      </c>
      <c r="CO98" s="26">
        <v>0</v>
      </c>
      <c r="CP98" s="26">
        <v>0</v>
      </c>
      <c r="CQ98" s="26">
        <v>0</v>
      </c>
      <c r="CR98" s="26">
        <v>0</v>
      </c>
      <c r="CS98" s="26">
        <v>0</v>
      </c>
      <c r="CT98" s="26">
        <v>0</v>
      </c>
      <c r="CU98" s="26">
        <v>0</v>
      </c>
      <c r="CV98" s="26">
        <v>0</v>
      </c>
      <c r="CW98" s="26">
        <v>0</v>
      </c>
      <c r="CX98" s="26">
        <f t="shared" si="33"/>
        <v>0</v>
      </c>
      <c r="CY98" s="14" t="str">
        <f>IF(A98=0,0,IFERROR(VLOOKUP(A98,'[1]Info Donantes'!C:F,2,0),"Sin Contacto"))</f>
        <v>Sin Contacto</v>
      </c>
      <c r="CZ98" s="14" t="str">
        <f>IF(A98=0,0,IFERROR(VLOOKUP(A98,'[1]Info Donantes'!C:F,3,0),"Sin Correo"))</f>
        <v>Sin Correo</v>
      </c>
      <c r="DA98" s="14" t="str">
        <f>IF(A98=0,0,IFERROR(VLOOKUP(A98,'[1]Info Donantes'!C:F,4,0),"Sin Telefono"))</f>
        <v>Sin Telefono</v>
      </c>
      <c r="DB98" s="14" t="str">
        <f>IF(A98=0,0,"Reporte de Trazabiidad"&amp;" - "&amp;'[1]Donor Summary'!$C$2&amp;" - "&amp;A98&amp;"")</f>
        <v>Reporte de Trazabiidad -  - MINERA PANAMA</v>
      </c>
    </row>
    <row r="99" spans="1:106" x14ac:dyDescent="0.55000000000000004">
      <c r="A99" s="14" t="s">
        <v>259</v>
      </c>
      <c r="B99" s="15">
        <f>INT(IFERROR(VLOOKUP(A99,'[1]Donor Summary'!C:F,3,0),0))</f>
        <v>0</v>
      </c>
      <c r="C99" s="15">
        <f>INT(ROUND(IFERROR(VLOOKUP(A99,'[1]Donor Summary'!C:F,4,0),0),1))</f>
        <v>0</v>
      </c>
      <c r="D99" s="16">
        <f t="shared" si="36"/>
        <v>0</v>
      </c>
      <c r="E99" s="17" t="str">
        <f t="shared" si="37"/>
        <v>0.00%</v>
      </c>
      <c r="F99" s="17" t="str">
        <f t="shared" si="38"/>
        <v>0.0%</v>
      </c>
      <c r="G99" s="15">
        <f t="shared" si="40"/>
        <v>0</v>
      </c>
      <c r="H99" s="18"/>
      <c r="I99" s="18">
        <f>IFERROR(VLOOKUP(A99,'[1]Lot All by Part'!T:Y,6,0),0)</f>
        <v>0</v>
      </c>
      <c r="J99" s="18"/>
      <c r="K99" s="19">
        <f>IFERROR(VLOOKUP($A99,'[1]Donor-Served OBs'!A:N,3,0),0)</f>
        <v>0</v>
      </c>
      <c r="L99" s="19">
        <f>ROUNDUP(IF(A99=0,0,IFERROR(VLOOKUP($A99,'[1]Donor''s Assigned Kilos'!A:O,3,0),0)),0)</f>
        <v>0</v>
      </c>
      <c r="M99" s="19">
        <f>IF(A99=0,0,IFERROR(SUMIFS([1]Population!M:M,[1]Population!J:J,'MASTER-2025'!A99),0))</f>
        <v>0</v>
      </c>
      <c r="N99" s="20">
        <f>IFERROR(VLOOKUP($A99,'[1]Donor-Served OBs'!A:N,4,0),0)</f>
        <v>0</v>
      </c>
      <c r="O99" s="20">
        <f>ROUNDUP(IF(A99=0,0,IFERROR(VLOOKUP($A99,'[1]Donor''s Assigned Kilos'!A:O,4,0),0)),0)</f>
        <v>0</v>
      </c>
      <c r="P99" s="20">
        <f>IF(A99=0,0,IFERROR(SUMIFS([1]Population!N:N,[1]Population!J:J,'MASTER-2025'!A99),0))</f>
        <v>0</v>
      </c>
      <c r="Q99" s="18">
        <f>IFERROR(VLOOKUP($A99,'[1]Donor-Served OBs'!A:N,2,0),0)</f>
        <v>0</v>
      </c>
      <c r="R99" s="18">
        <f>ROUNDUP(ROUND(IF(A99=0,0,IFERROR(VLOOKUP($A99,'[1]Donor''s Assigned Kilos'!A:O,9,0),0)),1),0)</f>
        <v>0</v>
      </c>
      <c r="S99" s="18">
        <f>IF(A99=0,0,IFERROR(SUMIFS([1]Population!S:S,[1]Population!J:J,'MASTER-2025'!A99),0))</f>
        <v>0</v>
      </c>
      <c r="T99" s="19">
        <f>IFERROR(VLOOKUP($A99,'[1]Donor-Served OBs'!A:N,12,0),0)</f>
        <v>0</v>
      </c>
      <c r="U99" s="19">
        <f>ROUNDUP(IF(A99=0,0,IF(A99=0,0,IFERROR(VLOOKUP($A99,'[1]Donor''s Assigned Kilos'!A:O,7,0),0))),0)</f>
        <v>0</v>
      </c>
      <c r="V99" s="19">
        <f>IF(A99=0,0,IFERROR(SUMIFS([1]Population!Q:Q,[1]Population!J:J,'MASTER-2025'!A99),0))</f>
        <v>0</v>
      </c>
      <c r="W99" s="20">
        <f>IFERROR(VLOOKUP($A99,'[1]Donor-Served OBs'!A:N,10,0),0)</f>
        <v>0</v>
      </c>
      <c r="X99" s="20">
        <f>ROUNDUP(IF(A99=0,0,IFERROR(VLOOKUP($A99,'[1]Donor''s Assigned Kilos'!A:N,5,0),0)),0)</f>
        <v>0</v>
      </c>
      <c r="Y99" s="20">
        <f>IF(A99=0,0,IFERROR(SUMIFS([1]Population!O:O,[1]Population!J:J,'MASTER-2025'!A99),0))</f>
        <v>0</v>
      </c>
      <c r="Z99" s="18">
        <f>IFERROR(VLOOKUP($A99,'[1]Donor-Served OBs'!A:N,6,0),0)</f>
        <v>0</v>
      </c>
      <c r="AA99" s="18">
        <f>ROUNDUP(IF(A99=0,0,IFERROR(VLOOKUP($A99,'[1]Donor''s Assigned Kilos'!A:N,11,0),0)),0)</f>
        <v>0</v>
      </c>
      <c r="AB99" s="18">
        <f>IF(A99=0,0,IFERROR(SUMIFS([1]Population!U:U,[1]Population!J:J,'MASTER-2025'!A99),0))</f>
        <v>0</v>
      </c>
      <c r="AC99" s="19">
        <f>IFERROR(VLOOKUP($A99,'[1]Donor-Served OBs'!A:N,7,0),0)</f>
        <v>0</v>
      </c>
      <c r="AD99" s="19">
        <f>ROUNDUP(IF(A99=0,0,IFERROR(VLOOKUP($A99,'[1]Donor''s Assigned Kilos'!A:N,8,0),0)),0)</f>
        <v>0</v>
      </c>
      <c r="AE99" s="19">
        <f>IF(A99=0,0,IFERROR(SUMIFS([1]Population!R:R,[1]Population!J:J,'MASTER-2025'!A99),0))</f>
        <v>0</v>
      </c>
      <c r="AF99" s="20">
        <f>IFERROR(VLOOKUP($A99,'[1]Donor-Served OBs'!A:N,8,0),0)</f>
        <v>0</v>
      </c>
      <c r="AG99" s="20">
        <f>ROUNDUP(IF(A99=0,0,IFERROR(VLOOKUP($A99,'[1]Donor''s Assigned Kilos'!A:N,6,0),0)),0)</f>
        <v>0</v>
      </c>
      <c r="AH99" s="20">
        <f>IF(A99=0,0,IFERROR(SUMIFS([1]Population!P:P,[1]Population!J:J,'MASTER-2025'!A99),0))</f>
        <v>0</v>
      </c>
      <c r="AI99" s="18">
        <f>IFERROR(VLOOKUP($A99,'[1]Donor-Served OBs'!A:N,9,0),0)</f>
        <v>0</v>
      </c>
      <c r="AJ99" s="18">
        <f>ROUNDUP(IF(A99=0,0,IFERROR(VLOOKUP($A99,'[1]Donor''s Assigned Kilos'!A:N,12,0),0)),0)</f>
        <v>0</v>
      </c>
      <c r="AK99" s="18">
        <f>IF(A99=0,0,IFERROR(SUMIFS([1]Population!V:V,[1]Population!J:J,'MASTER-2025'!A99),0))</f>
        <v>0</v>
      </c>
      <c r="AL99" s="19">
        <f>IFERROR(VLOOKUP($A99,'[1]Donor-Served OBs'!A:N,16,0),0)</f>
        <v>0</v>
      </c>
      <c r="AM99" s="19">
        <f>ROUNDUP(IF(A99=0,0,IFERROR(VLOOKUP($A99,'[1]Donor''s Assigned Kilos'!A:O,16,0),0)),0)</f>
        <v>0</v>
      </c>
      <c r="AN99" s="19">
        <f>IF(A99=0,0,IFERROR(SUMIFS([1]Population!Z:Z,[1]Population!J:J,'MASTER-2025'!A99),0))</f>
        <v>0</v>
      </c>
      <c r="AO99" s="20">
        <f>IFERROR(VLOOKUP($A99,'[1]Donor-Served OBs'!A:N,11,0),0)</f>
        <v>0</v>
      </c>
      <c r="AP99" s="20">
        <f>ROUNDUP(IF(A99=0,0,IFERROR(VLOOKUP($A99,'[1]Donor''s Assigned Kilos'!A:N,13,0),0)),0)</f>
        <v>0</v>
      </c>
      <c r="AQ99" s="20">
        <f>IF(A99=0,0,IFERROR(SUMIFS([1]Population!W:W,[1]Population!J:J,'MASTER-2025'!A99),0))</f>
        <v>0</v>
      </c>
      <c r="AR99" s="18">
        <f>IFERROR(VLOOKUP($A99,'[1]Donor-Served OBs'!A:N,5,0),0)</f>
        <v>0</v>
      </c>
      <c r="AS99" s="18">
        <f>ROUNDUP(IF(A99=0,0,IFERROR(VLOOKUP($A99,'[1]Donor''s Assigned Kilos'!A:N,10,0),0)),0)</f>
        <v>0</v>
      </c>
      <c r="AT99" s="18">
        <f>IF(A99=0,0,IFERROR(SUMIFS([1]Population!T:T,[1]Population!J:J,'MASTER-2025'!A99),0))</f>
        <v>0</v>
      </c>
      <c r="AU99" s="19">
        <f>IFERROR(VLOOKUP($A99,'[1]Donor-Served OBs'!A:N,13,0),0)</f>
        <v>0</v>
      </c>
      <c r="AV99" s="19">
        <f>ROUNDUP(IF(A99=0,0,IFERROR(VLOOKUP($A99,'[1]Donor''s Assigned Kilos'!A:N,14,0),0)),0)</f>
        <v>0</v>
      </c>
      <c r="AW99" s="19">
        <f>IF(A99=0,0,IFERROR(SUMIFS([1]Population!X:X,[1]Population!J:J,'MASTER-2025'!A99),0))</f>
        <v>0</v>
      </c>
      <c r="AX99" s="20">
        <f>IFERROR(VLOOKUP($A99,'[1]Donor-Served OBs'!A:N,16,0),0)</f>
        <v>0</v>
      </c>
      <c r="AY99" s="20">
        <f>ROUNDUP(IF(A99=0,0,IFERROR(VLOOKUP($A99,'[1]Donor''s Assigned Kilos'!A:O,16,0),0)),0)</f>
        <v>0</v>
      </c>
      <c r="AZ99" s="20">
        <f>IF(A99=0,0,IFERROR(SUMIFS([1]Population!Y:Y,[1]Population!J:J,'MASTER-2025'!A99),0))</f>
        <v>0</v>
      </c>
      <c r="BA99" s="21">
        <f t="shared" si="34"/>
        <v>0</v>
      </c>
      <c r="BB99" s="21">
        <f t="shared" si="29"/>
        <v>0</v>
      </c>
      <c r="BC99" s="21">
        <f t="shared" si="39"/>
        <v>0</v>
      </c>
      <c r="BD99" s="21">
        <f t="shared" si="41"/>
        <v>0</v>
      </c>
      <c r="BE99" s="22" t="e">
        <f>IF(A99=0,0,SUMIFS([1]Population!C:C,[1]Population!A:A,'MASTER-2025'!A99))</f>
        <v>#VALUE!</v>
      </c>
      <c r="BF99" s="22" t="e">
        <f>IF(A99=0,0,SUMIFS([1]Population!D:D,[1]Population!A:A,'MASTER-2025'!A99))</f>
        <v>#VALUE!</v>
      </c>
      <c r="BG99" s="22" t="e">
        <f>IF(A99=0,0,SUMIFS([1]Population!E:E,[1]Population!A:A,'MASTER-2025'!A99))</f>
        <v>#VALUE!</v>
      </c>
      <c r="BH99" s="22" t="e">
        <f>IF(A99=0,0,SUMIFS([1]Population!F:F,[1]Population!A:A,'MASTER-2025'!A99))</f>
        <v>#VALUE!</v>
      </c>
      <c r="BI99" s="22" t="e">
        <f t="shared" si="35"/>
        <v>#VALUE!</v>
      </c>
      <c r="BJ99" s="23" t="e">
        <f t="shared" si="30"/>
        <v>#VALUE!</v>
      </c>
      <c r="BK99" s="22" t="e">
        <f>IF(A99=0,0,SUMIFS([1]Population!G:G,[1]Population!A:A,'MASTER-2025'!A99))</f>
        <v>#VALUE!</v>
      </c>
      <c r="BL99" s="24" cm="1">
        <f t="array" ref="BL99:BW99">IFERROR(VLOOKUP(A99,'[1]Now-OB-kg-POB-25'!A:AQ,{3,4,5,6,7,8,9,10,11,12,13,14},0),0)</f>
        <v>0</v>
      </c>
      <c r="BM99" s="24">
        <v>0</v>
      </c>
      <c r="BN99" s="24">
        <v>0</v>
      </c>
      <c r="BO99" s="24">
        <v>0</v>
      </c>
      <c r="BP99" s="24">
        <v>0</v>
      </c>
      <c r="BQ99" s="24">
        <v>0</v>
      </c>
      <c r="BR99" s="24">
        <v>0</v>
      </c>
      <c r="BS99" s="24">
        <v>0</v>
      </c>
      <c r="BT99" s="24">
        <v>0</v>
      </c>
      <c r="BU99" s="24">
        <v>0</v>
      </c>
      <c r="BV99" s="24">
        <v>0</v>
      </c>
      <c r="BW99" s="24">
        <v>0</v>
      </c>
      <c r="BX99" s="24">
        <f t="shared" si="31"/>
        <v>0</v>
      </c>
      <c r="BY99" s="25" cm="1">
        <f t="array" ref="BY99:CJ99">IFERROR(VLOOKUP(A99,'[1]Now-OB-kg-POB-25'!A:AQ,{17,18,19,20,21,22,23,24,25,26,27,28},0),0)</f>
        <v>0</v>
      </c>
      <c r="BZ99" s="25">
        <v>1497</v>
      </c>
      <c r="CA99" s="25">
        <v>0</v>
      </c>
      <c r="CB99" s="25">
        <v>0</v>
      </c>
      <c r="CC99" s="25">
        <v>0</v>
      </c>
      <c r="CD99" s="25">
        <v>0</v>
      </c>
      <c r="CE99" s="25">
        <v>0</v>
      </c>
      <c r="CF99" s="25">
        <v>0</v>
      </c>
      <c r="CG99" s="25">
        <v>0</v>
      </c>
      <c r="CH99" s="25">
        <v>0</v>
      </c>
      <c r="CI99" s="25">
        <v>0</v>
      </c>
      <c r="CJ99" s="25">
        <v>0</v>
      </c>
      <c r="CK99" s="25">
        <f t="shared" si="32"/>
        <v>1497</v>
      </c>
      <c r="CL99" s="26" cm="1">
        <f t="array" ref="CL99:CW99">IFERROR(VLOOKUP(A99,'[1]Now-OB-kg-POB-25'!A:AQ,{31,32,33,34,35,36,37,38,39,40,41,42},0),0)</f>
        <v>0</v>
      </c>
      <c r="CM99" s="26">
        <v>0</v>
      </c>
      <c r="CN99" s="26">
        <v>0</v>
      </c>
      <c r="CO99" s="26">
        <v>0</v>
      </c>
      <c r="CP99" s="26">
        <v>0</v>
      </c>
      <c r="CQ99" s="26">
        <v>0</v>
      </c>
      <c r="CR99" s="26">
        <v>0</v>
      </c>
      <c r="CS99" s="26">
        <v>0</v>
      </c>
      <c r="CT99" s="26">
        <v>0</v>
      </c>
      <c r="CU99" s="26">
        <v>0</v>
      </c>
      <c r="CV99" s="26">
        <v>0</v>
      </c>
      <c r="CW99" s="26">
        <v>0</v>
      </c>
      <c r="CX99" s="26">
        <f t="shared" si="33"/>
        <v>0</v>
      </c>
      <c r="CY99" s="14" t="str">
        <f>IF(A99=0,0,IFERROR(VLOOKUP(A99,'[1]Info Donantes'!C:F,2,0),"Sin Contacto"))</f>
        <v>CARLOS GOMEZ</v>
      </c>
      <c r="CZ99" s="14" t="str">
        <f>IF(A99=0,0,IFERROR(VLOOKUP(A99,'[1]Info Donantes'!C:F,3,0),"Sin Correo"))</f>
        <v>ventas@ecsabox.com</v>
      </c>
      <c r="DA99" s="14" t="str">
        <f>IF(A99=0,0,IFERROR(VLOOKUP(A99,'[1]Info Donantes'!C:F,4,0),"Sin Telefono"))</f>
        <v>2043500</v>
      </c>
      <c r="DB99" s="14" t="str">
        <f>IF(A99=0,0,"Reporte de Trazabiidad"&amp;" - "&amp;'[1]Donor Summary'!$C$2&amp;" - "&amp;A99&amp;"")</f>
        <v>Reporte de Trazabiidad -  - EMPAQUES DE COLON S.A.</v>
      </c>
    </row>
    <row r="100" spans="1:106" x14ac:dyDescent="0.55000000000000004">
      <c r="A100" s="14" t="s">
        <v>260</v>
      </c>
      <c r="B100" s="15">
        <f>INT(IFERROR(VLOOKUP(A100,'[1]Donor Summary'!C:F,3,0),0))</f>
        <v>0</v>
      </c>
      <c r="C100" s="15">
        <f>INT(ROUND(IFERROR(VLOOKUP(A100,'[1]Donor Summary'!C:F,4,0),0),1))</f>
        <v>1274</v>
      </c>
      <c r="D100" s="16">
        <f t="shared" si="36"/>
        <v>1274</v>
      </c>
      <c r="E100" s="17" t="str">
        <f t="shared" si="37"/>
        <v>100.00%</v>
      </c>
      <c r="F100" s="17" t="str">
        <f t="shared" si="38"/>
        <v>0.0%</v>
      </c>
      <c r="G100" s="15">
        <f t="shared" si="40"/>
        <v>3822</v>
      </c>
      <c r="H100" s="18"/>
      <c r="I100" s="18">
        <f>IFERROR(VLOOKUP(A100,'[1]Lot All by Part'!T:Y,6,0),0)</f>
        <v>0</v>
      </c>
      <c r="J100" s="18"/>
      <c r="K100" s="19">
        <f>IFERROR(VLOOKUP($A100,'[1]Donor-Served OBs'!A:N,3,0),0)</f>
        <v>11</v>
      </c>
      <c r="L100" s="19">
        <f>ROUNDUP(IF(A100=0,0,IFERROR(VLOOKUP($A100,'[1]Donor''s Assigned Kilos'!A:O,3,0),0)),0)</f>
        <v>96</v>
      </c>
      <c r="M100" s="19">
        <f>IF(A100=0,0,IFERROR(SUMIFS([1]Population!M:M,[1]Population!J:J,'MASTER-2025'!A100),0))</f>
        <v>0</v>
      </c>
      <c r="N100" s="20">
        <f>IFERROR(VLOOKUP($A100,'[1]Donor-Served OBs'!A:N,4,0),0)</f>
        <v>27</v>
      </c>
      <c r="O100" s="20">
        <f>ROUNDUP(IF(A100=0,0,IFERROR(VLOOKUP($A100,'[1]Donor''s Assigned Kilos'!A:O,4,0),0)),0)</f>
        <v>170</v>
      </c>
      <c r="P100" s="20">
        <f>IF(A100=0,0,IFERROR(SUMIFS([1]Population!N:N,[1]Population!J:J,'MASTER-2025'!A100),0))</f>
        <v>0</v>
      </c>
      <c r="Q100" s="18">
        <f>IFERROR(VLOOKUP($A100,'[1]Donor-Served OBs'!A:N,2,0),0)</f>
        <v>4</v>
      </c>
      <c r="R100" s="18">
        <f>ROUNDUP(ROUND(IF(A100=0,0,IFERROR(VLOOKUP($A100,'[1]Donor''s Assigned Kilos'!A:O,9,0),0)),1),0)</f>
        <v>14</v>
      </c>
      <c r="S100" s="18">
        <f>IF(A100=0,0,IFERROR(SUMIFS([1]Population!S:S,[1]Population!J:J,'MASTER-2025'!A100),0))</f>
        <v>0</v>
      </c>
      <c r="T100" s="19">
        <f>IFERROR(VLOOKUP($A100,'[1]Donor-Served OBs'!A:N,12,0),0)</f>
        <v>3</v>
      </c>
      <c r="U100" s="19">
        <f>ROUNDUP(IF(A100=0,0,IF(A100=0,0,IFERROR(VLOOKUP($A100,'[1]Donor''s Assigned Kilos'!A:O,7,0),0))),0)</f>
        <v>12</v>
      </c>
      <c r="V100" s="19">
        <f>IF(A100=0,0,IFERROR(SUMIFS([1]Population!Q:Q,[1]Population!J:J,'MASTER-2025'!A100),0))</f>
        <v>0</v>
      </c>
      <c r="W100" s="20">
        <f>IFERROR(VLOOKUP($A100,'[1]Donor-Served OBs'!A:N,10,0),0)</f>
        <v>9</v>
      </c>
      <c r="X100" s="20">
        <f>ROUNDUP(IF(A100=0,0,IFERROR(VLOOKUP($A100,'[1]Donor''s Assigned Kilos'!A:N,5,0),0)),0)</f>
        <v>48</v>
      </c>
      <c r="Y100" s="20">
        <f>IF(A100=0,0,IFERROR(SUMIFS([1]Population!O:O,[1]Population!J:J,'MASTER-2025'!A100),0))</f>
        <v>0</v>
      </c>
      <c r="Z100" s="18">
        <f>IFERROR(VLOOKUP($A100,'[1]Donor-Served OBs'!A:N,6,0),0)</f>
        <v>1</v>
      </c>
      <c r="AA100" s="18">
        <f>ROUNDUP(IF(A100=0,0,IFERROR(VLOOKUP($A100,'[1]Donor''s Assigned Kilos'!A:N,11,0),0)),0)</f>
        <v>74</v>
      </c>
      <c r="AB100" s="18">
        <f>IF(A100=0,0,IFERROR(SUMIFS([1]Population!U:U,[1]Population!J:J,'MASTER-2025'!A100),0))</f>
        <v>0</v>
      </c>
      <c r="AC100" s="19">
        <f>IFERROR(VLOOKUP($A100,'[1]Donor-Served OBs'!A:N,7,0),0)</f>
        <v>2</v>
      </c>
      <c r="AD100" s="19">
        <f>ROUNDUP(IF(A100=0,0,IFERROR(VLOOKUP($A100,'[1]Donor''s Assigned Kilos'!A:N,8,0),0)),0)</f>
        <v>86</v>
      </c>
      <c r="AE100" s="19">
        <f>IF(A100=0,0,IFERROR(SUMIFS([1]Population!R:R,[1]Population!J:J,'MASTER-2025'!A100),0))</f>
        <v>0</v>
      </c>
      <c r="AF100" s="20">
        <f>IFERROR(VLOOKUP($A100,'[1]Donor-Served OBs'!A:N,8,0),0)</f>
        <v>1</v>
      </c>
      <c r="AG100" s="20">
        <f>ROUNDUP(IF(A100=0,0,IFERROR(VLOOKUP($A100,'[1]Donor''s Assigned Kilos'!A:N,6,0),0)),0)</f>
        <v>5</v>
      </c>
      <c r="AH100" s="20">
        <f>IF(A100=0,0,IFERROR(SUMIFS([1]Population!P:P,[1]Population!J:J,'MASTER-2025'!A100),0))</f>
        <v>0</v>
      </c>
      <c r="AI100" s="18">
        <f>IFERROR(VLOOKUP($A100,'[1]Donor-Served OBs'!A:N,9,0),0)</f>
        <v>1</v>
      </c>
      <c r="AJ100" s="18">
        <f>ROUNDUP(IF(A100=0,0,IFERROR(VLOOKUP($A100,'[1]Donor''s Assigned Kilos'!A:N,12,0),0)),0)</f>
        <v>17</v>
      </c>
      <c r="AK100" s="18">
        <f>IF(A100=0,0,IFERROR(SUMIFS([1]Population!V:V,[1]Population!J:J,'MASTER-2025'!A100),0))</f>
        <v>0</v>
      </c>
      <c r="AL100" s="19">
        <f>IFERROR(VLOOKUP($A100,'[1]Donor-Served OBs'!A:N,16,0),0)</f>
        <v>0</v>
      </c>
      <c r="AM100" s="19">
        <f>ROUNDUP(IF(A100=0,0,IFERROR(VLOOKUP($A100,'[1]Donor''s Assigned Kilos'!A:O,16,0),0)),0)</f>
        <v>0</v>
      </c>
      <c r="AN100" s="19">
        <f>IF(A100=0,0,IFERROR(SUMIFS([1]Population!Z:Z,[1]Population!J:J,'MASTER-2025'!A100),0))</f>
        <v>0</v>
      </c>
      <c r="AO100" s="20">
        <f>IFERROR(VLOOKUP($A100,'[1]Donor-Served OBs'!A:N,11,0),0)</f>
        <v>1</v>
      </c>
      <c r="AP100" s="20">
        <f>ROUNDUP(IF(A100=0,0,IFERROR(VLOOKUP($A100,'[1]Donor''s Assigned Kilos'!A:N,13,0),0)),0)</f>
        <v>15</v>
      </c>
      <c r="AQ100" s="20">
        <f>IF(A100=0,0,IFERROR(SUMIFS([1]Population!W:W,[1]Population!J:J,'MASTER-2025'!A100),0))</f>
        <v>0</v>
      </c>
      <c r="AR100" s="18">
        <f>IFERROR(VLOOKUP($A100,'[1]Donor-Served OBs'!A:N,5,0),0)</f>
        <v>5</v>
      </c>
      <c r="AS100" s="18">
        <f>ROUNDUP(IF(A100=0,0,IFERROR(VLOOKUP($A100,'[1]Donor''s Assigned Kilos'!A:N,10,0),0)),0)</f>
        <v>74</v>
      </c>
      <c r="AT100" s="18">
        <f>IF(A100=0,0,IFERROR(SUMIFS([1]Population!T:T,[1]Population!J:J,'MASTER-2025'!A100),0))</f>
        <v>0</v>
      </c>
      <c r="AU100" s="19">
        <f>IFERROR(VLOOKUP($A100,'[1]Donor-Served OBs'!A:N,13,0),0)</f>
        <v>0</v>
      </c>
      <c r="AV100" s="19">
        <f>ROUNDUP(IF(A100=0,0,IFERROR(VLOOKUP($A100,'[1]Donor''s Assigned Kilos'!A:N,14,0),0)),0)</f>
        <v>0</v>
      </c>
      <c r="AW100" s="19">
        <f>IF(A100=0,0,IFERROR(SUMIFS([1]Population!X:X,[1]Population!J:J,'MASTER-2025'!A100),0))</f>
        <v>0</v>
      </c>
      <c r="AX100" s="20">
        <f>IFERROR(VLOOKUP($A100,'[1]Donor-Served OBs'!A:N,16,0),0)</f>
        <v>0</v>
      </c>
      <c r="AY100" s="20">
        <f>ROUNDUP(IF(A100=0,0,IFERROR(VLOOKUP($A100,'[1]Donor''s Assigned Kilos'!A:O,16,0),0)),0)</f>
        <v>0</v>
      </c>
      <c r="AZ100" s="20">
        <f>IF(A100=0,0,IFERROR(SUMIFS([1]Population!Y:Y,[1]Population!J:J,'MASTER-2025'!A100),0))</f>
        <v>0</v>
      </c>
      <c r="BA100" s="21">
        <f t="shared" si="34"/>
        <v>65</v>
      </c>
      <c r="BB100" s="21">
        <f t="shared" si="29"/>
        <v>611</v>
      </c>
      <c r="BC100" s="21">
        <f t="shared" si="39"/>
        <v>292</v>
      </c>
      <c r="BD100" s="21">
        <f t="shared" si="41"/>
        <v>0</v>
      </c>
      <c r="BE100" s="22" t="e">
        <f>IF(A100=0,0,SUMIFS([1]Population!C:C,[1]Population!A:A,'MASTER-2025'!A100))</f>
        <v>#VALUE!</v>
      </c>
      <c r="BF100" s="22" t="e">
        <f>IF(A100=0,0,SUMIFS([1]Population!D:D,[1]Population!A:A,'MASTER-2025'!A100))</f>
        <v>#VALUE!</v>
      </c>
      <c r="BG100" s="22" t="e">
        <f>IF(A100=0,0,SUMIFS([1]Population!E:E,[1]Population!A:A,'MASTER-2025'!A100))</f>
        <v>#VALUE!</v>
      </c>
      <c r="BH100" s="22" t="e">
        <f>IF(A100=0,0,SUMIFS([1]Population!F:F,[1]Population!A:A,'MASTER-2025'!A100))</f>
        <v>#VALUE!</v>
      </c>
      <c r="BI100" s="22" t="e">
        <f t="shared" si="35"/>
        <v>#VALUE!</v>
      </c>
      <c r="BJ100" s="23" t="e">
        <f t="shared" si="30"/>
        <v>#VALUE!</v>
      </c>
      <c r="BK100" s="22" t="e">
        <f>IF(A100=0,0,SUMIFS([1]Population!G:G,[1]Population!A:A,'MASTER-2025'!A100))</f>
        <v>#VALUE!</v>
      </c>
      <c r="BL100" s="24" cm="1">
        <f t="array" ref="BL100:BW100">IFERROR(VLOOKUP(A100,'[1]Now-OB-kg-POB-25'!A:AQ,{3,4,5,6,7,8,9,10,11,12,13,14},0),0)</f>
        <v>0</v>
      </c>
      <c r="BM100" s="24">
        <v>39</v>
      </c>
      <c r="BN100" s="24">
        <v>65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24">
        <v>0</v>
      </c>
      <c r="BU100" s="24">
        <v>0</v>
      </c>
      <c r="BV100" s="24">
        <v>0</v>
      </c>
      <c r="BW100" s="24">
        <v>0</v>
      </c>
      <c r="BX100" s="24">
        <f t="shared" si="31"/>
        <v>104</v>
      </c>
      <c r="BY100" s="25" cm="1">
        <f t="array" ref="BY100:CJ100">IFERROR(VLOOKUP(A100,'[1]Now-OB-kg-POB-25'!A:AQ,{17,18,19,20,21,22,23,24,25,26,27,28},0),0)</f>
        <v>214</v>
      </c>
      <c r="BZ100" s="25">
        <v>341</v>
      </c>
      <c r="CA100" s="25">
        <v>1274</v>
      </c>
      <c r="CB100" s="25">
        <v>0</v>
      </c>
      <c r="CC100" s="25">
        <v>0</v>
      </c>
      <c r="CD100" s="25">
        <v>0</v>
      </c>
      <c r="CE100" s="25">
        <v>0</v>
      </c>
      <c r="CF100" s="25">
        <v>0</v>
      </c>
      <c r="CG100" s="25">
        <v>0</v>
      </c>
      <c r="CH100" s="25">
        <v>0</v>
      </c>
      <c r="CI100" s="25">
        <v>0</v>
      </c>
      <c r="CJ100" s="25">
        <v>0</v>
      </c>
      <c r="CK100" s="25">
        <f t="shared" si="32"/>
        <v>1829</v>
      </c>
      <c r="CL100" s="26" cm="1">
        <f t="array" ref="CL100:CW100">IFERROR(VLOOKUP(A100,'[1]Now-OB-kg-POB-25'!A:AQ,{31,32,33,34,35,36,37,38,39,40,41,42},0),0)</f>
        <v>0</v>
      </c>
      <c r="CM100" s="26">
        <v>8100</v>
      </c>
      <c r="CN100" s="26">
        <v>19347</v>
      </c>
      <c r="CO100" s="26">
        <v>0</v>
      </c>
      <c r="CP100" s="26">
        <v>0</v>
      </c>
      <c r="CQ100" s="26">
        <v>0</v>
      </c>
      <c r="CR100" s="26">
        <v>0</v>
      </c>
      <c r="CS100" s="26">
        <v>0</v>
      </c>
      <c r="CT100" s="26">
        <v>0</v>
      </c>
      <c r="CU100" s="26">
        <v>0</v>
      </c>
      <c r="CV100" s="26">
        <v>0</v>
      </c>
      <c r="CW100" s="26">
        <v>0</v>
      </c>
      <c r="CX100" s="26">
        <f t="shared" si="33"/>
        <v>27447</v>
      </c>
      <c r="CY100" s="14" t="str">
        <f>IF(A100=0,0,IFERROR(VLOOKUP(A100,'[1]Info Donantes'!C:F,2,0),"Sin Contacto"))</f>
        <v>Sin Contacto</v>
      </c>
      <c r="CZ100" s="14" t="str">
        <f>IF(A100=0,0,IFERROR(VLOOKUP(A100,'[1]Info Donantes'!C:F,3,0),"Sin Correo"))</f>
        <v>Sin Correo</v>
      </c>
      <c r="DA100" s="14" t="str">
        <f>IF(A100=0,0,IFERROR(VLOOKUP(A100,'[1]Info Donantes'!C:F,4,0),"Sin Telefono"))</f>
        <v>Sin Telefono</v>
      </c>
      <c r="DB100" s="14" t="str">
        <f>IF(A100=0,0,"Reporte de Trazabiidad"&amp;" - "&amp;'[1]Donor Summary'!$C$2&amp;" - "&amp;A100&amp;"")</f>
        <v>Reporte de Trazabiidad -  - H. TZANETATO INC</v>
      </c>
    </row>
    <row r="101" spans="1:106" x14ac:dyDescent="0.55000000000000004">
      <c r="A101" s="14" t="s">
        <v>261</v>
      </c>
      <c r="B101" s="15">
        <f>INT(IFERROR(VLOOKUP(A101,'[1]Donor Summary'!C:F,3,0),0))</f>
        <v>0</v>
      </c>
      <c r="C101" s="15">
        <f>INT(ROUND(IFERROR(VLOOKUP(A101,'[1]Donor Summary'!C:F,4,0),0),1))</f>
        <v>0</v>
      </c>
      <c r="D101" s="16">
        <f t="shared" si="36"/>
        <v>0</v>
      </c>
      <c r="E101" s="17" t="str">
        <f t="shared" si="37"/>
        <v>0.00%</v>
      </c>
      <c r="F101" s="17" t="str">
        <f t="shared" si="38"/>
        <v>0.0%</v>
      </c>
      <c r="G101" s="15">
        <f t="shared" si="40"/>
        <v>0</v>
      </c>
      <c r="H101" s="18"/>
      <c r="I101" s="18">
        <f>IFERROR(VLOOKUP(A101,'[1]Lot All by Part'!T:Y,6,0),0)</f>
        <v>0</v>
      </c>
      <c r="J101" s="18"/>
      <c r="K101" s="19">
        <f>IFERROR(VLOOKUP($A101,'[1]Donor-Served OBs'!A:N,3,0),0)</f>
        <v>0</v>
      </c>
      <c r="L101" s="19">
        <f>ROUNDUP(IF(A101=0,0,IFERROR(VLOOKUP($A101,'[1]Donor''s Assigned Kilos'!A:O,3,0),0)),0)</f>
        <v>0</v>
      </c>
      <c r="M101" s="19">
        <f>IF(A101=0,0,IFERROR(SUMIFS([1]Population!M:M,[1]Population!J:J,'MASTER-2025'!A101),0))</f>
        <v>0</v>
      </c>
      <c r="N101" s="20">
        <f>IFERROR(VLOOKUP($A101,'[1]Donor-Served OBs'!A:N,4,0),0)</f>
        <v>0</v>
      </c>
      <c r="O101" s="20">
        <f>ROUNDUP(IF(A101=0,0,IFERROR(VLOOKUP($A101,'[1]Donor''s Assigned Kilos'!A:O,4,0),0)),0)</f>
        <v>0</v>
      </c>
      <c r="P101" s="20">
        <f>IF(A101=0,0,IFERROR(SUMIFS([1]Population!N:N,[1]Population!J:J,'MASTER-2025'!A101),0))</f>
        <v>0</v>
      </c>
      <c r="Q101" s="18">
        <f>IFERROR(VLOOKUP($A101,'[1]Donor-Served OBs'!A:N,2,0),0)</f>
        <v>0</v>
      </c>
      <c r="R101" s="18">
        <f>ROUNDUP(ROUND(IF(A101=0,0,IFERROR(VLOOKUP($A101,'[1]Donor''s Assigned Kilos'!A:O,9,0),0)),1),0)</f>
        <v>0</v>
      </c>
      <c r="S101" s="18">
        <f>IF(A101=0,0,IFERROR(SUMIFS([1]Population!S:S,[1]Population!J:J,'MASTER-2025'!A101),0))</f>
        <v>0</v>
      </c>
      <c r="T101" s="19">
        <f>IFERROR(VLOOKUP($A101,'[1]Donor-Served OBs'!A:N,12,0),0)</f>
        <v>0</v>
      </c>
      <c r="U101" s="19">
        <f>ROUNDUP(IF(A101=0,0,IF(A101=0,0,IFERROR(VLOOKUP($A101,'[1]Donor''s Assigned Kilos'!A:O,7,0),0))),0)</f>
        <v>0</v>
      </c>
      <c r="V101" s="19">
        <f>IF(A101=0,0,IFERROR(SUMIFS([1]Population!Q:Q,[1]Population!J:J,'MASTER-2025'!A101),0))</f>
        <v>0</v>
      </c>
      <c r="W101" s="20">
        <f>IFERROR(VLOOKUP($A101,'[1]Donor-Served OBs'!A:N,10,0),0)</f>
        <v>0</v>
      </c>
      <c r="X101" s="20">
        <f>ROUNDUP(IF(A101=0,0,IFERROR(VLOOKUP($A101,'[1]Donor''s Assigned Kilos'!A:N,5,0),0)),0)</f>
        <v>0</v>
      </c>
      <c r="Y101" s="20">
        <f>IF(A101=0,0,IFERROR(SUMIFS([1]Population!O:O,[1]Population!J:J,'MASTER-2025'!A101),0))</f>
        <v>0</v>
      </c>
      <c r="Z101" s="18">
        <f>IFERROR(VLOOKUP($A101,'[1]Donor-Served OBs'!A:N,6,0),0)</f>
        <v>0</v>
      </c>
      <c r="AA101" s="18">
        <f>ROUNDUP(IF(A101=0,0,IFERROR(VLOOKUP($A101,'[1]Donor''s Assigned Kilos'!A:N,11,0),0)),0)</f>
        <v>0</v>
      </c>
      <c r="AB101" s="18">
        <f>IF(A101=0,0,IFERROR(SUMIFS([1]Population!U:U,[1]Population!J:J,'MASTER-2025'!A101),0))</f>
        <v>0</v>
      </c>
      <c r="AC101" s="19">
        <f>IFERROR(VLOOKUP($A101,'[1]Donor-Served OBs'!A:N,7,0),0)</f>
        <v>0</v>
      </c>
      <c r="AD101" s="19">
        <f>ROUNDUP(IF(A101=0,0,IFERROR(VLOOKUP($A101,'[1]Donor''s Assigned Kilos'!A:N,8,0),0)),0)</f>
        <v>0</v>
      </c>
      <c r="AE101" s="19">
        <f>IF(A101=0,0,IFERROR(SUMIFS([1]Population!R:R,[1]Population!J:J,'MASTER-2025'!A101),0))</f>
        <v>0</v>
      </c>
      <c r="AF101" s="20">
        <f>IFERROR(VLOOKUP($A101,'[1]Donor-Served OBs'!A:N,8,0),0)</f>
        <v>0</v>
      </c>
      <c r="AG101" s="20">
        <f>ROUNDUP(IF(A101=0,0,IFERROR(VLOOKUP($A101,'[1]Donor''s Assigned Kilos'!A:N,6,0),0)),0)</f>
        <v>0</v>
      </c>
      <c r="AH101" s="20">
        <f>IF(A101=0,0,IFERROR(SUMIFS([1]Population!P:P,[1]Population!J:J,'MASTER-2025'!A101),0))</f>
        <v>0</v>
      </c>
      <c r="AI101" s="18">
        <f>IFERROR(VLOOKUP($A101,'[1]Donor-Served OBs'!A:N,9,0),0)</f>
        <v>0</v>
      </c>
      <c r="AJ101" s="18">
        <f>ROUNDUP(IF(A101=0,0,IFERROR(VLOOKUP($A101,'[1]Donor''s Assigned Kilos'!A:N,12,0),0)),0)</f>
        <v>0</v>
      </c>
      <c r="AK101" s="18">
        <f>IF(A101=0,0,IFERROR(SUMIFS([1]Population!V:V,[1]Population!J:J,'MASTER-2025'!A101),0))</f>
        <v>0</v>
      </c>
      <c r="AL101" s="19">
        <f>IFERROR(VLOOKUP($A101,'[1]Donor-Served OBs'!A:N,16,0),0)</f>
        <v>0</v>
      </c>
      <c r="AM101" s="19">
        <f>ROUNDUP(IF(A101=0,0,IFERROR(VLOOKUP($A101,'[1]Donor''s Assigned Kilos'!A:O,16,0),0)),0)</f>
        <v>0</v>
      </c>
      <c r="AN101" s="19">
        <f>IF(A101=0,0,IFERROR(SUMIFS([1]Population!Z:Z,[1]Population!J:J,'MASTER-2025'!A101),0))</f>
        <v>0</v>
      </c>
      <c r="AO101" s="20">
        <f>IFERROR(VLOOKUP($A101,'[1]Donor-Served OBs'!A:N,11,0),0)</f>
        <v>0</v>
      </c>
      <c r="AP101" s="20">
        <f>ROUNDUP(IF(A101=0,0,IFERROR(VLOOKUP($A101,'[1]Donor''s Assigned Kilos'!A:N,13,0),0)),0)</f>
        <v>0</v>
      </c>
      <c r="AQ101" s="20">
        <f>IF(A101=0,0,IFERROR(SUMIFS([1]Population!W:W,[1]Population!J:J,'MASTER-2025'!A101),0))</f>
        <v>0</v>
      </c>
      <c r="AR101" s="18">
        <f>IFERROR(VLOOKUP($A101,'[1]Donor-Served OBs'!A:N,5,0),0)</f>
        <v>0</v>
      </c>
      <c r="AS101" s="18">
        <f>ROUNDUP(IF(A101=0,0,IFERROR(VLOOKUP($A101,'[1]Donor''s Assigned Kilos'!A:N,10,0),0)),0)</f>
        <v>0</v>
      </c>
      <c r="AT101" s="18">
        <f>IF(A101=0,0,IFERROR(SUMIFS([1]Population!T:T,[1]Population!J:J,'MASTER-2025'!A101),0))</f>
        <v>0</v>
      </c>
      <c r="AU101" s="19">
        <f>IFERROR(VLOOKUP($A101,'[1]Donor-Served OBs'!A:N,13,0),0)</f>
        <v>0</v>
      </c>
      <c r="AV101" s="19">
        <f>ROUNDUP(IF(A101=0,0,IFERROR(VLOOKUP($A101,'[1]Donor''s Assigned Kilos'!A:N,14,0),0)),0)</f>
        <v>0</v>
      </c>
      <c r="AW101" s="19">
        <f>IF(A101=0,0,IFERROR(SUMIFS([1]Population!X:X,[1]Population!J:J,'MASTER-2025'!A101),0))</f>
        <v>0</v>
      </c>
      <c r="AX101" s="20">
        <f>IFERROR(VLOOKUP($A101,'[1]Donor-Served OBs'!A:N,16,0),0)</f>
        <v>0</v>
      </c>
      <c r="AY101" s="20">
        <f>ROUNDUP(IF(A101=0,0,IFERROR(VLOOKUP($A101,'[1]Donor''s Assigned Kilos'!A:O,16,0),0)),0)</f>
        <v>0</v>
      </c>
      <c r="AZ101" s="20">
        <f>IF(A101=0,0,IFERROR(SUMIFS([1]Population!Y:Y,[1]Population!J:J,'MASTER-2025'!A101),0))</f>
        <v>0</v>
      </c>
      <c r="BA101" s="21">
        <f t="shared" si="34"/>
        <v>0</v>
      </c>
      <c r="BB101" s="21">
        <f t="shared" si="29"/>
        <v>0</v>
      </c>
      <c r="BC101" s="21">
        <f t="shared" si="39"/>
        <v>0</v>
      </c>
      <c r="BD101" s="21">
        <f t="shared" si="41"/>
        <v>0</v>
      </c>
      <c r="BE101" s="22" t="e">
        <f>IF(A101=0,0,SUMIFS([1]Population!C:C,[1]Population!A:A,'MASTER-2025'!A101))</f>
        <v>#VALUE!</v>
      </c>
      <c r="BF101" s="22" t="e">
        <f>IF(A101=0,0,SUMIFS([1]Population!D:D,[1]Population!A:A,'MASTER-2025'!A101))</f>
        <v>#VALUE!</v>
      </c>
      <c r="BG101" s="22" t="e">
        <f>IF(A101=0,0,SUMIFS([1]Population!E:E,[1]Population!A:A,'MASTER-2025'!A101))</f>
        <v>#VALUE!</v>
      </c>
      <c r="BH101" s="22" t="e">
        <f>IF(A101=0,0,SUMIFS([1]Population!F:F,[1]Population!A:A,'MASTER-2025'!A101))</f>
        <v>#VALUE!</v>
      </c>
      <c r="BI101" s="22" t="e">
        <f t="shared" si="35"/>
        <v>#VALUE!</v>
      </c>
      <c r="BJ101" s="23" t="e">
        <f t="shared" si="30"/>
        <v>#VALUE!</v>
      </c>
      <c r="BK101" s="22" t="e">
        <f>IF(A101=0,0,SUMIFS([1]Population!G:G,[1]Population!A:A,'MASTER-2025'!A101))</f>
        <v>#VALUE!</v>
      </c>
      <c r="BL101" s="24" cm="1">
        <f t="array" ref="BL101:BW101">IFERROR(VLOOKUP(A101,'[1]Now-OB-kg-POB-25'!A:AQ,{3,4,5,6,7,8,9,10,11,12,13,14},0),0)</f>
        <v>0</v>
      </c>
      <c r="BM101" s="24">
        <v>0</v>
      </c>
      <c r="BN101" s="24">
        <v>0</v>
      </c>
      <c r="BO101" s="24">
        <v>0</v>
      </c>
      <c r="BP101" s="24">
        <v>0</v>
      </c>
      <c r="BQ101" s="24">
        <v>0</v>
      </c>
      <c r="BR101" s="24">
        <v>0</v>
      </c>
      <c r="BS101" s="24">
        <v>0</v>
      </c>
      <c r="BT101" s="24">
        <v>0</v>
      </c>
      <c r="BU101" s="24">
        <v>0</v>
      </c>
      <c r="BV101" s="24">
        <v>0</v>
      </c>
      <c r="BW101" s="24">
        <v>0</v>
      </c>
      <c r="BX101" s="24">
        <f t="shared" si="31"/>
        <v>0</v>
      </c>
      <c r="BY101" s="25" cm="1">
        <f t="array" ref="BY101:CJ101">IFERROR(VLOOKUP(A101,'[1]Now-OB-kg-POB-25'!A:AQ,{17,18,19,20,21,22,23,24,25,26,27,28},0),0)</f>
        <v>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0</v>
      </c>
      <c r="CH101" s="25">
        <v>0</v>
      </c>
      <c r="CI101" s="25">
        <v>0</v>
      </c>
      <c r="CJ101" s="25">
        <v>0</v>
      </c>
      <c r="CK101" s="25">
        <f t="shared" si="32"/>
        <v>0</v>
      </c>
      <c r="CL101" s="26" cm="1">
        <f t="array" ref="CL101:CW101">IFERROR(VLOOKUP(A101,'[1]Now-OB-kg-POB-25'!A:AQ,{31,32,33,34,35,36,37,38,39,40,41,42},0),0)</f>
        <v>0</v>
      </c>
      <c r="CM101" s="26">
        <v>0</v>
      </c>
      <c r="CN101" s="26">
        <v>0</v>
      </c>
      <c r="CO101" s="26">
        <v>0</v>
      </c>
      <c r="CP101" s="26">
        <v>0</v>
      </c>
      <c r="CQ101" s="26">
        <v>0</v>
      </c>
      <c r="CR101" s="26">
        <v>0</v>
      </c>
      <c r="CS101" s="26">
        <v>0</v>
      </c>
      <c r="CT101" s="26">
        <v>0</v>
      </c>
      <c r="CU101" s="26">
        <v>0</v>
      </c>
      <c r="CV101" s="26">
        <v>0</v>
      </c>
      <c r="CW101" s="26">
        <v>0</v>
      </c>
      <c r="CX101" s="26">
        <f t="shared" si="33"/>
        <v>0</v>
      </c>
      <c r="CY101" s="14" t="str">
        <f>IF(A101=0,0,IFERROR(VLOOKUP(A101,'[1]Info Donantes'!C:F,2,0),"Sin Contacto"))</f>
        <v>Sin Contacto</v>
      </c>
      <c r="CZ101" s="14" t="str">
        <f>IF(A101=0,0,IFERROR(VLOOKUP(A101,'[1]Info Donantes'!C:F,3,0),"Sin Correo"))</f>
        <v>Sin Correo</v>
      </c>
      <c r="DA101" s="14" t="str">
        <f>IF(A101=0,0,IFERROR(VLOOKUP(A101,'[1]Info Donantes'!C:F,4,0),"Sin Telefono"))</f>
        <v>Sin Telefono</v>
      </c>
      <c r="DB101" s="14" t="str">
        <f>IF(A101=0,0,"Reporte de Trazabiidad"&amp;" - "&amp;'[1]Donor Summary'!$C$2&amp;" - "&amp;A101&amp;"")</f>
        <v>Reporte de Trazabiidad -  - INTERLIGHT INDUSTRIES, S.A.</v>
      </c>
    </row>
    <row r="102" spans="1:106" x14ac:dyDescent="0.55000000000000004">
      <c r="A102" s="14" t="s">
        <v>262</v>
      </c>
      <c r="B102" s="15">
        <f>INT(IFERROR(VLOOKUP(A102,'[1]Donor Summary'!C:F,3,0),0))</f>
        <v>0</v>
      </c>
      <c r="C102" s="15">
        <f>INT(ROUND(IFERROR(VLOOKUP(A102,'[1]Donor Summary'!C:F,4,0),0),1))</f>
        <v>0</v>
      </c>
      <c r="D102" s="16">
        <f t="shared" si="36"/>
        <v>0</v>
      </c>
      <c r="E102" s="17" t="str">
        <f t="shared" si="37"/>
        <v>0.00%</v>
      </c>
      <c r="F102" s="17" t="str">
        <f t="shared" si="38"/>
        <v>0.0%</v>
      </c>
      <c r="G102" s="15">
        <f t="shared" si="40"/>
        <v>0</v>
      </c>
      <c r="H102" s="18"/>
      <c r="I102" s="18">
        <f>IFERROR(VLOOKUP(A102,'[1]Lot All by Part'!T:Y,6,0),0)</f>
        <v>0</v>
      </c>
      <c r="J102" s="18"/>
      <c r="K102" s="19">
        <f>IFERROR(VLOOKUP($A102,'[1]Donor-Served OBs'!A:N,3,0),0)</f>
        <v>0</v>
      </c>
      <c r="L102" s="19">
        <f>ROUNDUP(IF(A102=0,0,IFERROR(VLOOKUP($A102,'[1]Donor''s Assigned Kilos'!A:O,3,0),0)),0)</f>
        <v>0</v>
      </c>
      <c r="M102" s="19">
        <f>IF(A102=0,0,IFERROR(SUMIFS([1]Population!M:M,[1]Population!J:J,'MASTER-2025'!A102),0))</f>
        <v>0</v>
      </c>
      <c r="N102" s="20">
        <f>IFERROR(VLOOKUP($A102,'[1]Donor-Served OBs'!A:N,4,0),0)</f>
        <v>0</v>
      </c>
      <c r="O102" s="20">
        <f>ROUNDUP(IF(A102=0,0,IFERROR(VLOOKUP($A102,'[1]Donor''s Assigned Kilos'!A:O,4,0),0)),0)</f>
        <v>0</v>
      </c>
      <c r="P102" s="20">
        <f>IF(A102=0,0,IFERROR(SUMIFS([1]Population!N:N,[1]Population!J:J,'MASTER-2025'!A102),0))</f>
        <v>0</v>
      </c>
      <c r="Q102" s="18">
        <f>IFERROR(VLOOKUP($A102,'[1]Donor-Served OBs'!A:N,2,0),0)</f>
        <v>0</v>
      </c>
      <c r="R102" s="18">
        <f>ROUNDUP(ROUND(IF(A102=0,0,IFERROR(VLOOKUP($A102,'[1]Donor''s Assigned Kilos'!A:O,9,0),0)),1),0)</f>
        <v>0</v>
      </c>
      <c r="S102" s="18">
        <f>IF(A102=0,0,IFERROR(SUMIFS([1]Population!S:S,[1]Population!J:J,'MASTER-2025'!A102),0))</f>
        <v>0</v>
      </c>
      <c r="T102" s="19">
        <f>IFERROR(VLOOKUP($A102,'[1]Donor-Served OBs'!A:N,12,0),0)</f>
        <v>0</v>
      </c>
      <c r="U102" s="19">
        <f>ROUNDUP(IF(A102=0,0,IF(A102=0,0,IFERROR(VLOOKUP($A102,'[1]Donor''s Assigned Kilos'!A:O,7,0),0))),0)</f>
        <v>0</v>
      </c>
      <c r="V102" s="19">
        <f>IF(A102=0,0,IFERROR(SUMIFS([1]Population!Q:Q,[1]Population!J:J,'MASTER-2025'!A102),0))</f>
        <v>0</v>
      </c>
      <c r="W102" s="20">
        <f>IFERROR(VLOOKUP($A102,'[1]Donor-Served OBs'!A:N,10,0),0)</f>
        <v>0</v>
      </c>
      <c r="X102" s="20">
        <f>ROUNDUP(IF(A102=0,0,IFERROR(VLOOKUP($A102,'[1]Donor''s Assigned Kilos'!A:N,5,0),0)),0)</f>
        <v>0</v>
      </c>
      <c r="Y102" s="20">
        <f>IF(A102=0,0,IFERROR(SUMIFS([1]Population!O:O,[1]Population!J:J,'MASTER-2025'!A102),0))</f>
        <v>0</v>
      </c>
      <c r="Z102" s="18">
        <f>IFERROR(VLOOKUP($A102,'[1]Donor-Served OBs'!A:N,6,0),0)</f>
        <v>0</v>
      </c>
      <c r="AA102" s="18">
        <f>ROUNDUP(IF(A102=0,0,IFERROR(VLOOKUP($A102,'[1]Donor''s Assigned Kilos'!A:N,11,0),0)),0)</f>
        <v>0</v>
      </c>
      <c r="AB102" s="18">
        <f>IF(A102=0,0,IFERROR(SUMIFS([1]Population!U:U,[1]Population!J:J,'MASTER-2025'!A102),0))</f>
        <v>0</v>
      </c>
      <c r="AC102" s="19">
        <f>IFERROR(VLOOKUP($A102,'[1]Donor-Served OBs'!A:N,7,0),0)</f>
        <v>0</v>
      </c>
      <c r="AD102" s="19">
        <f>ROUNDUP(IF(A102=0,0,IFERROR(VLOOKUP($A102,'[1]Donor''s Assigned Kilos'!A:N,8,0),0)),0)</f>
        <v>0</v>
      </c>
      <c r="AE102" s="19">
        <f>IF(A102=0,0,IFERROR(SUMIFS([1]Population!R:R,[1]Population!J:J,'MASTER-2025'!A102),0))</f>
        <v>0</v>
      </c>
      <c r="AF102" s="20">
        <f>IFERROR(VLOOKUP($A102,'[1]Donor-Served OBs'!A:N,8,0),0)</f>
        <v>0</v>
      </c>
      <c r="AG102" s="20">
        <f>ROUNDUP(IF(A102=0,0,IFERROR(VLOOKUP($A102,'[1]Donor''s Assigned Kilos'!A:N,6,0),0)),0)</f>
        <v>0</v>
      </c>
      <c r="AH102" s="20">
        <f>IF(A102=0,0,IFERROR(SUMIFS([1]Population!P:P,[1]Population!J:J,'MASTER-2025'!A102),0))</f>
        <v>0</v>
      </c>
      <c r="AI102" s="18">
        <f>IFERROR(VLOOKUP($A102,'[1]Donor-Served OBs'!A:N,9,0),0)</f>
        <v>0</v>
      </c>
      <c r="AJ102" s="18">
        <f>ROUNDUP(IF(A102=0,0,IFERROR(VLOOKUP($A102,'[1]Donor''s Assigned Kilos'!A:N,12,0),0)),0)</f>
        <v>0</v>
      </c>
      <c r="AK102" s="18">
        <f>IF(A102=0,0,IFERROR(SUMIFS([1]Population!V:V,[1]Population!J:J,'MASTER-2025'!A102),0))</f>
        <v>0</v>
      </c>
      <c r="AL102" s="19">
        <f>IFERROR(VLOOKUP($A102,'[1]Donor-Served OBs'!A:N,16,0),0)</f>
        <v>0</v>
      </c>
      <c r="AM102" s="19">
        <f>ROUNDUP(IF(A102=0,0,IFERROR(VLOOKUP($A102,'[1]Donor''s Assigned Kilos'!A:O,16,0),0)),0)</f>
        <v>0</v>
      </c>
      <c r="AN102" s="19">
        <f>IF(A102=0,0,IFERROR(SUMIFS([1]Population!Z:Z,[1]Population!J:J,'MASTER-2025'!A102),0))</f>
        <v>0</v>
      </c>
      <c r="AO102" s="20">
        <f>IFERROR(VLOOKUP($A102,'[1]Donor-Served OBs'!A:N,11,0),0)</f>
        <v>0</v>
      </c>
      <c r="AP102" s="20">
        <f>ROUNDUP(IF(A102=0,0,IFERROR(VLOOKUP($A102,'[1]Donor''s Assigned Kilos'!A:N,13,0),0)),0)</f>
        <v>0</v>
      </c>
      <c r="AQ102" s="20">
        <f>IF(A102=0,0,IFERROR(SUMIFS([1]Population!W:W,[1]Population!J:J,'MASTER-2025'!A102),0))</f>
        <v>0</v>
      </c>
      <c r="AR102" s="18">
        <f>IFERROR(VLOOKUP($A102,'[1]Donor-Served OBs'!A:N,5,0),0)</f>
        <v>0</v>
      </c>
      <c r="AS102" s="18">
        <f>ROUNDUP(IF(A102=0,0,IFERROR(VLOOKUP($A102,'[1]Donor''s Assigned Kilos'!A:N,10,0),0)),0)</f>
        <v>0</v>
      </c>
      <c r="AT102" s="18">
        <f>IF(A102=0,0,IFERROR(SUMIFS([1]Population!T:T,[1]Population!J:J,'MASTER-2025'!A102),0))</f>
        <v>0</v>
      </c>
      <c r="AU102" s="19">
        <f>IFERROR(VLOOKUP($A102,'[1]Donor-Served OBs'!A:N,13,0),0)</f>
        <v>0</v>
      </c>
      <c r="AV102" s="19">
        <f>ROUNDUP(IF(A102=0,0,IFERROR(VLOOKUP($A102,'[1]Donor''s Assigned Kilos'!A:N,14,0),0)),0)</f>
        <v>0</v>
      </c>
      <c r="AW102" s="19">
        <f>IF(A102=0,0,IFERROR(SUMIFS([1]Population!X:X,[1]Population!J:J,'MASTER-2025'!A102),0))</f>
        <v>0</v>
      </c>
      <c r="AX102" s="20">
        <f>IFERROR(VLOOKUP($A102,'[1]Donor-Served OBs'!A:N,16,0),0)</f>
        <v>0</v>
      </c>
      <c r="AY102" s="20">
        <f>ROUNDUP(IF(A102=0,0,IFERROR(VLOOKUP($A102,'[1]Donor''s Assigned Kilos'!A:O,16,0),0)),0)</f>
        <v>0</v>
      </c>
      <c r="AZ102" s="20">
        <f>IF(A102=0,0,IFERROR(SUMIFS([1]Population!Y:Y,[1]Population!J:J,'MASTER-2025'!A102),0))</f>
        <v>0</v>
      </c>
      <c r="BA102" s="21">
        <f t="shared" si="34"/>
        <v>0</v>
      </c>
      <c r="BB102" s="21">
        <f t="shared" si="29"/>
        <v>0</v>
      </c>
      <c r="BC102" s="21">
        <f t="shared" si="39"/>
        <v>0</v>
      </c>
      <c r="BD102" s="21">
        <f t="shared" si="41"/>
        <v>0</v>
      </c>
      <c r="BE102" s="22" t="e">
        <f>IF(A102=0,0,SUMIFS([1]Population!C:C,[1]Population!A:A,'MASTER-2025'!A102))</f>
        <v>#VALUE!</v>
      </c>
      <c r="BF102" s="22" t="e">
        <f>IF(A102=0,0,SUMIFS([1]Population!D:D,[1]Population!A:A,'MASTER-2025'!A102))</f>
        <v>#VALUE!</v>
      </c>
      <c r="BG102" s="22" t="e">
        <f>IF(A102=0,0,SUMIFS([1]Population!E:E,[1]Population!A:A,'MASTER-2025'!A102))</f>
        <v>#VALUE!</v>
      </c>
      <c r="BH102" s="22" t="e">
        <f>IF(A102=0,0,SUMIFS([1]Population!F:F,[1]Population!A:A,'MASTER-2025'!A102))</f>
        <v>#VALUE!</v>
      </c>
      <c r="BI102" s="22" t="e">
        <f t="shared" si="35"/>
        <v>#VALUE!</v>
      </c>
      <c r="BJ102" s="23" t="e">
        <f t="shared" si="30"/>
        <v>#VALUE!</v>
      </c>
      <c r="BK102" s="22" t="e">
        <f>IF(A102=0,0,SUMIFS([1]Population!G:G,[1]Population!A:A,'MASTER-2025'!A102))</f>
        <v>#VALUE!</v>
      </c>
      <c r="BL102" s="24" cm="1">
        <f t="array" ref="BL102:BW102">IFERROR(VLOOKUP(A102,'[1]Now-OB-kg-POB-25'!A:AQ,{3,4,5,6,7,8,9,10,11,12,13,14},0),0)</f>
        <v>0</v>
      </c>
      <c r="BM102" s="24">
        <v>0</v>
      </c>
      <c r="BN102" s="24">
        <v>0</v>
      </c>
      <c r="BO102" s="24">
        <v>0</v>
      </c>
      <c r="BP102" s="24">
        <v>0</v>
      </c>
      <c r="BQ102" s="24">
        <v>0</v>
      </c>
      <c r="BR102" s="24">
        <v>0</v>
      </c>
      <c r="BS102" s="24">
        <v>0</v>
      </c>
      <c r="BT102" s="24">
        <v>0</v>
      </c>
      <c r="BU102" s="24">
        <v>0</v>
      </c>
      <c r="BV102" s="24">
        <v>0</v>
      </c>
      <c r="BW102" s="24">
        <v>0</v>
      </c>
      <c r="BX102" s="24">
        <f t="shared" si="31"/>
        <v>0</v>
      </c>
      <c r="BY102" s="25" cm="1">
        <f t="array" ref="BY102:CJ102">IFERROR(VLOOKUP(A102,'[1]Now-OB-kg-POB-25'!A:AQ,{17,18,19,20,21,22,23,24,25,26,27,28},0),0)</f>
        <v>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0</v>
      </c>
      <c r="CH102" s="25">
        <v>0</v>
      </c>
      <c r="CI102" s="25">
        <v>0</v>
      </c>
      <c r="CJ102" s="25">
        <v>0</v>
      </c>
      <c r="CK102" s="25">
        <f t="shared" si="32"/>
        <v>0</v>
      </c>
      <c r="CL102" s="26" cm="1">
        <f t="array" ref="CL102:CW102">IFERROR(VLOOKUP(A102,'[1]Now-OB-kg-POB-25'!A:AQ,{31,32,33,34,35,36,37,38,39,40,41,42},0),0)</f>
        <v>0</v>
      </c>
      <c r="CM102" s="26">
        <v>0</v>
      </c>
      <c r="CN102" s="26">
        <v>0</v>
      </c>
      <c r="CO102" s="26">
        <v>0</v>
      </c>
      <c r="CP102" s="26">
        <v>0</v>
      </c>
      <c r="CQ102" s="26">
        <v>0</v>
      </c>
      <c r="CR102" s="26">
        <v>0</v>
      </c>
      <c r="CS102" s="26">
        <v>0</v>
      </c>
      <c r="CT102" s="26">
        <v>0</v>
      </c>
      <c r="CU102" s="26">
        <v>0</v>
      </c>
      <c r="CV102" s="26">
        <v>0</v>
      </c>
      <c r="CW102" s="26">
        <v>0</v>
      </c>
      <c r="CX102" s="26">
        <f t="shared" si="33"/>
        <v>0</v>
      </c>
      <c r="CY102" s="14" t="str">
        <f>IF(A102=0,0,IFERROR(VLOOKUP(A102,'[1]Info Donantes'!C:F,2,0),"Sin Contacto"))</f>
        <v>Sin Contacto</v>
      </c>
      <c r="CZ102" s="14" t="str">
        <f>IF(A102=0,0,IFERROR(VLOOKUP(A102,'[1]Info Donantes'!C:F,3,0),"Sin Correo"))</f>
        <v>Sin Correo</v>
      </c>
      <c r="DA102" s="14" t="str">
        <f>IF(A102=0,0,IFERROR(VLOOKUP(A102,'[1]Info Donantes'!C:F,4,0),"Sin Telefono"))</f>
        <v>Sin Telefono</v>
      </c>
      <c r="DB102" s="14" t="str">
        <f>IF(A102=0,0,"Reporte de Trazabiidad"&amp;" - "&amp;'[1]Donor Summary'!$C$2&amp;" - "&amp;A102&amp;"")</f>
        <v>Reporte de Trazabiidad -  - BALBOA INTERNATIONAL PRODUCERS INC.</v>
      </c>
    </row>
    <row r="103" spans="1:106" x14ac:dyDescent="0.55000000000000004">
      <c r="A103" s="14" t="s">
        <v>263</v>
      </c>
      <c r="B103" s="15">
        <f>INT(IFERROR(VLOOKUP(A103,'[1]Donor Summary'!C:F,3,0),0))</f>
        <v>0</v>
      </c>
      <c r="C103" s="15">
        <f>INT(ROUND(IFERROR(VLOOKUP(A103,'[1]Donor Summary'!C:F,4,0),0),1))</f>
        <v>0</v>
      </c>
      <c r="D103" s="16">
        <f t="shared" si="36"/>
        <v>0</v>
      </c>
      <c r="E103" s="17" t="str">
        <f t="shared" si="37"/>
        <v>0.00%</v>
      </c>
      <c r="F103" s="17" t="str">
        <f t="shared" si="38"/>
        <v>0.0%</v>
      </c>
      <c r="G103" s="15">
        <f t="shared" si="40"/>
        <v>0</v>
      </c>
      <c r="H103" s="18"/>
      <c r="I103" s="18">
        <f>IFERROR(VLOOKUP(A103,'[1]Lot All by Part'!T:Y,6,0),0)</f>
        <v>0</v>
      </c>
      <c r="J103" s="18"/>
      <c r="K103" s="19">
        <f>IFERROR(VLOOKUP($A103,'[1]Donor-Served OBs'!A:N,3,0),0)</f>
        <v>0</v>
      </c>
      <c r="L103" s="19">
        <f>ROUNDUP(IF(A103=0,0,IFERROR(VLOOKUP($A103,'[1]Donor''s Assigned Kilos'!A:O,3,0),0)),0)</f>
        <v>0</v>
      </c>
      <c r="M103" s="19">
        <f>IF(A103=0,0,IFERROR(SUMIFS([1]Population!M:M,[1]Population!J:J,'MASTER-2025'!A103),0))</f>
        <v>0</v>
      </c>
      <c r="N103" s="20">
        <f>IFERROR(VLOOKUP($A103,'[1]Donor-Served OBs'!A:N,4,0),0)</f>
        <v>0</v>
      </c>
      <c r="O103" s="20">
        <f>ROUNDUP(IF(A103=0,0,IFERROR(VLOOKUP($A103,'[1]Donor''s Assigned Kilos'!A:O,4,0),0)),0)</f>
        <v>0</v>
      </c>
      <c r="P103" s="20">
        <f>IF(A103=0,0,IFERROR(SUMIFS([1]Population!N:N,[1]Population!J:J,'MASTER-2025'!A103),0))</f>
        <v>0</v>
      </c>
      <c r="Q103" s="18">
        <f>IFERROR(VLOOKUP($A103,'[1]Donor-Served OBs'!A:N,2,0),0)</f>
        <v>0</v>
      </c>
      <c r="R103" s="18">
        <f>ROUNDUP(ROUND(IF(A103=0,0,IFERROR(VLOOKUP($A103,'[1]Donor''s Assigned Kilos'!A:O,9,0),0)),1),0)</f>
        <v>0</v>
      </c>
      <c r="S103" s="18">
        <f>IF(A103=0,0,IFERROR(SUMIFS([1]Population!S:S,[1]Population!J:J,'MASTER-2025'!A103),0))</f>
        <v>0</v>
      </c>
      <c r="T103" s="19">
        <f>IFERROR(VLOOKUP($A103,'[1]Donor-Served OBs'!A:N,12,0),0)</f>
        <v>0</v>
      </c>
      <c r="U103" s="19">
        <f>ROUNDUP(IF(A103=0,0,IF(A103=0,0,IFERROR(VLOOKUP($A103,'[1]Donor''s Assigned Kilos'!A:O,7,0),0))),0)</f>
        <v>0</v>
      </c>
      <c r="V103" s="19">
        <f>IF(A103=0,0,IFERROR(SUMIFS([1]Population!Q:Q,[1]Population!J:J,'MASTER-2025'!A103),0))</f>
        <v>0</v>
      </c>
      <c r="W103" s="20">
        <f>IFERROR(VLOOKUP($A103,'[1]Donor-Served OBs'!A:N,10,0),0)</f>
        <v>0</v>
      </c>
      <c r="X103" s="20">
        <f>ROUNDUP(IF(A103=0,0,IFERROR(VLOOKUP($A103,'[1]Donor''s Assigned Kilos'!A:N,5,0),0)),0)</f>
        <v>0</v>
      </c>
      <c r="Y103" s="20">
        <f>IF(A103=0,0,IFERROR(SUMIFS([1]Population!O:O,[1]Population!J:J,'MASTER-2025'!A103),0))</f>
        <v>0</v>
      </c>
      <c r="Z103" s="18">
        <f>IFERROR(VLOOKUP($A103,'[1]Donor-Served OBs'!A:N,6,0),0)</f>
        <v>0</v>
      </c>
      <c r="AA103" s="18">
        <f>ROUNDUP(IF(A103=0,0,IFERROR(VLOOKUP($A103,'[1]Donor''s Assigned Kilos'!A:N,11,0),0)),0)</f>
        <v>0</v>
      </c>
      <c r="AB103" s="18">
        <f>IF(A103=0,0,IFERROR(SUMIFS([1]Population!U:U,[1]Population!J:J,'MASTER-2025'!A103),0))</f>
        <v>0</v>
      </c>
      <c r="AC103" s="19">
        <f>IFERROR(VLOOKUP($A103,'[1]Donor-Served OBs'!A:N,7,0),0)</f>
        <v>0</v>
      </c>
      <c r="AD103" s="19">
        <f>ROUNDUP(IF(A103=0,0,IFERROR(VLOOKUP($A103,'[1]Donor''s Assigned Kilos'!A:N,8,0),0)),0)</f>
        <v>0</v>
      </c>
      <c r="AE103" s="19">
        <f>IF(A103=0,0,IFERROR(SUMIFS([1]Population!R:R,[1]Population!J:J,'MASTER-2025'!A103),0))</f>
        <v>0</v>
      </c>
      <c r="AF103" s="20">
        <f>IFERROR(VLOOKUP($A103,'[1]Donor-Served OBs'!A:N,8,0),0)</f>
        <v>0</v>
      </c>
      <c r="AG103" s="20">
        <f>ROUNDUP(IF(A103=0,0,IFERROR(VLOOKUP($A103,'[1]Donor''s Assigned Kilos'!A:N,6,0),0)),0)</f>
        <v>0</v>
      </c>
      <c r="AH103" s="20">
        <f>IF(A103=0,0,IFERROR(SUMIFS([1]Population!P:P,[1]Population!J:J,'MASTER-2025'!A103),0))</f>
        <v>0</v>
      </c>
      <c r="AI103" s="18">
        <f>IFERROR(VLOOKUP($A103,'[1]Donor-Served OBs'!A:N,9,0),0)</f>
        <v>0</v>
      </c>
      <c r="AJ103" s="18">
        <f>ROUNDUP(IF(A103=0,0,IFERROR(VLOOKUP($A103,'[1]Donor''s Assigned Kilos'!A:N,12,0),0)),0)</f>
        <v>0</v>
      </c>
      <c r="AK103" s="18">
        <f>IF(A103=0,0,IFERROR(SUMIFS([1]Population!V:V,[1]Population!J:J,'MASTER-2025'!A103),0))</f>
        <v>0</v>
      </c>
      <c r="AL103" s="19">
        <f>IFERROR(VLOOKUP($A103,'[1]Donor-Served OBs'!A:N,16,0),0)</f>
        <v>0</v>
      </c>
      <c r="AM103" s="19">
        <f>ROUNDUP(IF(A103=0,0,IFERROR(VLOOKUP($A103,'[1]Donor''s Assigned Kilos'!A:O,16,0),0)),0)</f>
        <v>0</v>
      </c>
      <c r="AN103" s="19">
        <f>IF(A103=0,0,IFERROR(SUMIFS([1]Population!Z:Z,[1]Population!J:J,'MASTER-2025'!A103),0))</f>
        <v>0</v>
      </c>
      <c r="AO103" s="20">
        <f>IFERROR(VLOOKUP($A103,'[1]Donor-Served OBs'!A:N,11,0),0)</f>
        <v>0</v>
      </c>
      <c r="AP103" s="20">
        <f>ROUNDUP(IF(A103=0,0,IFERROR(VLOOKUP($A103,'[1]Donor''s Assigned Kilos'!A:N,13,0),0)),0)</f>
        <v>0</v>
      </c>
      <c r="AQ103" s="20">
        <f>IF(A103=0,0,IFERROR(SUMIFS([1]Population!W:W,[1]Population!J:J,'MASTER-2025'!A103),0))</f>
        <v>0</v>
      </c>
      <c r="AR103" s="18">
        <f>IFERROR(VLOOKUP($A103,'[1]Donor-Served OBs'!A:N,5,0),0)</f>
        <v>0</v>
      </c>
      <c r="AS103" s="18">
        <f>ROUNDUP(IF(A103=0,0,IFERROR(VLOOKUP($A103,'[1]Donor''s Assigned Kilos'!A:N,10,0),0)),0)</f>
        <v>0</v>
      </c>
      <c r="AT103" s="18">
        <f>IF(A103=0,0,IFERROR(SUMIFS([1]Population!T:T,[1]Population!J:J,'MASTER-2025'!A103),0))</f>
        <v>0</v>
      </c>
      <c r="AU103" s="19">
        <f>IFERROR(VLOOKUP($A103,'[1]Donor-Served OBs'!A:N,13,0),0)</f>
        <v>0</v>
      </c>
      <c r="AV103" s="19">
        <f>ROUNDUP(IF(A103=0,0,IFERROR(VLOOKUP($A103,'[1]Donor''s Assigned Kilos'!A:N,14,0),0)),0)</f>
        <v>0</v>
      </c>
      <c r="AW103" s="19">
        <f>IF(A103=0,0,IFERROR(SUMIFS([1]Population!X:X,[1]Population!J:J,'MASTER-2025'!A103),0))</f>
        <v>0</v>
      </c>
      <c r="AX103" s="20">
        <f>IFERROR(VLOOKUP($A103,'[1]Donor-Served OBs'!A:N,16,0),0)</f>
        <v>0</v>
      </c>
      <c r="AY103" s="20">
        <f>ROUNDUP(IF(A103=0,0,IFERROR(VLOOKUP($A103,'[1]Donor''s Assigned Kilos'!A:O,16,0),0)),0)</f>
        <v>0</v>
      </c>
      <c r="AZ103" s="20">
        <f>IF(A103=0,0,IFERROR(SUMIFS([1]Population!Y:Y,[1]Population!J:J,'MASTER-2025'!A103),0))</f>
        <v>0</v>
      </c>
      <c r="BA103" s="21">
        <f t="shared" si="34"/>
        <v>0</v>
      </c>
      <c r="BB103" s="21">
        <f t="shared" si="29"/>
        <v>0</v>
      </c>
      <c r="BC103" s="21">
        <f t="shared" si="39"/>
        <v>0</v>
      </c>
      <c r="BD103" s="21">
        <f t="shared" si="41"/>
        <v>0</v>
      </c>
      <c r="BE103" s="22" t="e">
        <f>IF(A103=0,0,SUMIFS([1]Population!C:C,[1]Population!A:A,'MASTER-2025'!A103))</f>
        <v>#VALUE!</v>
      </c>
      <c r="BF103" s="22" t="e">
        <f>IF(A103=0,0,SUMIFS([1]Population!D:D,[1]Population!A:A,'MASTER-2025'!A103))</f>
        <v>#VALUE!</v>
      </c>
      <c r="BG103" s="22" t="e">
        <f>IF(A103=0,0,SUMIFS([1]Population!E:E,[1]Population!A:A,'MASTER-2025'!A103))</f>
        <v>#VALUE!</v>
      </c>
      <c r="BH103" s="22" t="e">
        <f>IF(A103=0,0,SUMIFS([1]Population!F:F,[1]Population!A:A,'MASTER-2025'!A103))</f>
        <v>#VALUE!</v>
      </c>
      <c r="BI103" s="22" t="e">
        <f t="shared" si="35"/>
        <v>#VALUE!</v>
      </c>
      <c r="BJ103" s="23" t="e">
        <f t="shared" si="30"/>
        <v>#VALUE!</v>
      </c>
      <c r="BK103" s="22" t="e">
        <f>IF(A103=0,0,SUMIFS([1]Population!G:G,[1]Population!A:A,'MASTER-2025'!A103))</f>
        <v>#VALUE!</v>
      </c>
      <c r="BL103" s="24" cm="1">
        <f t="array" ref="BL103:BW103">IFERROR(VLOOKUP(A103,'[1]Now-OB-kg-POB-25'!A:AQ,{3,4,5,6,7,8,9,10,11,12,13,14},0),0)</f>
        <v>0</v>
      </c>
      <c r="BM103" s="24">
        <v>0</v>
      </c>
      <c r="BN103" s="24">
        <v>0</v>
      </c>
      <c r="BO103" s="24">
        <v>0</v>
      </c>
      <c r="BP103" s="24">
        <v>0</v>
      </c>
      <c r="BQ103" s="24">
        <v>0</v>
      </c>
      <c r="BR103" s="24">
        <v>0</v>
      </c>
      <c r="BS103" s="24">
        <v>0</v>
      </c>
      <c r="BT103" s="24">
        <v>0</v>
      </c>
      <c r="BU103" s="24">
        <v>0</v>
      </c>
      <c r="BV103" s="24">
        <v>0</v>
      </c>
      <c r="BW103" s="24">
        <v>0</v>
      </c>
      <c r="BX103" s="24">
        <f t="shared" si="31"/>
        <v>0</v>
      </c>
      <c r="BY103" s="25" cm="1">
        <f t="array" ref="BY103:CJ103">IFERROR(VLOOKUP(A103,'[1]Now-OB-kg-POB-25'!A:AQ,{17,18,19,20,21,22,23,24,25,26,27,28},0),0)</f>
        <v>0</v>
      </c>
      <c r="BZ103" s="25">
        <v>0</v>
      </c>
      <c r="CA103" s="25">
        <v>0</v>
      </c>
      <c r="CB103" s="25">
        <v>0</v>
      </c>
      <c r="CC103" s="25">
        <v>0</v>
      </c>
      <c r="CD103" s="25">
        <v>0</v>
      </c>
      <c r="CE103" s="25">
        <v>0</v>
      </c>
      <c r="CF103" s="25">
        <v>0</v>
      </c>
      <c r="CG103" s="25">
        <v>0</v>
      </c>
      <c r="CH103" s="25">
        <v>0</v>
      </c>
      <c r="CI103" s="25">
        <v>0</v>
      </c>
      <c r="CJ103" s="25">
        <v>0</v>
      </c>
      <c r="CK103" s="25">
        <f t="shared" si="32"/>
        <v>0</v>
      </c>
      <c r="CL103" s="26" cm="1">
        <f t="array" ref="CL103:CW103">IFERROR(VLOOKUP(A103,'[1]Now-OB-kg-POB-25'!A:AQ,{31,32,33,34,35,36,37,38,39,40,41,42},0),0)</f>
        <v>0</v>
      </c>
      <c r="CM103" s="26">
        <v>0</v>
      </c>
      <c r="CN103" s="26">
        <v>0</v>
      </c>
      <c r="CO103" s="26">
        <v>0</v>
      </c>
      <c r="CP103" s="26">
        <v>0</v>
      </c>
      <c r="CQ103" s="26">
        <v>0</v>
      </c>
      <c r="CR103" s="26">
        <v>0</v>
      </c>
      <c r="CS103" s="26">
        <v>0</v>
      </c>
      <c r="CT103" s="26">
        <v>0</v>
      </c>
      <c r="CU103" s="26">
        <v>0</v>
      </c>
      <c r="CV103" s="26">
        <v>0</v>
      </c>
      <c r="CW103" s="26">
        <v>0</v>
      </c>
      <c r="CX103" s="26">
        <f t="shared" si="33"/>
        <v>0</v>
      </c>
      <c r="CY103" s="14" t="str">
        <f>IF(A103=0,0,IFERROR(VLOOKUP(A103,'[1]Info Donantes'!C:F,2,0),"Sin Contacto"))</f>
        <v>Sin Contacto</v>
      </c>
      <c r="CZ103" s="14" t="str">
        <f>IF(A103=0,0,IFERROR(VLOOKUP(A103,'[1]Info Donantes'!C:F,3,0),"Sin Correo"))</f>
        <v>Sin Correo</v>
      </c>
      <c r="DA103" s="14" t="str">
        <f>IF(A103=0,0,IFERROR(VLOOKUP(A103,'[1]Info Donantes'!C:F,4,0),"Sin Telefono"))</f>
        <v>Sin Telefono</v>
      </c>
      <c r="DB103" s="14" t="str">
        <f>IF(A103=0,0,"Reporte de Trazabiidad"&amp;" - "&amp;'[1]Donor Summary'!$C$2&amp;" - "&amp;A103&amp;"")</f>
        <v>Reporte de Trazabiidad -  - PAN. CESARIN</v>
      </c>
    </row>
    <row r="104" spans="1:106" x14ac:dyDescent="0.55000000000000004">
      <c r="A104" s="14" t="s">
        <v>264</v>
      </c>
      <c r="B104" s="15">
        <f>INT(IFERROR(VLOOKUP(A104,'[1]Donor Summary'!C:F,3,0),0))</f>
        <v>0</v>
      </c>
      <c r="C104" s="15">
        <f>INT(ROUND(IFERROR(VLOOKUP(A104,'[1]Donor Summary'!C:F,4,0),0),1))</f>
        <v>0</v>
      </c>
      <c r="D104" s="16">
        <f t="shared" si="36"/>
        <v>0</v>
      </c>
      <c r="E104" s="17" t="str">
        <f t="shared" si="37"/>
        <v>0.00%</v>
      </c>
      <c r="F104" s="17" t="str">
        <f t="shared" si="38"/>
        <v>0.0%</v>
      </c>
      <c r="G104" s="15">
        <f t="shared" si="40"/>
        <v>0</v>
      </c>
      <c r="H104" s="18"/>
      <c r="I104" s="18">
        <f>IFERROR(VLOOKUP(A104,'[1]Lot All by Part'!T:Y,6,0),0)</f>
        <v>0</v>
      </c>
      <c r="J104" s="18"/>
      <c r="K104" s="19">
        <f>IFERROR(VLOOKUP($A104,'[1]Donor-Served OBs'!A:N,3,0),0)</f>
        <v>0</v>
      </c>
      <c r="L104" s="19">
        <f>ROUNDUP(IF(A104=0,0,IFERROR(VLOOKUP($A104,'[1]Donor''s Assigned Kilos'!A:O,3,0),0)),0)</f>
        <v>0</v>
      </c>
      <c r="M104" s="19">
        <f>IF(A104=0,0,IFERROR(SUMIFS([1]Population!M:M,[1]Population!J:J,'MASTER-2025'!A104),0))</f>
        <v>0</v>
      </c>
      <c r="N104" s="20">
        <f>IFERROR(VLOOKUP($A104,'[1]Donor-Served OBs'!A:N,4,0),0)</f>
        <v>0</v>
      </c>
      <c r="O104" s="20">
        <f>ROUNDUP(IF(A104=0,0,IFERROR(VLOOKUP($A104,'[1]Donor''s Assigned Kilos'!A:O,4,0),0)),0)</f>
        <v>0</v>
      </c>
      <c r="P104" s="20">
        <f>IF(A104=0,0,IFERROR(SUMIFS([1]Population!N:N,[1]Population!J:J,'MASTER-2025'!A104),0))</f>
        <v>0</v>
      </c>
      <c r="Q104" s="18">
        <f>IFERROR(VLOOKUP($A104,'[1]Donor-Served OBs'!A:N,2,0),0)</f>
        <v>0</v>
      </c>
      <c r="R104" s="18">
        <f>ROUNDUP(ROUND(IF(A104=0,0,IFERROR(VLOOKUP($A104,'[1]Donor''s Assigned Kilos'!A:O,9,0),0)),1),0)</f>
        <v>0</v>
      </c>
      <c r="S104" s="18">
        <f>IF(A104=0,0,IFERROR(SUMIFS([1]Population!S:S,[1]Population!J:J,'MASTER-2025'!A104),0))</f>
        <v>0</v>
      </c>
      <c r="T104" s="19">
        <f>IFERROR(VLOOKUP($A104,'[1]Donor-Served OBs'!A:N,12,0),0)</f>
        <v>0</v>
      </c>
      <c r="U104" s="19">
        <f>ROUNDUP(IF(A104=0,0,IF(A104=0,0,IFERROR(VLOOKUP($A104,'[1]Donor''s Assigned Kilos'!A:O,7,0),0))),0)</f>
        <v>0</v>
      </c>
      <c r="V104" s="19">
        <f>IF(A104=0,0,IFERROR(SUMIFS([1]Population!Q:Q,[1]Population!J:J,'MASTER-2025'!A104),0))</f>
        <v>0</v>
      </c>
      <c r="W104" s="20">
        <f>IFERROR(VLOOKUP($A104,'[1]Donor-Served OBs'!A:N,10,0),0)</f>
        <v>0</v>
      </c>
      <c r="X104" s="20">
        <f>ROUNDUP(IF(A104=0,0,IFERROR(VLOOKUP($A104,'[1]Donor''s Assigned Kilos'!A:N,5,0),0)),0)</f>
        <v>0</v>
      </c>
      <c r="Y104" s="20">
        <f>IF(A104=0,0,IFERROR(SUMIFS([1]Population!O:O,[1]Population!J:J,'MASTER-2025'!A104),0))</f>
        <v>0</v>
      </c>
      <c r="Z104" s="18">
        <f>IFERROR(VLOOKUP($A104,'[1]Donor-Served OBs'!A:N,6,0),0)</f>
        <v>0</v>
      </c>
      <c r="AA104" s="18">
        <f>ROUNDUP(IF(A104=0,0,IFERROR(VLOOKUP($A104,'[1]Donor''s Assigned Kilos'!A:N,11,0),0)),0)</f>
        <v>0</v>
      </c>
      <c r="AB104" s="18">
        <f>IF(A104=0,0,IFERROR(SUMIFS([1]Population!U:U,[1]Population!J:J,'MASTER-2025'!A104),0))</f>
        <v>0</v>
      </c>
      <c r="AC104" s="19">
        <f>IFERROR(VLOOKUP($A104,'[1]Donor-Served OBs'!A:N,7,0),0)</f>
        <v>0</v>
      </c>
      <c r="AD104" s="19">
        <f>ROUNDUP(IF(A104=0,0,IFERROR(VLOOKUP($A104,'[1]Donor''s Assigned Kilos'!A:N,8,0),0)),0)</f>
        <v>0</v>
      </c>
      <c r="AE104" s="19">
        <f>IF(A104=0,0,IFERROR(SUMIFS([1]Population!R:R,[1]Population!J:J,'MASTER-2025'!A104),0))</f>
        <v>0</v>
      </c>
      <c r="AF104" s="20">
        <f>IFERROR(VLOOKUP($A104,'[1]Donor-Served OBs'!A:N,8,0),0)</f>
        <v>0</v>
      </c>
      <c r="AG104" s="20">
        <f>ROUNDUP(IF(A104=0,0,IFERROR(VLOOKUP($A104,'[1]Donor''s Assigned Kilos'!A:N,6,0),0)),0)</f>
        <v>0</v>
      </c>
      <c r="AH104" s="20">
        <f>IF(A104=0,0,IFERROR(SUMIFS([1]Population!P:P,[1]Population!J:J,'MASTER-2025'!A104),0))</f>
        <v>0</v>
      </c>
      <c r="AI104" s="18">
        <f>IFERROR(VLOOKUP($A104,'[1]Donor-Served OBs'!A:N,9,0),0)</f>
        <v>0</v>
      </c>
      <c r="AJ104" s="18">
        <f>ROUNDUP(IF(A104=0,0,IFERROR(VLOOKUP($A104,'[1]Donor''s Assigned Kilos'!A:N,12,0),0)),0)</f>
        <v>0</v>
      </c>
      <c r="AK104" s="18">
        <f>IF(A104=0,0,IFERROR(SUMIFS([1]Population!V:V,[1]Population!J:J,'MASTER-2025'!A104),0))</f>
        <v>0</v>
      </c>
      <c r="AL104" s="19">
        <f>IFERROR(VLOOKUP($A104,'[1]Donor-Served OBs'!A:N,16,0),0)</f>
        <v>0</v>
      </c>
      <c r="AM104" s="19">
        <f>ROUNDUP(IF(A104=0,0,IFERROR(VLOOKUP($A104,'[1]Donor''s Assigned Kilos'!A:O,16,0),0)),0)</f>
        <v>0</v>
      </c>
      <c r="AN104" s="19">
        <f>IF(A104=0,0,IFERROR(SUMIFS([1]Population!Z:Z,[1]Population!J:J,'MASTER-2025'!A104),0))</f>
        <v>0</v>
      </c>
      <c r="AO104" s="20">
        <f>IFERROR(VLOOKUP($A104,'[1]Donor-Served OBs'!A:N,11,0),0)</f>
        <v>0</v>
      </c>
      <c r="AP104" s="20">
        <f>ROUNDUP(IF(A104=0,0,IFERROR(VLOOKUP($A104,'[1]Donor''s Assigned Kilos'!A:N,13,0),0)),0)</f>
        <v>0</v>
      </c>
      <c r="AQ104" s="20">
        <f>IF(A104=0,0,IFERROR(SUMIFS([1]Population!W:W,[1]Population!J:J,'MASTER-2025'!A104),0))</f>
        <v>0</v>
      </c>
      <c r="AR104" s="18">
        <f>IFERROR(VLOOKUP($A104,'[1]Donor-Served OBs'!A:N,5,0),0)</f>
        <v>0</v>
      </c>
      <c r="AS104" s="18">
        <f>ROUNDUP(IF(A104=0,0,IFERROR(VLOOKUP($A104,'[1]Donor''s Assigned Kilos'!A:N,10,0),0)),0)</f>
        <v>0</v>
      </c>
      <c r="AT104" s="18">
        <f>IF(A104=0,0,IFERROR(SUMIFS([1]Population!T:T,[1]Population!J:J,'MASTER-2025'!A104),0))</f>
        <v>0</v>
      </c>
      <c r="AU104" s="19">
        <f>IFERROR(VLOOKUP($A104,'[1]Donor-Served OBs'!A:N,13,0),0)</f>
        <v>0</v>
      </c>
      <c r="AV104" s="19">
        <f>ROUNDUP(IF(A104=0,0,IFERROR(VLOOKUP($A104,'[1]Donor''s Assigned Kilos'!A:N,14,0),0)),0)</f>
        <v>0</v>
      </c>
      <c r="AW104" s="19">
        <f>IF(A104=0,0,IFERROR(SUMIFS([1]Population!X:X,[1]Population!J:J,'MASTER-2025'!A104),0))</f>
        <v>0</v>
      </c>
      <c r="AX104" s="20">
        <f>IFERROR(VLOOKUP($A104,'[1]Donor-Served OBs'!A:N,16,0),0)</f>
        <v>0</v>
      </c>
      <c r="AY104" s="20">
        <f>ROUNDUP(IF(A104=0,0,IFERROR(VLOOKUP($A104,'[1]Donor''s Assigned Kilos'!A:O,16,0),0)),0)</f>
        <v>0</v>
      </c>
      <c r="AZ104" s="20">
        <f>IF(A104=0,0,IFERROR(SUMIFS([1]Population!Y:Y,[1]Population!J:J,'MASTER-2025'!A104),0))</f>
        <v>0</v>
      </c>
      <c r="BA104" s="21">
        <f t="shared" si="34"/>
        <v>0</v>
      </c>
      <c r="BB104" s="21">
        <f t="shared" si="29"/>
        <v>0</v>
      </c>
      <c r="BC104" s="21">
        <f t="shared" si="39"/>
        <v>0</v>
      </c>
      <c r="BD104" s="21">
        <f t="shared" si="41"/>
        <v>0</v>
      </c>
      <c r="BE104" s="22" t="e">
        <f>IF(A104=0,0,SUMIFS([1]Population!C:C,[1]Population!A:A,'MASTER-2025'!A104))</f>
        <v>#VALUE!</v>
      </c>
      <c r="BF104" s="22" t="e">
        <f>IF(A104=0,0,SUMIFS([1]Population!D:D,[1]Population!A:A,'MASTER-2025'!A104))</f>
        <v>#VALUE!</v>
      </c>
      <c r="BG104" s="22" t="e">
        <f>IF(A104=0,0,SUMIFS([1]Population!E:E,[1]Population!A:A,'MASTER-2025'!A104))</f>
        <v>#VALUE!</v>
      </c>
      <c r="BH104" s="22" t="e">
        <f>IF(A104=0,0,SUMIFS([1]Population!F:F,[1]Population!A:A,'MASTER-2025'!A104))</f>
        <v>#VALUE!</v>
      </c>
      <c r="BI104" s="22" t="e">
        <f t="shared" si="35"/>
        <v>#VALUE!</v>
      </c>
      <c r="BJ104" s="23" t="e">
        <f t="shared" si="30"/>
        <v>#VALUE!</v>
      </c>
      <c r="BK104" s="22" t="e">
        <f>IF(A104=0,0,SUMIFS([1]Population!G:G,[1]Population!A:A,'MASTER-2025'!A104))</f>
        <v>#VALUE!</v>
      </c>
      <c r="BL104" s="24" cm="1">
        <f t="array" ref="BL104:BW104">IFERROR(VLOOKUP(A104,'[1]Now-OB-kg-POB-25'!A:AQ,{3,4,5,6,7,8,9,10,11,12,13,14},0),0)</f>
        <v>0</v>
      </c>
      <c r="BM104" s="24">
        <v>0</v>
      </c>
      <c r="BN104" s="24">
        <v>0</v>
      </c>
      <c r="BO104" s="24">
        <v>0</v>
      </c>
      <c r="BP104" s="24">
        <v>0</v>
      </c>
      <c r="BQ104" s="24">
        <v>0</v>
      </c>
      <c r="BR104" s="24">
        <v>0</v>
      </c>
      <c r="BS104" s="24">
        <v>0</v>
      </c>
      <c r="BT104" s="24">
        <v>0</v>
      </c>
      <c r="BU104" s="24">
        <v>0</v>
      </c>
      <c r="BV104" s="24">
        <v>0</v>
      </c>
      <c r="BW104" s="24">
        <v>0</v>
      </c>
      <c r="BX104" s="24">
        <f t="shared" si="31"/>
        <v>0</v>
      </c>
      <c r="BY104" s="25" cm="1">
        <f t="array" ref="BY104:CJ104">IFERROR(VLOOKUP(A104,'[1]Now-OB-kg-POB-25'!A:AQ,{17,18,19,20,21,22,23,24,25,26,27,28},0),0)</f>
        <v>0</v>
      </c>
      <c r="BZ104" s="25">
        <v>0</v>
      </c>
      <c r="CA104" s="25">
        <v>0</v>
      </c>
      <c r="CB104" s="25">
        <v>0</v>
      </c>
      <c r="CC104" s="25">
        <v>0</v>
      </c>
      <c r="CD104" s="25">
        <v>0</v>
      </c>
      <c r="CE104" s="25">
        <v>0</v>
      </c>
      <c r="CF104" s="25">
        <v>0</v>
      </c>
      <c r="CG104" s="25">
        <v>0</v>
      </c>
      <c r="CH104" s="25">
        <v>0</v>
      </c>
      <c r="CI104" s="25">
        <v>0</v>
      </c>
      <c r="CJ104" s="25">
        <v>0</v>
      </c>
      <c r="CK104" s="25">
        <f t="shared" si="32"/>
        <v>0</v>
      </c>
      <c r="CL104" s="26" cm="1">
        <f t="array" ref="CL104:CW104">IFERROR(VLOOKUP(A104,'[1]Now-OB-kg-POB-25'!A:AQ,{31,32,33,34,35,36,37,38,39,40,41,42},0),0)</f>
        <v>0</v>
      </c>
      <c r="CM104" s="26">
        <v>0</v>
      </c>
      <c r="CN104" s="26">
        <v>0</v>
      </c>
      <c r="CO104" s="26">
        <v>0</v>
      </c>
      <c r="CP104" s="26">
        <v>0</v>
      </c>
      <c r="CQ104" s="26">
        <v>0</v>
      </c>
      <c r="CR104" s="26">
        <v>0</v>
      </c>
      <c r="CS104" s="26">
        <v>0</v>
      </c>
      <c r="CT104" s="26">
        <v>0</v>
      </c>
      <c r="CU104" s="26">
        <v>0</v>
      </c>
      <c r="CV104" s="26">
        <v>0</v>
      </c>
      <c r="CW104" s="26">
        <v>0</v>
      </c>
      <c r="CX104" s="26">
        <f t="shared" si="33"/>
        <v>0</v>
      </c>
      <c r="CY104" s="14" t="str">
        <f>IF(A104=0,0,IFERROR(VLOOKUP(A104,'[1]Info Donantes'!C:F,2,0),"Sin Contacto"))</f>
        <v>Sin Contacto</v>
      </c>
      <c r="CZ104" s="14" t="str">
        <f>IF(A104=0,0,IFERROR(VLOOKUP(A104,'[1]Info Donantes'!C:F,3,0),"Sin Correo"))</f>
        <v>Sin Correo</v>
      </c>
      <c r="DA104" s="14" t="str">
        <f>IF(A104=0,0,IFERROR(VLOOKUP(A104,'[1]Info Donantes'!C:F,4,0),"Sin Telefono"))</f>
        <v>Sin Telefono</v>
      </c>
      <c r="DB104" s="14" t="str">
        <f>IF(A104=0,0,"Reporte de Trazabiidad"&amp;" - "&amp;'[1]Donor Summary'!$C$2&amp;" - "&amp;A104&amp;"")</f>
        <v>Reporte de Trazabiidad -  - ECO FOOD &amp; HEALTH S.A.</v>
      </c>
    </row>
    <row r="105" spans="1:106" x14ac:dyDescent="0.55000000000000004">
      <c r="A105" s="14" t="s">
        <v>265</v>
      </c>
      <c r="B105" s="15">
        <f>INT(IFERROR(VLOOKUP(A105,'[1]Donor Summary'!C:F,3,0),0))</f>
        <v>0</v>
      </c>
      <c r="C105" s="15">
        <f>INT(ROUND(IFERROR(VLOOKUP(A105,'[1]Donor Summary'!C:F,4,0),0),1))</f>
        <v>0</v>
      </c>
      <c r="D105" s="16">
        <f t="shared" si="36"/>
        <v>0</v>
      </c>
      <c r="E105" s="17" t="str">
        <f t="shared" si="37"/>
        <v>0.00%</v>
      </c>
      <c r="F105" s="17" t="str">
        <f t="shared" si="38"/>
        <v>0.0%</v>
      </c>
      <c r="G105" s="15">
        <f t="shared" si="40"/>
        <v>0</v>
      </c>
      <c r="H105" s="18"/>
      <c r="I105" s="18">
        <f>IFERROR(VLOOKUP(A105,'[1]Lot All by Part'!T:Y,6,0),0)</f>
        <v>0</v>
      </c>
      <c r="J105" s="18"/>
      <c r="K105" s="19">
        <f>IFERROR(VLOOKUP($A105,'[1]Donor-Served OBs'!A:N,3,0),0)</f>
        <v>0</v>
      </c>
      <c r="L105" s="19">
        <f>ROUNDUP(IF(A105=0,0,IFERROR(VLOOKUP($A105,'[1]Donor''s Assigned Kilos'!A:O,3,0),0)),0)</f>
        <v>0</v>
      </c>
      <c r="M105" s="19">
        <f>IF(A105=0,0,IFERROR(SUMIFS([1]Population!M:M,[1]Population!J:J,'MASTER-2025'!A105),0))</f>
        <v>0</v>
      </c>
      <c r="N105" s="20">
        <f>IFERROR(VLOOKUP($A105,'[1]Donor-Served OBs'!A:N,4,0),0)</f>
        <v>0</v>
      </c>
      <c r="O105" s="20">
        <f>ROUNDUP(IF(A105=0,0,IFERROR(VLOOKUP($A105,'[1]Donor''s Assigned Kilos'!A:O,4,0),0)),0)</f>
        <v>0</v>
      </c>
      <c r="P105" s="20">
        <f>IF(A105=0,0,IFERROR(SUMIFS([1]Population!N:N,[1]Population!J:J,'MASTER-2025'!A105),0))</f>
        <v>0</v>
      </c>
      <c r="Q105" s="18">
        <f>IFERROR(VLOOKUP($A105,'[1]Donor-Served OBs'!A:N,2,0),0)</f>
        <v>0</v>
      </c>
      <c r="R105" s="18">
        <f>ROUNDUP(ROUND(IF(A105=0,0,IFERROR(VLOOKUP($A105,'[1]Donor''s Assigned Kilos'!A:O,9,0),0)),1),0)</f>
        <v>0</v>
      </c>
      <c r="S105" s="18">
        <f>IF(A105=0,0,IFERROR(SUMIFS([1]Population!S:S,[1]Population!J:J,'MASTER-2025'!A105),0))</f>
        <v>0</v>
      </c>
      <c r="T105" s="19">
        <f>IFERROR(VLOOKUP($A105,'[1]Donor-Served OBs'!A:N,12,0),0)</f>
        <v>0</v>
      </c>
      <c r="U105" s="19">
        <f>ROUNDUP(IF(A105=0,0,IF(A105=0,0,IFERROR(VLOOKUP($A105,'[1]Donor''s Assigned Kilos'!A:O,7,0),0))),0)</f>
        <v>0</v>
      </c>
      <c r="V105" s="19">
        <f>IF(A105=0,0,IFERROR(SUMIFS([1]Population!Q:Q,[1]Population!J:J,'MASTER-2025'!A105),0))</f>
        <v>0</v>
      </c>
      <c r="W105" s="20">
        <f>IFERROR(VLOOKUP($A105,'[1]Donor-Served OBs'!A:N,10,0),0)</f>
        <v>0</v>
      </c>
      <c r="X105" s="20">
        <f>ROUNDUP(IF(A105=0,0,IFERROR(VLOOKUP($A105,'[1]Donor''s Assigned Kilos'!A:N,5,0),0)),0)</f>
        <v>0</v>
      </c>
      <c r="Y105" s="20">
        <f>IF(A105=0,0,IFERROR(SUMIFS([1]Population!O:O,[1]Population!J:J,'MASTER-2025'!A105),0))</f>
        <v>0</v>
      </c>
      <c r="Z105" s="18">
        <f>IFERROR(VLOOKUP($A105,'[1]Donor-Served OBs'!A:N,6,0),0)</f>
        <v>0</v>
      </c>
      <c r="AA105" s="18">
        <f>ROUNDUP(IF(A105=0,0,IFERROR(VLOOKUP($A105,'[1]Donor''s Assigned Kilos'!A:N,11,0),0)),0)</f>
        <v>0</v>
      </c>
      <c r="AB105" s="18">
        <f>IF(A105=0,0,IFERROR(SUMIFS([1]Population!U:U,[1]Population!J:J,'MASTER-2025'!A105),0))</f>
        <v>0</v>
      </c>
      <c r="AC105" s="19">
        <f>IFERROR(VLOOKUP($A105,'[1]Donor-Served OBs'!A:N,7,0),0)</f>
        <v>0</v>
      </c>
      <c r="AD105" s="19">
        <f>ROUNDUP(IF(A105=0,0,IFERROR(VLOOKUP($A105,'[1]Donor''s Assigned Kilos'!A:N,8,0),0)),0)</f>
        <v>0</v>
      </c>
      <c r="AE105" s="19">
        <f>IF(A105=0,0,IFERROR(SUMIFS([1]Population!R:R,[1]Population!J:J,'MASTER-2025'!A105),0))</f>
        <v>0</v>
      </c>
      <c r="AF105" s="20">
        <f>IFERROR(VLOOKUP($A105,'[1]Donor-Served OBs'!A:N,8,0),0)</f>
        <v>0</v>
      </c>
      <c r="AG105" s="20">
        <f>ROUNDUP(IF(A105=0,0,IFERROR(VLOOKUP($A105,'[1]Donor''s Assigned Kilos'!A:N,6,0),0)),0)</f>
        <v>0</v>
      </c>
      <c r="AH105" s="20">
        <f>IF(A105=0,0,IFERROR(SUMIFS([1]Population!P:P,[1]Population!J:J,'MASTER-2025'!A105),0))</f>
        <v>0</v>
      </c>
      <c r="AI105" s="18">
        <f>IFERROR(VLOOKUP($A105,'[1]Donor-Served OBs'!A:N,9,0),0)</f>
        <v>0</v>
      </c>
      <c r="AJ105" s="18">
        <f>ROUNDUP(IF(A105=0,0,IFERROR(VLOOKUP($A105,'[1]Donor''s Assigned Kilos'!A:N,12,0),0)),0)</f>
        <v>0</v>
      </c>
      <c r="AK105" s="18">
        <f>IF(A105=0,0,IFERROR(SUMIFS([1]Population!V:V,[1]Population!J:J,'MASTER-2025'!A105),0))</f>
        <v>0</v>
      </c>
      <c r="AL105" s="19">
        <f>IFERROR(VLOOKUP($A105,'[1]Donor-Served OBs'!A:N,16,0),0)</f>
        <v>0</v>
      </c>
      <c r="AM105" s="19">
        <f>ROUNDUP(IF(A105=0,0,IFERROR(VLOOKUP($A105,'[1]Donor''s Assigned Kilos'!A:O,16,0),0)),0)</f>
        <v>0</v>
      </c>
      <c r="AN105" s="19">
        <f>IF(A105=0,0,IFERROR(SUMIFS([1]Population!Z:Z,[1]Population!J:J,'MASTER-2025'!A105),0))</f>
        <v>0</v>
      </c>
      <c r="AO105" s="20">
        <f>IFERROR(VLOOKUP($A105,'[1]Donor-Served OBs'!A:N,11,0),0)</f>
        <v>0</v>
      </c>
      <c r="AP105" s="20">
        <f>ROUNDUP(IF(A105=0,0,IFERROR(VLOOKUP($A105,'[1]Donor''s Assigned Kilos'!A:N,13,0),0)),0)</f>
        <v>0</v>
      </c>
      <c r="AQ105" s="20">
        <f>IF(A105=0,0,IFERROR(SUMIFS([1]Population!W:W,[1]Population!J:J,'MASTER-2025'!A105),0))</f>
        <v>0</v>
      </c>
      <c r="AR105" s="18">
        <f>IFERROR(VLOOKUP($A105,'[1]Donor-Served OBs'!A:N,5,0),0)</f>
        <v>0</v>
      </c>
      <c r="AS105" s="18">
        <f>ROUNDUP(IF(A105=0,0,IFERROR(VLOOKUP($A105,'[1]Donor''s Assigned Kilos'!A:N,10,0),0)),0)</f>
        <v>0</v>
      </c>
      <c r="AT105" s="18">
        <f>IF(A105=0,0,IFERROR(SUMIFS([1]Population!T:T,[1]Population!J:J,'MASTER-2025'!A105),0))</f>
        <v>0</v>
      </c>
      <c r="AU105" s="19">
        <f>IFERROR(VLOOKUP($A105,'[1]Donor-Served OBs'!A:N,13,0),0)</f>
        <v>0</v>
      </c>
      <c r="AV105" s="19">
        <f>ROUNDUP(IF(A105=0,0,IFERROR(VLOOKUP($A105,'[1]Donor''s Assigned Kilos'!A:N,14,0),0)),0)</f>
        <v>0</v>
      </c>
      <c r="AW105" s="19">
        <f>IF(A105=0,0,IFERROR(SUMIFS([1]Population!X:X,[1]Population!J:J,'MASTER-2025'!A105),0))</f>
        <v>0</v>
      </c>
      <c r="AX105" s="20">
        <f>IFERROR(VLOOKUP($A105,'[1]Donor-Served OBs'!A:N,16,0),0)</f>
        <v>0</v>
      </c>
      <c r="AY105" s="20">
        <f>ROUNDUP(IF(A105=0,0,IFERROR(VLOOKUP($A105,'[1]Donor''s Assigned Kilos'!A:O,16,0),0)),0)</f>
        <v>0</v>
      </c>
      <c r="AZ105" s="20">
        <f>IF(A105=0,0,IFERROR(SUMIFS([1]Population!Y:Y,[1]Population!J:J,'MASTER-2025'!A105),0))</f>
        <v>0</v>
      </c>
      <c r="BA105" s="21">
        <f t="shared" si="34"/>
        <v>0</v>
      </c>
      <c r="BB105" s="21">
        <f t="shared" si="29"/>
        <v>0</v>
      </c>
      <c r="BC105" s="21">
        <f t="shared" si="39"/>
        <v>0</v>
      </c>
      <c r="BD105" s="21">
        <f t="shared" si="41"/>
        <v>0</v>
      </c>
      <c r="BE105" s="22" t="e">
        <f>IF(A105=0,0,SUMIFS([1]Population!C:C,[1]Population!A:A,'MASTER-2025'!A105))</f>
        <v>#VALUE!</v>
      </c>
      <c r="BF105" s="22" t="e">
        <f>IF(A105=0,0,SUMIFS([1]Population!D:D,[1]Population!A:A,'MASTER-2025'!A105))</f>
        <v>#VALUE!</v>
      </c>
      <c r="BG105" s="22" t="e">
        <f>IF(A105=0,0,SUMIFS([1]Population!E:E,[1]Population!A:A,'MASTER-2025'!A105))</f>
        <v>#VALUE!</v>
      </c>
      <c r="BH105" s="22" t="e">
        <f>IF(A105=0,0,SUMIFS([1]Population!F:F,[1]Population!A:A,'MASTER-2025'!A105))</f>
        <v>#VALUE!</v>
      </c>
      <c r="BI105" s="22" t="e">
        <f t="shared" si="35"/>
        <v>#VALUE!</v>
      </c>
      <c r="BJ105" s="23" t="e">
        <f t="shared" si="30"/>
        <v>#VALUE!</v>
      </c>
      <c r="BK105" s="22" t="e">
        <f>IF(A105=0,0,SUMIFS([1]Population!G:G,[1]Population!A:A,'MASTER-2025'!A105))</f>
        <v>#VALUE!</v>
      </c>
      <c r="BL105" s="24" cm="1">
        <f t="array" ref="BL105:BW105">IFERROR(VLOOKUP(A105,'[1]Now-OB-kg-POB-25'!A:AQ,{3,4,5,6,7,8,9,10,11,12,13,14},0),0)</f>
        <v>6</v>
      </c>
      <c r="BM105" s="24">
        <v>4</v>
      </c>
      <c r="BN105" s="24">
        <v>1</v>
      </c>
      <c r="BO105" s="24">
        <v>0</v>
      </c>
      <c r="BP105" s="24">
        <v>0</v>
      </c>
      <c r="BQ105" s="24">
        <v>0</v>
      </c>
      <c r="BR105" s="24">
        <v>0</v>
      </c>
      <c r="BS105" s="24">
        <v>0</v>
      </c>
      <c r="BT105" s="24">
        <v>0</v>
      </c>
      <c r="BU105" s="24">
        <v>0</v>
      </c>
      <c r="BV105" s="24">
        <v>0</v>
      </c>
      <c r="BW105" s="24">
        <v>0</v>
      </c>
      <c r="BX105" s="24">
        <f t="shared" si="31"/>
        <v>11</v>
      </c>
      <c r="BY105" s="25" cm="1">
        <f t="array" ref="BY105:CJ105">IFERROR(VLOOKUP(A105,'[1]Now-OB-kg-POB-25'!A:AQ,{17,18,19,20,21,22,23,24,25,26,27,28},0),0)</f>
        <v>46</v>
      </c>
      <c r="BZ105" s="25">
        <v>31</v>
      </c>
      <c r="CA105" s="25">
        <v>30</v>
      </c>
      <c r="CB105" s="25">
        <v>0</v>
      </c>
      <c r="CC105" s="25">
        <v>0</v>
      </c>
      <c r="CD105" s="25">
        <v>0</v>
      </c>
      <c r="CE105" s="25">
        <v>0</v>
      </c>
      <c r="CF105" s="25">
        <v>0</v>
      </c>
      <c r="CG105" s="25">
        <v>0</v>
      </c>
      <c r="CH105" s="25">
        <v>0</v>
      </c>
      <c r="CI105" s="25">
        <v>0</v>
      </c>
      <c r="CJ105" s="25">
        <v>0</v>
      </c>
      <c r="CK105" s="25">
        <f t="shared" si="32"/>
        <v>107</v>
      </c>
      <c r="CL105" s="26" cm="1">
        <f t="array" ref="CL105:CW105">IFERROR(VLOOKUP(A105,'[1]Now-OB-kg-POB-25'!A:AQ,{31,32,33,34,35,36,37,38,39,40,41,42},0),0)</f>
        <v>1342</v>
      </c>
      <c r="CM105" s="26">
        <v>1272</v>
      </c>
      <c r="CN105" s="26">
        <v>180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0</v>
      </c>
      <c r="CU105" s="26">
        <v>0</v>
      </c>
      <c r="CV105" s="26">
        <v>0</v>
      </c>
      <c r="CW105" s="26">
        <v>0</v>
      </c>
      <c r="CX105" s="26">
        <f t="shared" si="33"/>
        <v>2794</v>
      </c>
      <c r="CY105" s="14" t="str">
        <f>IF(A105=0,0,IFERROR(VLOOKUP(A105,'[1]Info Donantes'!C:F,2,0),"Sin Contacto"))</f>
        <v>Sin Contacto</v>
      </c>
      <c r="CZ105" s="14" t="str">
        <f>IF(A105=0,0,IFERROR(VLOOKUP(A105,'[1]Info Donantes'!C:F,3,0),"Sin Correo"))</f>
        <v>Sin Correo</v>
      </c>
      <c r="DA105" s="14" t="str">
        <f>IF(A105=0,0,IFERROR(VLOOKUP(A105,'[1]Info Donantes'!C:F,4,0),"Sin Telefono"))</f>
        <v>Sin Telefono</v>
      </c>
      <c r="DB105" s="14" t="str">
        <f>IF(A105=0,0,"Reporte de Trazabiidad"&amp;" - "&amp;'[1]Donor Summary'!$C$2&amp;" - "&amp;A105&amp;"")</f>
        <v>Reporte de Trazabiidad -  - CORONADO ACL S.A. (LEUDO BAKERY)</v>
      </c>
    </row>
    <row r="106" spans="1:106" x14ac:dyDescent="0.55000000000000004">
      <c r="A106" s="14" t="s">
        <v>266</v>
      </c>
      <c r="B106" s="15">
        <f>INT(IFERROR(VLOOKUP(A106,'[1]Donor Summary'!C:F,3,0),0))</f>
        <v>0</v>
      </c>
      <c r="C106" s="15">
        <f>INT(ROUND(IFERROR(VLOOKUP(A106,'[1]Donor Summary'!C:F,4,0),0),1))</f>
        <v>0</v>
      </c>
      <c r="D106" s="16">
        <f t="shared" si="36"/>
        <v>0</v>
      </c>
      <c r="E106" s="17" t="str">
        <f t="shared" si="37"/>
        <v>0.00%</v>
      </c>
      <c r="F106" s="17" t="str">
        <f t="shared" si="38"/>
        <v>0.0%</v>
      </c>
      <c r="G106" s="15">
        <f t="shared" si="40"/>
        <v>0</v>
      </c>
      <c r="H106" s="18"/>
      <c r="I106" s="18">
        <f>IFERROR(VLOOKUP(A106,'[1]Lot All by Part'!T:Y,6,0),0)</f>
        <v>0</v>
      </c>
      <c r="J106" s="18"/>
      <c r="K106" s="19">
        <f>IFERROR(VLOOKUP($A106,'[1]Donor-Served OBs'!A:N,3,0),0)</f>
        <v>0</v>
      </c>
      <c r="L106" s="19">
        <f>ROUNDUP(IF(A106=0,0,IFERROR(VLOOKUP($A106,'[1]Donor''s Assigned Kilos'!A:O,3,0),0)),0)</f>
        <v>0</v>
      </c>
      <c r="M106" s="19">
        <f>IF(A106=0,0,IFERROR(SUMIFS([1]Population!M:M,[1]Population!J:J,'MASTER-2025'!A106),0))</f>
        <v>0</v>
      </c>
      <c r="N106" s="20">
        <f>IFERROR(VLOOKUP($A106,'[1]Donor-Served OBs'!A:N,4,0),0)</f>
        <v>0</v>
      </c>
      <c r="O106" s="20">
        <f>ROUNDUP(IF(A106=0,0,IFERROR(VLOOKUP($A106,'[1]Donor''s Assigned Kilos'!A:O,4,0),0)),0)</f>
        <v>0</v>
      </c>
      <c r="P106" s="20">
        <f>IF(A106=0,0,IFERROR(SUMIFS([1]Population!N:N,[1]Population!J:J,'MASTER-2025'!A106),0))</f>
        <v>0</v>
      </c>
      <c r="Q106" s="18">
        <f>IFERROR(VLOOKUP($A106,'[1]Donor-Served OBs'!A:N,2,0),0)</f>
        <v>0</v>
      </c>
      <c r="R106" s="18">
        <f>ROUNDUP(ROUND(IF(A106=0,0,IFERROR(VLOOKUP($A106,'[1]Donor''s Assigned Kilos'!A:O,9,0),0)),1),0)</f>
        <v>0</v>
      </c>
      <c r="S106" s="18">
        <f>IF(A106=0,0,IFERROR(SUMIFS([1]Population!S:S,[1]Population!J:J,'MASTER-2025'!A106),0))</f>
        <v>0</v>
      </c>
      <c r="T106" s="19">
        <f>IFERROR(VLOOKUP($A106,'[1]Donor-Served OBs'!A:N,12,0),0)</f>
        <v>0</v>
      </c>
      <c r="U106" s="19">
        <f>ROUNDUP(IF(A106=0,0,IF(A106=0,0,IFERROR(VLOOKUP($A106,'[1]Donor''s Assigned Kilos'!A:O,7,0),0))),0)</f>
        <v>0</v>
      </c>
      <c r="V106" s="19">
        <f>IF(A106=0,0,IFERROR(SUMIFS([1]Population!Q:Q,[1]Population!J:J,'MASTER-2025'!A106),0))</f>
        <v>0</v>
      </c>
      <c r="W106" s="20">
        <f>IFERROR(VLOOKUP($A106,'[1]Donor-Served OBs'!A:N,10,0),0)</f>
        <v>0</v>
      </c>
      <c r="X106" s="20">
        <f>ROUNDUP(IF(A106=0,0,IFERROR(VLOOKUP($A106,'[1]Donor''s Assigned Kilos'!A:N,5,0),0)),0)</f>
        <v>0</v>
      </c>
      <c r="Y106" s="20">
        <f>IF(A106=0,0,IFERROR(SUMIFS([1]Population!O:O,[1]Population!J:J,'MASTER-2025'!A106),0))</f>
        <v>0</v>
      </c>
      <c r="Z106" s="18">
        <f>IFERROR(VLOOKUP($A106,'[1]Donor-Served OBs'!A:N,6,0),0)</f>
        <v>0</v>
      </c>
      <c r="AA106" s="18">
        <f>ROUNDUP(IF(A106=0,0,IFERROR(VLOOKUP($A106,'[1]Donor''s Assigned Kilos'!A:N,11,0),0)),0)</f>
        <v>0</v>
      </c>
      <c r="AB106" s="18">
        <f>IF(A106=0,0,IFERROR(SUMIFS([1]Population!U:U,[1]Population!J:J,'MASTER-2025'!A106),0))</f>
        <v>0</v>
      </c>
      <c r="AC106" s="19">
        <f>IFERROR(VLOOKUP($A106,'[1]Donor-Served OBs'!A:N,7,0),0)</f>
        <v>0</v>
      </c>
      <c r="AD106" s="19">
        <f>ROUNDUP(IF(A106=0,0,IFERROR(VLOOKUP($A106,'[1]Donor''s Assigned Kilos'!A:N,8,0),0)),0)</f>
        <v>0</v>
      </c>
      <c r="AE106" s="19">
        <f>IF(A106=0,0,IFERROR(SUMIFS([1]Population!R:R,[1]Population!J:J,'MASTER-2025'!A106),0))</f>
        <v>0</v>
      </c>
      <c r="AF106" s="20">
        <f>IFERROR(VLOOKUP($A106,'[1]Donor-Served OBs'!A:N,8,0),0)</f>
        <v>0</v>
      </c>
      <c r="AG106" s="20">
        <f>ROUNDUP(IF(A106=0,0,IFERROR(VLOOKUP($A106,'[1]Donor''s Assigned Kilos'!A:N,6,0),0)),0)</f>
        <v>0</v>
      </c>
      <c r="AH106" s="20">
        <f>IF(A106=0,0,IFERROR(SUMIFS([1]Population!P:P,[1]Population!J:J,'MASTER-2025'!A106),0))</f>
        <v>0</v>
      </c>
      <c r="AI106" s="18">
        <f>IFERROR(VLOOKUP($A106,'[1]Donor-Served OBs'!A:N,9,0),0)</f>
        <v>0</v>
      </c>
      <c r="AJ106" s="18">
        <f>ROUNDUP(IF(A106=0,0,IFERROR(VLOOKUP($A106,'[1]Donor''s Assigned Kilos'!A:N,12,0),0)),0)</f>
        <v>0</v>
      </c>
      <c r="AK106" s="18">
        <f>IF(A106=0,0,IFERROR(SUMIFS([1]Population!V:V,[1]Population!J:J,'MASTER-2025'!A106),0))</f>
        <v>0</v>
      </c>
      <c r="AL106" s="19">
        <f>IFERROR(VLOOKUP($A106,'[1]Donor-Served OBs'!A:N,16,0),0)</f>
        <v>0</v>
      </c>
      <c r="AM106" s="19">
        <f>ROUNDUP(IF(A106=0,0,IFERROR(VLOOKUP($A106,'[1]Donor''s Assigned Kilos'!A:O,16,0),0)),0)</f>
        <v>0</v>
      </c>
      <c r="AN106" s="19">
        <f>IF(A106=0,0,IFERROR(SUMIFS([1]Population!Z:Z,[1]Population!J:J,'MASTER-2025'!A106),0))</f>
        <v>0</v>
      </c>
      <c r="AO106" s="20">
        <f>IFERROR(VLOOKUP($A106,'[1]Donor-Served OBs'!A:N,11,0),0)</f>
        <v>0</v>
      </c>
      <c r="AP106" s="20">
        <f>ROUNDUP(IF(A106=0,0,IFERROR(VLOOKUP($A106,'[1]Donor''s Assigned Kilos'!A:N,13,0),0)),0)</f>
        <v>0</v>
      </c>
      <c r="AQ106" s="20">
        <f>IF(A106=0,0,IFERROR(SUMIFS([1]Population!W:W,[1]Population!J:J,'MASTER-2025'!A106),0))</f>
        <v>0</v>
      </c>
      <c r="AR106" s="18">
        <f>IFERROR(VLOOKUP($A106,'[1]Donor-Served OBs'!A:N,5,0),0)</f>
        <v>0</v>
      </c>
      <c r="AS106" s="18">
        <f>ROUNDUP(IF(A106=0,0,IFERROR(VLOOKUP($A106,'[1]Donor''s Assigned Kilos'!A:N,10,0),0)),0)</f>
        <v>0</v>
      </c>
      <c r="AT106" s="18">
        <f>IF(A106=0,0,IFERROR(SUMIFS([1]Population!T:T,[1]Population!J:J,'MASTER-2025'!A106),0))</f>
        <v>0</v>
      </c>
      <c r="AU106" s="19">
        <f>IFERROR(VLOOKUP($A106,'[1]Donor-Served OBs'!A:N,13,0),0)</f>
        <v>0</v>
      </c>
      <c r="AV106" s="19">
        <f>ROUNDUP(IF(A106=0,0,IFERROR(VLOOKUP($A106,'[1]Donor''s Assigned Kilos'!A:N,14,0),0)),0)</f>
        <v>0</v>
      </c>
      <c r="AW106" s="19">
        <f>IF(A106=0,0,IFERROR(SUMIFS([1]Population!X:X,[1]Population!J:J,'MASTER-2025'!A106),0))</f>
        <v>0</v>
      </c>
      <c r="AX106" s="20">
        <f>IFERROR(VLOOKUP($A106,'[1]Donor-Served OBs'!A:N,16,0),0)</f>
        <v>0</v>
      </c>
      <c r="AY106" s="20">
        <f>ROUNDUP(IF(A106=0,0,IFERROR(VLOOKUP($A106,'[1]Donor''s Assigned Kilos'!A:O,16,0),0)),0)</f>
        <v>0</v>
      </c>
      <c r="AZ106" s="20">
        <f>IF(A106=0,0,IFERROR(SUMIFS([1]Population!Y:Y,[1]Population!J:J,'MASTER-2025'!A106),0))</f>
        <v>0</v>
      </c>
      <c r="BA106" s="21">
        <f t="shared" si="34"/>
        <v>0</v>
      </c>
      <c r="BB106" s="21">
        <f t="shared" si="29"/>
        <v>0</v>
      </c>
      <c r="BC106" s="21">
        <f t="shared" si="39"/>
        <v>0</v>
      </c>
      <c r="BD106" s="21">
        <f t="shared" si="41"/>
        <v>0</v>
      </c>
      <c r="BE106" s="22" t="e">
        <f>IF(A106=0,0,SUMIFS([1]Population!C:C,[1]Population!A:A,'MASTER-2025'!A106))</f>
        <v>#VALUE!</v>
      </c>
      <c r="BF106" s="22" t="e">
        <f>IF(A106=0,0,SUMIFS([1]Population!D:D,[1]Population!A:A,'MASTER-2025'!A106))</f>
        <v>#VALUE!</v>
      </c>
      <c r="BG106" s="22" t="e">
        <f>IF(A106=0,0,SUMIFS([1]Population!E:E,[1]Population!A:A,'MASTER-2025'!A106))</f>
        <v>#VALUE!</v>
      </c>
      <c r="BH106" s="22" t="e">
        <f>IF(A106=0,0,SUMIFS([1]Population!F:F,[1]Population!A:A,'MASTER-2025'!A106))</f>
        <v>#VALUE!</v>
      </c>
      <c r="BI106" s="22" t="e">
        <f t="shared" si="35"/>
        <v>#VALUE!</v>
      </c>
      <c r="BJ106" s="23" t="e">
        <f t="shared" si="30"/>
        <v>#VALUE!</v>
      </c>
      <c r="BK106" s="22" t="e">
        <f>IF(A106=0,0,SUMIFS([1]Population!G:G,[1]Population!A:A,'MASTER-2025'!A106))</f>
        <v>#VALUE!</v>
      </c>
      <c r="BL106" s="24" cm="1">
        <f t="array" ref="BL106:BW106">IFERROR(VLOOKUP(A106,'[1]Now-OB-kg-POB-25'!A:AQ,{3,4,5,6,7,8,9,10,11,12,13,14},0),0)</f>
        <v>9</v>
      </c>
      <c r="BM106" s="24">
        <v>0</v>
      </c>
      <c r="BN106" s="24">
        <v>0</v>
      </c>
      <c r="BO106" s="24">
        <v>0</v>
      </c>
      <c r="BP106" s="24">
        <v>0</v>
      </c>
      <c r="BQ106" s="24">
        <v>0</v>
      </c>
      <c r="BR106" s="24">
        <v>0</v>
      </c>
      <c r="BS106" s="24">
        <v>0</v>
      </c>
      <c r="BT106" s="24">
        <v>0</v>
      </c>
      <c r="BU106" s="24">
        <v>0</v>
      </c>
      <c r="BV106" s="24">
        <v>0</v>
      </c>
      <c r="BW106" s="24">
        <v>0</v>
      </c>
      <c r="BX106" s="24">
        <f t="shared" si="31"/>
        <v>9</v>
      </c>
      <c r="BY106" s="25" cm="1">
        <f t="array" ref="BY106:CJ106">IFERROR(VLOOKUP(A106,'[1]Now-OB-kg-POB-25'!A:AQ,{17,18,19,20,21,22,23,24,25,26,27,28},0),0)</f>
        <v>378</v>
      </c>
      <c r="BZ106" s="25">
        <v>0</v>
      </c>
      <c r="CA106" s="25">
        <v>0</v>
      </c>
      <c r="CB106" s="25">
        <v>0</v>
      </c>
      <c r="CC106" s="25">
        <v>0</v>
      </c>
      <c r="CD106" s="25">
        <v>0</v>
      </c>
      <c r="CE106" s="25">
        <v>0</v>
      </c>
      <c r="CF106" s="25">
        <v>0</v>
      </c>
      <c r="CG106" s="25">
        <v>0</v>
      </c>
      <c r="CH106" s="25">
        <v>0</v>
      </c>
      <c r="CI106" s="25">
        <v>0</v>
      </c>
      <c r="CJ106" s="25">
        <v>0</v>
      </c>
      <c r="CK106" s="25">
        <f t="shared" si="32"/>
        <v>378</v>
      </c>
      <c r="CL106" s="26" cm="1">
        <f t="array" ref="CL106:CW106">IFERROR(VLOOKUP(A106,'[1]Now-OB-kg-POB-25'!A:AQ,{31,32,33,34,35,36,37,38,39,40,41,42},0),0)</f>
        <v>4042</v>
      </c>
      <c r="CM106" s="26">
        <v>0</v>
      </c>
      <c r="CN106" s="26">
        <v>0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0</v>
      </c>
      <c r="CU106" s="26">
        <v>0</v>
      </c>
      <c r="CV106" s="26">
        <v>0</v>
      </c>
      <c r="CW106" s="26">
        <v>0</v>
      </c>
      <c r="CX106" s="26">
        <f t="shared" si="33"/>
        <v>4042</v>
      </c>
      <c r="CY106" s="14" t="str">
        <f>IF(A106=0,0,IFERROR(VLOOKUP(A106,'[1]Info Donantes'!C:F,2,0),"Sin Contacto"))</f>
        <v>Sin Contacto</v>
      </c>
      <c r="CZ106" s="14" t="str">
        <f>IF(A106=0,0,IFERROR(VLOOKUP(A106,'[1]Info Donantes'!C:F,3,0),"Sin Correo"))</f>
        <v>Sin Correo</v>
      </c>
      <c r="DA106" s="14" t="str">
        <f>IF(A106=0,0,IFERROR(VLOOKUP(A106,'[1]Info Donantes'!C:F,4,0),"Sin Telefono"))</f>
        <v>Sin Telefono</v>
      </c>
      <c r="DB106" s="14" t="str">
        <f>IF(A106=0,0,"Reporte de Trazabiidad"&amp;" - "&amp;'[1]Donor Summary'!$C$2&amp;" - "&amp;A106&amp;"")</f>
        <v>Reporte de Trazabiidad -  - Office of the 1st Lady</v>
      </c>
    </row>
    <row r="107" spans="1:106" x14ac:dyDescent="0.55000000000000004">
      <c r="A107" s="14" t="s">
        <v>267</v>
      </c>
      <c r="B107" s="15">
        <f>INT(IFERROR(VLOOKUP(A107,'[1]Donor Summary'!C:F,3,0),0))</f>
        <v>0</v>
      </c>
      <c r="C107" s="15">
        <f>INT(ROUND(IFERROR(VLOOKUP(A107,'[1]Donor Summary'!C:F,4,0),0),1))</f>
        <v>908</v>
      </c>
      <c r="D107" s="16">
        <f t="shared" si="36"/>
        <v>908</v>
      </c>
      <c r="E107" s="17" t="str">
        <f t="shared" si="37"/>
        <v>100.00%</v>
      </c>
      <c r="F107" s="17" t="str">
        <f t="shared" si="38"/>
        <v>0.0%</v>
      </c>
      <c r="G107" s="15">
        <f t="shared" si="40"/>
        <v>2724</v>
      </c>
      <c r="H107" s="18"/>
      <c r="I107" s="18">
        <f>IFERROR(VLOOKUP(A107,'[1]Lot All by Part'!T:Y,6,0),0)</f>
        <v>0</v>
      </c>
      <c r="J107" s="18"/>
      <c r="K107" s="19">
        <f>IFERROR(VLOOKUP($A107,'[1]Donor-Served OBs'!A:N,3,0),0)</f>
        <v>5</v>
      </c>
      <c r="L107" s="19">
        <f>ROUNDUP(IF(A107=0,0,IFERROR(VLOOKUP($A107,'[1]Donor''s Assigned Kilos'!A:O,3,0),0)),0)</f>
        <v>102</v>
      </c>
      <c r="M107" s="19">
        <f>IF(A107=0,0,IFERROR(SUMIFS([1]Population!M:M,[1]Population!J:J,'MASTER-2025'!A107),0))</f>
        <v>0</v>
      </c>
      <c r="N107" s="20">
        <f>IFERROR(VLOOKUP($A107,'[1]Donor-Served OBs'!A:N,4,0),0)</f>
        <v>8</v>
      </c>
      <c r="O107" s="20">
        <f>ROUNDUP(IF(A107=0,0,IFERROR(VLOOKUP($A107,'[1]Donor''s Assigned Kilos'!A:O,4,0),0)),0)</f>
        <v>402</v>
      </c>
      <c r="P107" s="20">
        <f>IF(A107=0,0,IFERROR(SUMIFS([1]Population!N:N,[1]Population!J:J,'MASTER-2025'!A107),0))</f>
        <v>0</v>
      </c>
      <c r="Q107" s="18">
        <f>IFERROR(VLOOKUP($A107,'[1]Donor-Served OBs'!A:N,2,0),0)</f>
        <v>1</v>
      </c>
      <c r="R107" s="18">
        <f>ROUNDUP(ROUND(IF(A107=0,0,IFERROR(VLOOKUP($A107,'[1]Donor''s Assigned Kilos'!A:O,9,0),0)),1),0)</f>
        <v>20</v>
      </c>
      <c r="S107" s="18">
        <f>IF(A107=0,0,IFERROR(SUMIFS([1]Population!S:S,[1]Population!J:J,'MASTER-2025'!A107),0))</f>
        <v>0</v>
      </c>
      <c r="T107" s="19">
        <f>IFERROR(VLOOKUP($A107,'[1]Donor-Served OBs'!A:N,12,0),0)</f>
        <v>2</v>
      </c>
      <c r="U107" s="19">
        <f>ROUNDUP(IF(A107=0,0,IF(A107=0,0,IFERROR(VLOOKUP($A107,'[1]Donor''s Assigned Kilos'!A:O,7,0),0))),0)</f>
        <v>110</v>
      </c>
      <c r="V107" s="19">
        <f>IF(A107=0,0,IFERROR(SUMIFS([1]Population!Q:Q,[1]Population!J:J,'MASTER-2025'!A107),0))</f>
        <v>0</v>
      </c>
      <c r="W107" s="20">
        <f>IFERROR(VLOOKUP($A107,'[1]Donor-Served OBs'!A:N,10,0),0)</f>
        <v>4</v>
      </c>
      <c r="X107" s="20">
        <f>ROUNDUP(IF(A107=0,0,IFERROR(VLOOKUP($A107,'[1]Donor''s Assigned Kilos'!A:N,5,0),0)),0)</f>
        <v>160</v>
      </c>
      <c r="Y107" s="20">
        <f>IF(A107=0,0,IFERROR(SUMIFS([1]Population!O:O,[1]Population!J:J,'MASTER-2025'!A107),0))</f>
        <v>0</v>
      </c>
      <c r="Z107" s="18">
        <f>IFERROR(VLOOKUP($A107,'[1]Donor-Served OBs'!A:N,6,0),0)</f>
        <v>0</v>
      </c>
      <c r="AA107" s="18">
        <f>ROUNDUP(IF(A107=0,0,IFERROR(VLOOKUP($A107,'[1]Donor''s Assigned Kilos'!A:N,11,0),0)),0)</f>
        <v>0</v>
      </c>
      <c r="AB107" s="18">
        <f>IF(A107=0,0,IFERROR(SUMIFS([1]Population!U:U,[1]Population!J:J,'MASTER-2025'!A107),0))</f>
        <v>0</v>
      </c>
      <c r="AC107" s="19">
        <f>IFERROR(VLOOKUP($A107,'[1]Donor-Served OBs'!A:N,7,0),0)</f>
        <v>2</v>
      </c>
      <c r="AD107" s="19">
        <f>ROUNDUP(IF(A107=0,0,IFERROR(VLOOKUP($A107,'[1]Donor''s Assigned Kilos'!A:N,8,0),0)),0)</f>
        <v>114</v>
      </c>
      <c r="AE107" s="19">
        <f>IF(A107=0,0,IFERROR(SUMIFS([1]Population!R:R,[1]Population!J:J,'MASTER-2025'!A107),0))</f>
        <v>0</v>
      </c>
      <c r="AF107" s="20">
        <f>IFERROR(VLOOKUP($A107,'[1]Donor-Served OBs'!A:N,8,0),0)</f>
        <v>0</v>
      </c>
      <c r="AG107" s="20">
        <f>ROUNDUP(IF(A107=0,0,IFERROR(VLOOKUP($A107,'[1]Donor''s Assigned Kilos'!A:N,6,0),0)),0)</f>
        <v>0</v>
      </c>
      <c r="AH107" s="20">
        <f>IF(A107=0,0,IFERROR(SUMIFS([1]Population!P:P,[1]Population!J:J,'MASTER-2025'!A107),0))</f>
        <v>0</v>
      </c>
      <c r="AI107" s="18">
        <f>IFERROR(VLOOKUP($A107,'[1]Donor-Served OBs'!A:N,9,0),0)</f>
        <v>0</v>
      </c>
      <c r="AJ107" s="18">
        <f>ROUNDUP(IF(A107=0,0,IFERROR(VLOOKUP($A107,'[1]Donor''s Assigned Kilos'!A:N,12,0),0)),0)</f>
        <v>0</v>
      </c>
      <c r="AK107" s="18">
        <f>IF(A107=0,0,IFERROR(SUMIFS([1]Population!V:V,[1]Population!J:J,'MASTER-2025'!A107),0))</f>
        <v>0</v>
      </c>
      <c r="AL107" s="19">
        <f>IFERROR(VLOOKUP($A107,'[1]Donor-Served OBs'!A:N,16,0),0)</f>
        <v>0</v>
      </c>
      <c r="AM107" s="19">
        <f>ROUNDUP(IF(A107=0,0,IFERROR(VLOOKUP($A107,'[1]Donor''s Assigned Kilos'!A:O,16,0),0)),0)</f>
        <v>0</v>
      </c>
      <c r="AN107" s="19">
        <f>IF(A107=0,0,IFERROR(SUMIFS([1]Population!Z:Z,[1]Population!J:J,'MASTER-2025'!A107),0))</f>
        <v>0</v>
      </c>
      <c r="AO107" s="20">
        <f>IFERROR(VLOOKUP($A107,'[1]Donor-Served OBs'!A:N,11,0),0)</f>
        <v>0</v>
      </c>
      <c r="AP107" s="20">
        <f>ROUNDUP(IF(A107=0,0,IFERROR(VLOOKUP($A107,'[1]Donor''s Assigned Kilos'!A:N,13,0),0)),0)</f>
        <v>0</v>
      </c>
      <c r="AQ107" s="20">
        <f>IF(A107=0,0,IFERROR(SUMIFS([1]Population!W:W,[1]Population!J:J,'MASTER-2025'!A107),0))</f>
        <v>0</v>
      </c>
      <c r="AR107" s="18">
        <f>IFERROR(VLOOKUP($A107,'[1]Donor-Served OBs'!A:N,5,0),0)</f>
        <v>0</v>
      </c>
      <c r="AS107" s="18">
        <f>ROUNDUP(IF(A107=0,0,IFERROR(VLOOKUP($A107,'[1]Donor''s Assigned Kilos'!A:N,10,0),0)),0)</f>
        <v>0</v>
      </c>
      <c r="AT107" s="18">
        <f>IF(A107=0,0,IFERROR(SUMIFS([1]Population!T:T,[1]Population!J:J,'MASTER-2025'!A107),0))</f>
        <v>0</v>
      </c>
      <c r="AU107" s="19">
        <f>IFERROR(VLOOKUP($A107,'[1]Donor-Served OBs'!A:N,13,0),0)</f>
        <v>0</v>
      </c>
      <c r="AV107" s="19">
        <f>ROUNDUP(IF(A107=0,0,IFERROR(VLOOKUP($A107,'[1]Donor''s Assigned Kilos'!A:N,14,0),0)),0)</f>
        <v>0</v>
      </c>
      <c r="AW107" s="19">
        <f>IF(A107=0,0,IFERROR(SUMIFS([1]Population!X:X,[1]Population!J:J,'MASTER-2025'!A107),0))</f>
        <v>0</v>
      </c>
      <c r="AX107" s="20">
        <f>IFERROR(VLOOKUP($A107,'[1]Donor-Served OBs'!A:N,16,0),0)</f>
        <v>0</v>
      </c>
      <c r="AY107" s="20">
        <f>ROUNDUP(IF(A107=0,0,IFERROR(VLOOKUP($A107,'[1]Donor''s Assigned Kilos'!A:O,16,0),0)),0)</f>
        <v>0</v>
      </c>
      <c r="AZ107" s="20">
        <f>IF(A107=0,0,IFERROR(SUMIFS([1]Population!Y:Y,[1]Population!J:J,'MASTER-2025'!A107),0))</f>
        <v>0</v>
      </c>
      <c r="BA107" s="21">
        <f t="shared" si="34"/>
        <v>22</v>
      </c>
      <c r="BB107" s="21">
        <f t="shared" si="29"/>
        <v>908</v>
      </c>
      <c r="BC107" s="21">
        <f t="shared" si="39"/>
        <v>634</v>
      </c>
      <c r="BD107" s="21">
        <f t="shared" si="41"/>
        <v>0</v>
      </c>
      <c r="BE107" s="22" t="e">
        <f>IF(A107=0,0,SUMIFS([1]Population!C:C,[1]Population!A:A,'MASTER-2025'!A107))</f>
        <v>#VALUE!</v>
      </c>
      <c r="BF107" s="22" t="e">
        <f>IF(A107=0,0,SUMIFS([1]Population!D:D,[1]Population!A:A,'MASTER-2025'!A107))</f>
        <v>#VALUE!</v>
      </c>
      <c r="BG107" s="22" t="e">
        <f>IF(A107=0,0,SUMIFS([1]Population!E:E,[1]Population!A:A,'MASTER-2025'!A107))</f>
        <v>#VALUE!</v>
      </c>
      <c r="BH107" s="22" t="e">
        <f>IF(A107=0,0,SUMIFS([1]Population!F:F,[1]Population!A:A,'MASTER-2025'!A107))</f>
        <v>#VALUE!</v>
      </c>
      <c r="BI107" s="22" t="e">
        <f t="shared" si="35"/>
        <v>#VALUE!</v>
      </c>
      <c r="BJ107" s="23" t="e">
        <f t="shared" si="30"/>
        <v>#VALUE!</v>
      </c>
      <c r="BK107" s="22" t="e">
        <f>IF(A107=0,0,SUMIFS([1]Population!G:G,[1]Population!A:A,'MASTER-2025'!A107))</f>
        <v>#VALUE!</v>
      </c>
      <c r="BL107" s="24" cm="1">
        <f t="array" ref="BL107:BW107">IFERROR(VLOOKUP(A107,'[1]Now-OB-kg-POB-25'!A:AQ,{3,4,5,6,7,8,9,10,11,12,13,14},0),0)</f>
        <v>13</v>
      </c>
      <c r="BM107" s="24">
        <v>13</v>
      </c>
      <c r="BN107" s="24">
        <v>22</v>
      </c>
      <c r="BO107" s="24">
        <v>0</v>
      </c>
      <c r="BP107" s="24">
        <v>0</v>
      </c>
      <c r="BQ107" s="24">
        <v>0</v>
      </c>
      <c r="BR107" s="24">
        <v>0</v>
      </c>
      <c r="BS107" s="24">
        <v>0</v>
      </c>
      <c r="BT107" s="24">
        <v>0</v>
      </c>
      <c r="BU107" s="24">
        <v>0</v>
      </c>
      <c r="BV107" s="24">
        <v>0</v>
      </c>
      <c r="BW107" s="24">
        <v>0</v>
      </c>
      <c r="BX107" s="24">
        <f t="shared" si="31"/>
        <v>48</v>
      </c>
      <c r="BY107" s="25" cm="1">
        <f t="array" ref="BY107:CJ107">IFERROR(VLOOKUP(A107,'[1]Now-OB-kg-POB-25'!A:AQ,{17,18,19,20,21,22,23,24,25,26,27,28},0),0)</f>
        <v>2004</v>
      </c>
      <c r="BZ107" s="25">
        <v>2206</v>
      </c>
      <c r="CA107" s="25">
        <v>908</v>
      </c>
      <c r="CB107" s="25">
        <v>0</v>
      </c>
      <c r="CC107" s="25">
        <v>0</v>
      </c>
      <c r="CD107" s="25">
        <v>0</v>
      </c>
      <c r="CE107" s="25">
        <v>0</v>
      </c>
      <c r="CF107" s="25">
        <v>0</v>
      </c>
      <c r="CG107" s="25">
        <v>0</v>
      </c>
      <c r="CH107" s="25">
        <v>0</v>
      </c>
      <c r="CI107" s="25">
        <v>0</v>
      </c>
      <c r="CJ107" s="25">
        <v>0</v>
      </c>
      <c r="CK107" s="25">
        <f t="shared" si="32"/>
        <v>5118</v>
      </c>
      <c r="CL107" s="26" cm="1">
        <f t="array" ref="CL107:CW107">IFERROR(VLOOKUP(A107,'[1]Now-OB-kg-POB-25'!A:AQ,{31,32,33,34,35,36,37,38,39,40,41,42},0),0)</f>
        <v>2195</v>
      </c>
      <c r="CM107" s="26">
        <v>1424</v>
      </c>
      <c r="CN107" s="26">
        <v>6419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0</v>
      </c>
      <c r="CU107" s="26">
        <v>0</v>
      </c>
      <c r="CV107" s="26">
        <v>0</v>
      </c>
      <c r="CW107" s="26">
        <v>0</v>
      </c>
      <c r="CX107" s="26">
        <f t="shared" si="33"/>
        <v>10038</v>
      </c>
      <c r="CY107" s="14" t="str">
        <f>IF(A107=0,0,IFERROR(VLOOKUP(A107,'[1]Info Donantes'!C:F,2,0),"Sin Contacto"))</f>
        <v>Sandra Beitia</v>
      </c>
      <c r="CZ107" s="14" t="str">
        <f>IF(A107=0,0,IFERROR(VLOOKUP(A107,'[1]Info Donantes'!C:F,3,0),"Sin Correo"))</f>
        <v>lorena.henriquez@estrellaazul.com.pa</v>
      </c>
      <c r="DA107" s="14" t="str">
        <f>IF(A107=0,0,IFERROR(VLOOKUP(A107,'[1]Info Donantes'!C:F,4,0),"Sin Telefono"))</f>
        <v>800-2035</v>
      </c>
      <c r="DB107" s="14" t="str">
        <f>IF(A107=0,0,"Reporte de Trazabiidad"&amp;" - "&amp;'[1]Donor Summary'!$C$2&amp;" - "&amp;A107&amp;"")</f>
        <v>Reporte de Trazabiidad -  - INDUSTRIAS LACTEAS, S.A / Estrella Azul</v>
      </c>
    </row>
    <row r="108" spans="1:106" x14ac:dyDescent="0.55000000000000004">
      <c r="A108" s="14" t="s">
        <v>268</v>
      </c>
      <c r="B108" s="15">
        <f>INT(IFERROR(VLOOKUP(A108,'[1]Donor Summary'!C:F,3,0),0))</f>
        <v>0</v>
      </c>
      <c r="C108" s="15">
        <f>INT(ROUND(IFERROR(VLOOKUP(A108,'[1]Donor Summary'!C:F,4,0),0),1))</f>
        <v>0</v>
      </c>
      <c r="D108" s="16">
        <f t="shared" si="36"/>
        <v>0</v>
      </c>
      <c r="E108" s="17" t="str">
        <f t="shared" si="37"/>
        <v>0.00%</v>
      </c>
      <c r="F108" s="17" t="str">
        <f t="shared" si="38"/>
        <v>0.0%</v>
      </c>
      <c r="G108" s="15">
        <f t="shared" si="40"/>
        <v>0</v>
      </c>
      <c r="H108" s="18"/>
      <c r="I108" s="18">
        <f>IFERROR(VLOOKUP(A108,'[1]Lot All by Part'!T:Y,6,0),0)</f>
        <v>0</v>
      </c>
      <c r="J108" s="18"/>
      <c r="K108" s="19">
        <f>IFERROR(VLOOKUP($A108,'[1]Donor-Served OBs'!A:N,3,0),0)</f>
        <v>0</v>
      </c>
      <c r="L108" s="19">
        <f>ROUNDUP(IF(A108=0,0,IFERROR(VLOOKUP($A108,'[1]Donor''s Assigned Kilos'!A:O,3,0),0)),0)</f>
        <v>0</v>
      </c>
      <c r="M108" s="19">
        <f>IF(A108=0,0,IFERROR(SUMIFS([1]Population!M:M,[1]Population!J:J,'MASTER-2025'!A108),0))</f>
        <v>0</v>
      </c>
      <c r="N108" s="20">
        <f>IFERROR(VLOOKUP($A108,'[1]Donor-Served OBs'!A:N,4,0),0)</f>
        <v>0</v>
      </c>
      <c r="O108" s="20">
        <f>ROUNDUP(IF(A108=0,0,IFERROR(VLOOKUP($A108,'[1]Donor''s Assigned Kilos'!A:O,4,0),0)),0)</f>
        <v>0</v>
      </c>
      <c r="P108" s="20">
        <f>IF(A108=0,0,IFERROR(SUMIFS([1]Population!N:N,[1]Population!J:J,'MASTER-2025'!A108),0))</f>
        <v>0</v>
      </c>
      <c r="Q108" s="18">
        <f>IFERROR(VLOOKUP($A108,'[1]Donor-Served OBs'!A:N,2,0),0)</f>
        <v>0</v>
      </c>
      <c r="R108" s="18">
        <f>ROUNDUP(ROUND(IF(A108=0,0,IFERROR(VLOOKUP($A108,'[1]Donor''s Assigned Kilos'!A:O,9,0),0)),1),0)</f>
        <v>0</v>
      </c>
      <c r="S108" s="18">
        <f>IF(A108=0,0,IFERROR(SUMIFS([1]Population!S:S,[1]Population!J:J,'MASTER-2025'!A108),0))</f>
        <v>0</v>
      </c>
      <c r="T108" s="19">
        <f>IFERROR(VLOOKUP($A108,'[1]Donor-Served OBs'!A:N,12,0),0)</f>
        <v>0</v>
      </c>
      <c r="U108" s="19">
        <f>ROUNDUP(IF(A108=0,0,IF(A108=0,0,IFERROR(VLOOKUP($A108,'[1]Donor''s Assigned Kilos'!A:O,7,0),0))),0)</f>
        <v>0</v>
      </c>
      <c r="V108" s="19">
        <f>IF(A108=0,0,IFERROR(SUMIFS([1]Population!Q:Q,[1]Population!J:J,'MASTER-2025'!A108),0))</f>
        <v>0</v>
      </c>
      <c r="W108" s="20">
        <f>IFERROR(VLOOKUP($A108,'[1]Donor-Served OBs'!A:N,10,0),0)</f>
        <v>0</v>
      </c>
      <c r="X108" s="20">
        <f>ROUNDUP(IF(A108=0,0,IFERROR(VLOOKUP($A108,'[1]Donor''s Assigned Kilos'!A:N,5,0),0)),0)</f>
        <v>0</v>
      </c>
      <c r="Y108" s="20">
        <f>IF(A108=0,0,IFERROR(SUMIFS([1]Population!O:O,[1]Population!J:J,'MASTER-2025'!A108),0))</f>
        <v>0</v>
      </c>
      <c r="Z108" s="18">
        <f>IFERROR(VLOOKUP($A108,'[1]Donor-Served OBs'!A:N,6,0),0)</f>
        <v>0</v>
      </c>
      <c r="AA108" s="18">
        <f>ROUNDUP(IF(A108=0,0,IFERROR(VLOOKUP($A108,'[1]Donor''s Assigned Kilos'!A:N,11,0),0)),0)</f>
        <v>0</v>
      </c>
      <c r="AB108" s="18">
        <f>IF(A108=0,0,IFERROR(SUMIFS([1]Population!U:U,[1]Population!J:J,'MASTER-2025'!A108),0))</f>
        <v>0</v>
      </c>
      <c r="AC108" s="19">
        <f>IFERROR(VLOOKUP($A108,'[1]Donor-Served OBs'!A:N,7,0),0)</f>
        <v>0</v>
      </c>
      <c r="AD108" s="19">
        <f>ROUNDUP(IF(A108=0,0,IFERROR(VLOOKUP($A108,'[1]Donor''s Assigned Kilos'!A:N,8,0),0)),0)</f>
        <v>0</v>
      </c>
      <c r="AE108" s="19">
        <f>IF(A108=0,0,IFERROR(SUMIFS([1]Population!R:R,[1]Population!J:J,'MASTER-2025'!A108),0))</f>
        <v>0</v>
      </c>
      <c r="AF108" s="20">
        <f>IFERROR(VLOOKUP($A108,'[1]Donor-Served OBs'!A:N,8,0),0)</f>
        <v>0</v>
      </c>
      <c r="AG108" s="20">
        <f>ROUNDUP(IF(A108=0,0,IFERROR(VLOOKUP($A108,'[1]Donor''s Assigned Kilos'!A:N,6,0),0)),0)</f>
        <v>0</v>
      </c>
      <c r="AH108" s="20">
        <f>IF(A108=0,0,IFERROR(SUMIFS([1]Population!P:P,[1]Population!J:J,'MASTER-2025'!A108),0))</f>
        <v>0</v>
      </c>
      <c r="AI108" s="18">
        <f>IFERROR(VLOOKUP($A108,'[1]Donor-Served OBs'!A:N,9,0),0)</f>
        <v>0</v>
      </c>
      <c r="AJ108" s="18">
        <f>ROUNDUP(IF(A108=0,0,IFERROR(VLOOKUP($A108,'[1]Donor''s Assigned Kilos'!A:N,12,0),0)),0)</f>
        <v>0</v>
      </c>
      <c r="AK108" s="18">
        <f>IF(A108=0,0,IFERROR(SUMIFS([1]Population!V:V,[1]Population!J:J,'MASTER-2025'!A108),0))</f>
        <v>0</v>
      </c>
      <c r="AL108" s="19">
        <f>IFERROR(VLOOKUP($A108,'[1]Donor-Served OBs'!A:N,16,0),0)</f>
        <v>0</v>
      </c>
      <c r="AM108" s="19">
        <f>ROUNDUP(IF(A108=0,0,IFERROR(VLOOKUP($A108,'[1]Donor''s Assigned Kilos'!A:O,16,0),0)),0)</f>
        <v>0</v>
      </c>
      <c r="AN108" s="19">
        <f>IF(A108=0,0,IFERROR(SUMIFS([1]Population!Z:Z,[1]Population!J:J,'MASTER-2025'!A108),0))</f>
        <v>0</v>
      </c>
      <c r="AO108" s="20">
        <f>IFERROR(VLOOKUP($A108,'[1]Donor-Served OBs'!A:N,11,0),0)</f>
        <v>0</v>
      </c>
      <c r="AP108" s="20">
        <f>ROUNDUP(IF(A108=0,0,IFERROR(VLOOKUP($A108,'[1]Donor''s Assigned Kilos'!A:N,13,0),0)),0)</f>
        <v>0</v>
      </c>
      <c r="AQ108" s="20">
        <f>IF(A108=0,0,IFERROR(SUMIFS([1]Population!W:W,[1]Population!J:J,'MASTER-2025'!A108),0))</f>
        <v>0</v>
      </c>
      <c r="AR108" s="18">
        <f>IFERROR(VLOOKUP($A108,'[1]Donor-Served OBs'!A:N,5,0),0)</f>
        <v>0</v>
      </c>
      <c r="AS108" s="18">
        <f>ROUNDUP(IF(A108=0,0,IFERROR(VLOOKUP($A108,'[1]Donor''s Assigned Kilos'!A:N,10,0),0)),0)</f>
        <v>0</v>
      </c>
      <c r="AT108" s="18">
        <f>IF(A108=0,0,IFERROR(SUMIFS([1]Population!T:T,[1]Population!J:J,'MASTER-2025'!A108),0))</f>
        <v>0</v>
      </c>
      <c r="AU108" s="19">
        <f>IFERROR(VLOOKUP($A108,'[1]Donor-Served OBs'!A:N,13,0),0)</f>
        <v>0</v>
      </c>
      <c r="AV108" s="19">
        <f>ROUNDUP(IF(A108=0,0,IFERROR(VLOOKUP($A108,'[1]Donor''s Assigned Kilos'!A:N,14,0),0)),0)</f>
        <v>0</v>
      </c>
      <c r="AW108" s="19">
        <f>IF(A108=0,0,IFERROR(SUMIFS([1]Population!X:X,[1]Population!J:J,'MASTER-2025'!A108),0))</f>
        <v>0</v>
      </c>
      <c r="AX108" s="20">
        <f>IFERROR(VLOOKUP($A108,'[1]Donor-Served OBs'!A:N,16,0),0)</f>
        <v>0</v>
      </c>
      <c r="AY108" s="20">
        <f>ROUNDUP(IF(A108=0,0,IFERROR(VLOOKUP($A108,'[1]Donor''s Assigned Kilos'!A:O,16,0),0)),0)</f>
        <v>0</v>
      </c>
      <c r="AZ108" s="20">
        <f>IF(A108=0,0,IFERROR(SUMIFS([1]Population!Y:Y,[1]Population!J:J,'MASTER-2025'!A108),0))</f>
        <v>0</v>
      </c>
      <c r="BA108" s="21">
        <f t="shared" si="34"/>
        <v>0</v>
      </c>
      <c r="BB108" s="21">
        <f>INT(I108+L108+O108+R108+U108+X108+AA108+AD108+AG108+AJ108+AM108+AP108+AS108+AV108+AY108)</f>
        <v>0</v>
      </c>
      <c r="BC108" s="21">
        <f t="shared" si="39"/>
        <v>0</v>
      </c>
      <c r="BD108" s="21">
        <f t="shared" si="41"/>
        <v>0</v>
      </c>
      <c r="BE108" s="22" t="e">
        <f>IF(A108=0,0,SUMIFS([1]Population!C:C,[1]Population!A:A,'MASTER-2025'!A108))</f>
        <v>#VALUE!</v>
      </c>
      <c r="BF108" s="22" t="e">
        <f>IF(A108=0,0,SUMIFS([1]Population!D:D,[1]Population!A:A,'MASTER-2025'!A108))</f>
        <v>#VALUE!</v>
      </c>
      <c r="BG108" s="22" t="e">
        <f>IF(A108=0,0,SUMIFS([1]Population!E:E,[1]Population!A:A,'MASTER-2025'!A108))</f>
        <v>#VALUE!</v>
      </c>
      <c r="BH108" s="22" t="e">
        <f>IF(A108=0,0,SUMIFS([1]Population!F:F,[1]Population!A:A,'MASTER-2025'!A108))</f>
        <v>#VALUE!</v>
      </c>
      <c r="BI108" s="22" t="e">
        <f t="shared" si="35"/>
        <v>#VALUE!</v>
      </c>
      <c r="BJ108" s="23" t="e">
        <f t="shared" si="30"/>
        <v>#VALUE!</v>
      </c>
      <c r="BK108" s="22" t="e">
        <f>IF(A108=0,0,SUMIFS([1]Population!G:G,[1]Population!A:A,'MASTER-2025'!A108))</f>
        <v>#VALUE!</v>
      </c>
      <c r="BL108" s="24" cm="1">
        <f t="array" ref="BL108:BW108">IFERROR(VLOOKUP(A108,'[1]Now-OB-kg-POB-25'!A:AQ,{3,4,5,6,7,8,9,10,11,12,13,14},0),0)</f>
        <v>0</v>
      </c>
      <c r="BM108" s="24">
        <v>0</v>
      </c>
      <c r="BN108" s="24">
        <v>0</v>
      </c>
      <c r="BO108" s="24">
        <v>0</v>
      </c>
      <c r="BP108" s="24">
        <v>0</v>
      </c>
      <c r="BQ108" s="24">
        <v>0</v>
      </c>
      <c r="BR108" s="24">
        <v>0</v>
      </c>
      <c r="BS108" s="24">
        <v>0</v>
      </c>
      <c r="BT108" s="24">
        <v>0</v>
      </c>
      <c r="BU108" s="24">
        <v>0</v>
      </c>
      <c r="BV108" s="24">
        <v>0</v>
      </c>
      <c r="BW108" s="24">
        <v>0</v>
      </c>
      <c r="BX108" s="24">
        <f t="shared" si="31"/>
        <v>0</v>
      </c>
      <c r="BY108" s="25" cm="1">
        <f t="array" ref="BY108:CJ108">IFERROR(VLOOKUP(A108,'[1]Now-OB-kg-POB-25'!A:AQ,{17,18,19,20,21,22,23,24,25,26,27,28},0),0)</f>
        <v>0</v>
      </c>
      <c r="BZ108" s="25">
        <v>0</v>
      </c>
      <c r="CA108" s="25">
        <v>0</v>
      </c>
      <c r="CB108" s="25">
        <v>0</v>
      </c>
      <c r="CC108" s="25">
        <v>0</v>
      </c>
      <c r="CD108" s="25">
        <v>0</v>
      </c>
      <c r="CE108" s="25">
        <v>0</v>
      </c>
      <c r="CF108" s="25">
        <v>0</v>
      </c>
      <c r="CG108" s="25">
        <v>0</v>
      </c>
      <c r="CH108" s="25">
        <v>0</v>
      </c>
      <c r="CI108" s="25">
        <v>0</v>
      </c>
      <c r="CJ108" s="25">
        <v>0</v>
      </c>
      <c r="CK108" s="25">
        <f t="shared" si="32"/>
        <v>0</v>
      </c>
      <c r="CL108" s="26" cm="1">
        <f t="array" ref="CL108:CW108">IFERROR(VLOOKUP(A108,'[1]Now-OB-kg-POB-25'!A:AQ,{31,32,33,34,35,36,37,38,39,40,41,42},0),0)</f>
        <v>0</v>
      </c>
      <c r="CM108" s="26">
        <v>0</v>
      </c>
      <c r="CN108" s="26">
        <v>0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0</v>
      </c>
      <c r="CU108" s="26">
        <v>0</v>
      </c>
      <c r="CV108" s="26">
        <v>0</v>
      </c>
      <c r="CW108" s="26">
        <v>0</v>
      </c>
      <c r="CX108" s="26">
        <f t="shared" si="33"/>
        <v>0</v>
      </c>
      <c r="CY108" s="14" t="str">
        <f>IF(A108=0,0,IFERROR(VLOOKUP(A108,'[1]Info Donantes'!C:F,2,0),"Sin Contacto"))</f>
        <v>Sin Contacto</v>
      </c>
      <c r="CZ108" s="14" t="str">
        <f>IF(A108=0,0,IFERROR(VLOOKUP(A108,'[1]Info Donantes'!C:F,3,0),"Sin Correo"))</f>
        <v>Sin Correo</v>
      </c>
      <c r="DA108" s="14" t="str">
        <f>IF(A108=0,0,IFERROR(VLOOKUP(A108,'[1]Info Donantes'!C:F,4,0),"Sin Telefono"))</f>
        <v>Sin Telefono</v>
      </c>
      <c r="DB108" s="14" t="str">
        <f>IF(A108=0,0,"Reporte de Trazabiidad"&amp;" - "&amp;'[1]Donor Summary'!$C$2&amp;" - "&amp;A108&amp;"")</f>
        <v>Reporte de Trazabiidad -  - GEORGIA TECH PANAMA FOUNDATION</v>
      </c>
    </row>
    <row r="109" spans="1:106" x14ac:dyDescent="0.55000000000000004">
      <c r="A109" s="14" t="s">
        <v>269</v>
      </c>
      <c r="B109" s="15">
        <f>INT(IFERROR(VLOOKUP(A109,'[1]Donor Summary'!C:F,3,0),0))</f>
        <v>0</v>
      </c>
      <c r="C109" s="15">
        <f>INT(ROUND(IFERROR(VLOOKUP(A109,'[1]Donor Summary'!C:F,4,0),0),1))</f>
        <v>0</v>
      </c>
      <c r="D109" s="16">
        <f t="shared" si="36"/>
        <v>0</v>
      </c>
      <c r="E109" s="17" t="str">
        <f t="shared" si="37"/>
        <v>0.00%</v>
      </c>
      <c r="F109" s="17" t="str">
        <f t="shared" si="38"/>
        <v>0.0%</v>
      </c>
      <c r="G109" s="15">
        <f t="shared" si="40"/>
        <v>0</v>
      </c>
      <c r="H109" s="18"/>
      <c r="I109" s="18">
        <f>IFERROR(VLOOKUP(A109,'[1]Lot All by Part'!T:Y,6,0),0)</f>
        <v>0</v>
      </c>
      <c r="J109" s="18"/>
      <c r="K109" s="19">
        <f>IFERROR(VLOOKUP($A109,'[1]Donor-Served OBs'!A:N,3,0),0)</f>
        <v>0</v>
      </c>
      <c r="L109" s="19">
        <f>ROUNDUP(IF(A109=0,0,IFERROR(VLOOKUP($A109,'[1]Donor''s Assigned Kilos'!A:O,3,0),0)),0)</f>
        <v>0</v>
      </c>
      <c r="M109" s="19">
        <f>IF(A109=0,0,IFERROR(SUMIFS([1]Population!M:M,[1]Population!J:J,'MASTER-2025'!A109),0))</f>
        <v>0</v>
      </c>
      <c r="N109" s="20">
        <f>IFERROR(VLOOKUP($A109,'[1]Donor-Served OBs'!A:N,4,0),0)</f>
        <v>0</v>
      </c>
      <c r="O109" s="20">
        <f>ROUNDUP(IF(A109=0,0,IFERROR(VLOOKUP($A109,'[1]Donor''s Assigned Kilos'!A:O,4,0),0)),0)</f>
        <v>0</v>
      </c>
      <c r="P109" s="20">
        <f>IF(A109=0,0,IFERROR(SUMIFS([1]Population!N:N,[1]Population!J:J,'MASTER-2025'!A109),0))</f>
        <v>0</v>
      </c>
      <c r="Q109" s="18">
        <f>IFERROR(VLOOKUP($A109,'[1]Donor-Served OBs'!A:N,2,0),0)</f>
        <v>0</v>
      </c>
      <c r="R109" s="18">
        <f>ROUNDUP(ROUND(IF(A109=0,0,IFERROR(VLOOKUP($A109,'[1]Donor''s Assigned Kilos'!A:O,9,0),0)),1),0)</f>
        <v>0</v>
      </c>
      <c r="S109" s="18">
        <f>IF(A109=0,0,IFERROR(SUMIFS([1]Population!S:S,[1]Population!J:J,'MASTER-2025'!A109),0))</f>
        <v>0</v>
      </c>
      <c r="T109" s="19">
        <f>IFERROR(VLOOKUP($A109,'[1]Donor-Served OBs'!A:N,12,0),0)</f>
        <v>0</v>
      </c>
      <c r="U109" s="19">
        <f>ROUNDUP(IF(A109=0,0,IF(A109=0,0,IFERROR(VLOOKUP($A109,'[1]Donor''s Assigned Kilos'!A:O,7,0),0))),0)</f>
        <v>0</v>
      </c>
      <c r="V109" s="19">
        <f>IF(A109=0,0,IFERROR(SUMIFS([1]Population!Q:Q,[1]Population!J:J,'MASTER-2025'!A109),0))</f>
        <v>0</v>
      </c>
      <c r="W109" s="20">
        <f>IFERROR(VLOOKUP($A109,'[1]Donor-Served OBs'!A:N,10,0),0)</f>
        <v>0</v>
      </c>
      <c r="X109" s="20">
        <f>ROUNDUP(IF(A109=0,0,IFERROR(VLOOKUP($A109,'[1]Donor''s Assigned Kilos'!A:N,5,0),0)),0)</f>
        <v>0</v>
      </c>
      <c r="Y109" s="20">
        <f>IF(A109=0,0,IFERROR(SUMIFS([1]Population!O:O,[1]Population!J:J,'MASTER-2025'!A109),0))</f>
        <v>0</v>
      </c>
      <c r="Z109" s="18">
        <f>IFERROR(VLOOKUP($A109,'[1]Donor-Served OBs'!A:N,6,0),0)</f>
        <v>0</v>
      </c>
      <c r="AA109" s="18">
        <f>ROUNDUP(IF(A109=0,0,IFERROR(VLOOKUP($A109,'[1]Donor''s Assigned Kilos'!A:N,11,0),0)),0)</f>
        <v>0</v>
      </c>
      <c r="AB109" s="18">
        <f>IF(A109=0,0,IFERROR(SUMIFS([1]Population!U:U,[1]Population!J:J,'MASTER-2025'!A109),0))</f>
        <v>0</v>
      </c>
      <c r="AC109" s="19">
        <f>IFERROR(VLOOKUP($A109,'[1]Donor-Served OBs'!A:N,7,0),0)</f>
        <v>0</v>
      </c>
      <c r="AD109" s="19">
        <f>ROUNDUP(IF(A109=0,0,IFERROR(VLOOKUP($A109,'[1]Donor''s Assigned Kilos'!A:N,8,0),0)),0)</f>
        <v>0</v>
      </c>
      <c r="AE109" s="19">
        <f>IF(A109=0,0,IFERROR(SUMIFS([1]Population!R:R,[1]Population!J:J,'MASTER-2025'!A109),0))</f>
        <v>0</v>
      </c>
      <c r="AF109" s="20">
        <f>IFERROR(VLOOKUP($A109,'[1]Donor-Served OBs'!A:N,8,0),0)</f>
        <v>0</v>
      </c>
      <c r="AG109" s="20">
        <f>ROUNDUP(IF(A109=0,0,IFERROR(VLOOKUP($A109,'[1]Donor''s Assigned Kilos'!A:N,6,0),0)),0)</f>
        <v>0</v>
      </c>
      <c r="AH109" s="20">
        <f>IF(A109=0,0,IFERROR(SUMIFS([1]Population!P:P,[1]Population!J:J,'MASTER-2025'!A109),0))</f>
        <v>0</v>
      </c>
      <c r="AI109" s="18">
        <f>IFERROR(VLOOKUP($A109,'[1]Donor-Served OBs'!A:N,9,0),0)</f>
        <v>0</v>
      </c>
      <c r="AJ109" s="18">
        <f>ROUNDUP(IF(A109=0,0,IFERROR(VLOOKUP($A109,'[1]Donor''s Assigned Kilos'!A:N,12,0),0)),0)</f>
        <v>0</v>
      </c>
      <c r="AK109" s="18">
        <f>IF(A109=0,0,IFERROR(SUMIFS([1]Population!V:V,[1]Population!J:J,'MASTER-2025'!A109),0))</f>
        <v>0</v>
      </c>
      <c r="AL109" s="19">
        <f>IFERROR(VLOOKUP($A109,'[1]Donor-Served OBs'!A:N,16,0),0)</f>
        <v>0</v>
      </c>
      <c r="AM109" s="19">
        <f>ROUNDUP(IF(A109=0,0,IFERROR(VLOOKUP($A109,'[1]Donor''s Assigned Kilos'!A:O,16,0),0)),0)</f>
        <v>0</v>
      </c>
      <c r="AN109" s="19">
        <f>IF(A109=0,0,IFERROR(SUMIFS([1]Population!Z:Z,[1]Population!J:J,'MASTER-2025'!A109),0))</f>
        <v>0</v>
      </c>
      <c r="AO109" s="20">
        <f>IFERROR(VLOOKUP($A109,'[1]Donor-Served OBs'!A:N,11,0),0)</f>
        <v>0</v>
      </c>
      <c r="AP109" s="20">
        <f>ROUNDUP(IF(A109=0,0,IFERROR(VLOOKUP($A109,'[1]Donor''s Assigned Kilos'!A:N,13,0),0)),0)</f>
        <v>0</v>
      </c>
      <c r="AQ109" s="20">
        <f>IF(A109=0,0,IFERROR(SUMIFS([1]Population!W:W,[1]Population!J:J,'MASTER-2025'!A109),0))</f>
        <v>0</v>
      </c>
      <c r="AR109" s="18">
        <f>IFERROR(VLOOKUP($A109,'[1]Donor-Served OBs'!A:N,5,0),0)</f>
        <v>0</v>
      </c>
      <c r="AS109" s="18">
        <f>ROUNDUP(IF(A109=0,0,IFERROR(VLOOKUP($A109,'[1]Donor''s Assigned Kilos'!A:N,10,0),0)),0)</f>
        <v>0</v>
      </c>
      <c r="AT109" s="18">
        <f>IF(A109=0,0,IFERROR(SUMIFS([1]Population!T:T,[1]Population!J:J,'MASTER-2025'!A109),0))</f>
        <v>0</v>
      </c>
      <c r="AU109" s="19">
        <f>IFERROR(VLOOKUP($A109,'[1]Donor-Served OBs'!A:N,13,0),0)</f>
        <v>0</v>
      </c>
      <c r="AV109" s="19">
        <f>ROUNDUP(IF(A109=0,0,IFERROR(VLOOKUP($A109,'[1]Donor''s Assigned Kilos'!A:N,14,0),0)),0)</f>
        <v>0</v>
      </c>
      <c r="AW109" s="19">
        <f>IF(A109=0,0,IFERROR(SUMIFS([1]Population!X:X,[1]Population!J:J,'MASTER-2025'!A109),0))</f>
        <v>0</v>
      </c>
      <c r="AX109" s="20">
        <f>IFERROR(VLOOKUP($A109,'[1]Donor-Served OBs'!A:N,16,0),0)</f>
        <v>0</v>
      </c>
      <c r="AY109" s="20">
        <f>ROUNDUP(IF(A109=0,0,IFERROR(VLOOKUP($A109,'[1]Donor''s Assigned Kilos'!A:O,16,0),0)),0)</f>
        <v>0</v>
      </c>
      <c r="AZ109" s="20">
        <f>IF(A109=0,0,IFERROR(SUMIFS([1]Population!Y:Y,[1]Population!J:J,'MASTER-2025'!A109),0))</f>
        <v>0</v>
      </c>
      <c r="BA109" s="21">
        <f>+H109+K109+N109+Q109+T109+W109+Z109+AC109+AF109+AI109+AL109+AO109+AR109+AU109+AX109</f>
        <v>0</v>
      </c>
      <c r="BB109" s="21">
        <f t="shared" ref="BB109:BB130" si="42">INT(I109+L109+O109+R109+U109+X109+AA109+AD109+AG109+AJ109+AM109+AP109+AS109+AV109+AY109)</f>
        <v>0</v>
      </c>
      <c r="BC109" s="21">
        <f t="shared" si="39"/>
        <v>0</v>
      </c>
      <c r="BD109" s="21">
        <f t="shared" si="41"/>
        <v>0</v>
      </c>
      <c r="BE109" s="22" t="e">
        <f>IF(A109=0,0,SUMIFS([1]Population!C:C,[1]Population!A:A,'MASTER-2025'!A109))</f>
        <v>#VALUE!</v>
      </c>
      <c r="BF109" s="22" t="e">
        <f>IF(A109=0,0,SUMIFS([1]Population!D:D,[1]Population!A:A,'MASTER-2025'!A109))</f>
        <v>#VALUE!</v>
      </c>
      <c r="BG109" s="22" t="e">
        <f>IF(A109=0,0,SUMIFS([1]Population!E:E,[1]Population!A:A,'MASTER-2025'!A109))</f>
        <v>#VALUE!</v>
      </c>
      <c r="BH109" s="22" t="e">
        <f>IF(A109=0,0,SUMIFS([1]Population!F:F,[1]Population!A:A,'MASTER-2025'!A109))</f>
        <v>#VALUE!</v>
      </c>
      <c r="BI109" s="22" t="e">
        <f t="shared" si="35"/>
        <v>#VALUE!</v>
      </c>
      <c r="BJ109" s="23" t="e">
        <f t="shared" si="30"/>
        <v>#VALUE!</v>
      </c>
      <c r="BK109" s="22" t="e">
        <f>IF(A109=0,0,SUMIFS([1]Population!G:G,[1]Population!A:A,'MASTER-2025'!A109))</f>
        <v>#VALUE!</v>
      </c>
      <c r="BL109" s="24" cm="1">
        <f t="array" ref="BL109:BW109">IFERROR(VLOOKUP(A109,'[1]Now-OB-kg-POB-25'!A:AQ,{3,4,5,6,7,8,9,10,11,12,13,14},0),0)</f>
        <v>0</v>
      </c>
      <c r="BM109" s="24">
        <v>0</v>
      </c>
      <c r="BN109" s="24">
        <v>0</v>
      </c>
      <c r="BO109" s="24">
        <v>0</v>
      </c>
      <c r="BP109" s="24">
        <v>0</v>
      </c>
      <c r="BQ109" s="24">
        <v>0</v>
      </c>
      <c r="BR109" s="24">
        <v>0</v>
      </c>
      <c r="BS109" s="24">
        <v>0</v>
      </c>
      <c r="BT109" s="24">
        <v>0</v>
      </c>
      <c r="BU109" s="24">
        <v>0</v>
      </c>
      <c r="BV109" s="24">
        <v>0</v>
      </c>
      <c r="BW109" s="24">
        <v>0</v>
      </c>
      <c r="BX109" s="24">
        <f t="shared" si="31"/>
        <v>0</v>
      </c>
      <c r="BY109" s="25" cm="1">
        <f t="array" ref="BY109:CJ109">IFERROR(VLOOKUP(A109,'[1]Now-OB-kg-POB-25'!A:AQ,{17,18,19,20,21,22,23,24,25,26,27,28},0),0)</f>
        <v>0</v>
      </c>
      <c r="BZ109" s="25">
        <v>0</v>
      </c>
      <c r="CA109" s="25">
        <v>0</v>
      </c>
      <c r="CB109" s="25">
        <v>0</v>
      </c>
      <c r="CC109" s="25">
        <v>0</v>
      </c>
      <c r="CD109" s="25">
        <v>0</v>
      </c>
      <c r="CE109" s="25">
        <v>0</v>
      </c>
      <c r="CF109" s="25">
        <v>0</v>
      </c>
      <c r="CG109" s="25">
        <v>0</v>
      </c>
      <c r="CH109" s="25">
        <v>0</v>
      </c>
      <c r="CI109" s="25">
        <v>0</v>
      </c>
      <c r="CJ109" s="25">
        <v>0</v>
      </c>
      <c r="CK109" s="25">
        <f t="shared" si="32"/>
        <v>0</v>
      </c>
      <c r="CL109" s="26" cm="1">
        <f t="array" ref="CL109:CW109">IFERROR(VLOOKUP(A109,'[1]Now-OB-kg-POB-25'!A:AQ,{31,32,33,34,35,36,37,38,39,40,41,42},0),0)</f>
        <v>0</v>
      </c>
      <c r="CM109" s="26">
        <v>0</v>
      </c>
      <c r="CN109" s="26">
        <v>0</v>
      </c>
      <c r="CO109" s="26">
        <v>0</v>
      </c>
      <c r="CP109" s="26">
        <v>0</v>
      </c>
      <c r="CQ109" s="26">
        <v>0</v>
      </c>
      <c r="CR109" s="26">
        <v>0</v>
      </c>
      <c r="CS109" s="26">
        <v>0</v>
      </c>
      <c r="CT109" s="26">
        <v>0</v>
      </c>
      <c r="CU109" s="26">
        <v>0</v>
      </c>
      <c r="CV109" s="26">
        <v>0</v>
      </c>
      <c r="CW109" s="26">
        <v>0</v>
      </c>
      <c r="CX109" s="26">
        <f t="shared" si="33"/>
        <v>0</v>
      </c>
      <c r="CY109" s="14" t="str">
        <f>IF(A109=0,0,IFERROR(VLOOKUP(A109,'[1]Info Donantes'!C:F,2,0),"Sin Contacto"))</f>
        <v>Sin Contacto</v>
      </c>
      <c r="CZ109" s="14" t="str">
        <f>IF(A109=0,0,IFERROR(VLOOKUP(A109,'[1]Info Donantes'!C:F,3,0),"Sin Correo"))</f>
        <v>Sin Correo</v>
      </c>
      <c r="DA109" s="14" t="str">
        <f>IF(A109=0,0,IFERROR(VLOOKUP(A109,'[1]Info Donantes'!C:F,4,0),"Sin Telefono"))</f>
        <v>Sin Telefono</v>
      </c>
      <c r="DB109" s="14" t="str">
        <f>IF(A109=0,0,"Reporte de Trazabiidad"&amp;" - "&amp;'[1]Donor Summary'!$C$2&amp;" - "&amp;A109&amp;"")</f>
        <v>Reporte de Trazabiidad -  - IMPORTADORA AMADAHY S.A.</v>
      </c>
    </row>
    <row r="110" spans="1:106" x14ac:dyDescent="0.55000000000000004">
      <c r="A110" s="32" t="s">
        <v>270</v>
      </c>
      <c r="B110" s="15">
        <f>INT(IFERROR(VLOOKUP(A110,'[1]Donor Summary'!C:F,3,0),0))</f>
        <v>0</v>
      </c>
      <c r="C110" s="15">
        <f>INT(ROUND(IFERROR(VLOOKUP(A110,'[1]Donor Summary'!C:F,4,0),0),1))</f>
        <v>366</v>
      </c>
      <c r="D110" s="16">
        <f t="shared" si="36"/>
        <v>366</v>
      </c>
      <c r="E110" s="17" t="str">
        <f t="shared" si="37"/>
        <v>100.00%</v>
      </c>
      <c r="F110" s="17" t="str">
        <f t="shared" si="38"/>
        <v>0.0%</v>
      </c>
      <c r="G110" s="15">
        <f t="shared" si="40"/>
        <v>1098</v>
      </c>
      <c r="H110" s="18"/>
      <c r="I110" s="18">
        <f>IFERROR(VLOOKUP(A110,'[1]Lot All by Part'!T:Y,6,0),0)</f>
        <v>0</v>
      </c>
      <c r="J110" s="18"/>
      <c r="K110" s="19">
        <f>IFERROR(VLOOKUP($A110,'[1]Donor-Served OBs'!A:N,3,0),0)</f>
        <v>0</v>
      </c>
      <c r="L110" s="19">
        <f>ROUNDUP(IF(A110=0,0,IFERROR(VLOOKUP($A110,'[1]Donor''s Assigned Kilos'!A:O,3,0),0)),0)</f>
        <v>0</v>
      </c>
      <c r="M110" s="19">
        <f>IF(A110=0,0,IFERROR(SUMIFS([1]Population!M:M,[1]Population!J:J,'MASTER-2025'!A110),0))</f>
        <v>0</v>
      </c>
      <c r="N110" s="20">
        <f>IFERROR(VLOOKUP($A110,'[1]Donor-Served OBs'!A:N,4,0),0)</f>
        <v>1</v>
      </c>
      <c r="O110" s="20">
        <f>ROUNDUP(IF(A110=0,0,IFERROR(VLOOKUP($A110,'[1]Donor''s Assigned Kilos'!A:O,4,0),0)),0)</f>
        <v>35</v>
      </c>
      <c r="P110" s="20">
        <f>IF(A110=0,0,IFERROR(SUMIFS([1]Population!N:N,[1]Population!J:J,'MASTER-2025'!A110),0))</f>
        <v>0</v>
      </c>
      <c r="Q110" s="18">
        <f>IFERROR(VLOOKUP($A110,'[1]Donor-Served OBs'!A:N,2,0),0)</f>
        <v>0</v>
      </c>
      <c r="R110" s="18">
        <f>ROUNDUP(ROUND(IF(A110=0,0,IFERROR(VLOOKUP($A110,'[1]Donor''s Assigned Kilos'!A:O,9,0),0)),1),0)</f>
        <v>0</v>
      </c>
      <c r="S110" s="18">
        <f>IF(A110=0,0,IFERROR(SUMIFS([1]Population!S:S,[1]Population!J:J,'MASTER-2025'!A110),0))</f>
        <v>0</v>
      </c>
      <c r="T110" s="19">
        <f>IFERROR(VLOOKUP($A110,'[1]Donor-Served OBs'!A:N,12,0),0)</f>
        <v>0</v>
      </c>
      <c r="U110" s="19">
        <f>ROUNDUP(IF(A110=0,0,IF(A110=0,0,IFERROR(VLOOKUP($A110,'[1]Donor''s Assigned Kilos'!A:O,7,0),0))),0)</f>
        <v>0</v>
      </c>
      <c r="V110" s="19">
        <f>IF(A110=0,0,IFERROR(SUMIFS([1]Population!Q:Q,[1]Population!J:J,'MASTER-2025'!A110),0))</f>
        <v>0</v>
      </c>
      <c r="W110" s="20">
        <f>IFERROR(VLOOKUP($A110,'[1]Donor-Served OBs'!A:N,10,0),0)</f>
        <v>0</v>
      </c>
      <c r="X110" s="20">
        <f>ROUNDUP(IF(A110=0,0,IFERROR(VLOOKUP($A110,'[1]Donor''s Assigned Kilos'!A:N,5,0),0)),0)</f>
        <v>0</v>
      </c>
      <c r="Y110" s="20">
        <f>IF(A110=0,0,IFERROR(SUMIFS([1]Population!O:O,[1]Population!J:J,'MASTER-2025'!A110),0))</f>
        <v>0</v>
      </c>
      <c r="Z110" s="18">
        <f>IFERROR(VLOOKUP($A110,'[1]Donor-Served OBs'!A:N,6,0),0)</f>
        <v>2</v>
      </c>
      <c r="AA110" s="18">
        <f>ROUNDUP(IF(A110=0,0,IFERROR(VLOOKUP($A110,'[1]Donor''s Assigned Kilos'!A:N,11,0),0)),0)</f>
        <v>43</v>
      </c>
      <c r="AB110" s="18">
        <f>IF(A110=0,0,IFERROR(SUMIFS([1]Population!U:U,[1]Population!J:J,'MASTER-2025'!A110),0))</f>
        <v>0</v>
      </c>
      <c r="AC110" s="19">
        <f>IFERROR(VLOOKUP($A110,'[1]Donor-Served OBs'!A:N,7,0),0)</f>
        <v>0</v>
      </c>
      <c r="AD110" s="19">
        <f>ROUNDUP(IF(A110=0,0,IFERROR(VLOOKUP($A110,'[1]Donor''s Assigned Kilos'!A:N,8,0),0)),0)</f>
        <v>0</v>
      </c>
      <c r="AE110" s="19">
        <f>IF(A110=0,0,IFERROR(SUMIFS([1]Population!R:R,[1]Population!J:J,'MASTER-2025'!A110),0))</f>
        <v>0</v>
      </c>
      <c r="AF110" s="20">
        <f>IFERROR(VLOOKUP($A110,'[1]Donor-Served OBs'!A:N,8,0),0)</f>
        <v>0</v>
      </c>
      <c r="AG110" s="20">
        <f>ROUNDUP(IF(A110=0,0,IFERROR(VLOOKUP($A110,'[1]Donor''s Assigned Kilos'!A:N,6,0),0)),0)</f>
        <v>0</v>
      </c>
      <c r="AH110" s="20">
        <f>IF(A110=0,0,IFERROR(SUMIFS([1]Population!P:P,[1]Population!J:J,'MASTER-2025'!A110),0))</f>
        <v>0</v>
      </c>
      <c r="AI110" s="18">
        <f>IFERROR(VLOOKUP($A110,'[1]Donor-Served OBs'!A:N,9,0),0)</f>
        <v>1</v>
      </c>
      <c r="AJ110" s="18">
        <f>ROUNDUP(IF(A110=0,0,IFERROR(VLOOKUP($A110,'[1]Donor''s Assigned Kilos'!A:N,12,0),0)),0)</f>
        <v>5</v>
      </c>
      <c r="AK110" s="18">
        <f>IF(A110=0,0,IFERROR(SUMIFS([1]Population!V:V,[1]Population!J:J,'MASTER-2025'!A110),0))</f>
        <v>0</v>
      </c>
      <c r="AL110" s="19">
        <f>IFERROR(VLOOKUP($A110,'[1]Donor-Served OBs'!A:N,16,0),0)</f>
        <v>0</v>
      </c>
      <c r="AM110" s="19">
        <f>ROUNDUP(IF(A110=0,0,IFERROR(VLOOKUP($A110,'[1]Donor''s Assigned Kilos'!A:O,16,0),0)),0)</f>
        <v>0</v>
      </c>
      <c r="AN110" s="19">
        <f>IF(A110=0,0,IFERROR(SUMIFS([1]Population!Z:Z,[1]Population!J:J,'MASTER-2025'!A110),0))</f>
        <v>0</v>
      </c>
      <c r="AO110" s="20">
        <f>IFERROR(VLOOKUP($A110,'[1]Donor-Served OBs'!A:N,11,0),0)</f>
        <v>2</v>
      </c>
      <c r="AP110" s="20">
        <f>ROUNDUP(IF(A110=0,0,IFERROR(VLOOKUP($A110,'[1]Donor''s Assigned Kilos'!A:N,13,0),0)),0)</f>
        <v>10</v>
      </c>
      <c r="AQ110" s="20">
        <f>IF(A110=0,0,IFERROR(SUMIFS([1]Population!W:W,[1]Population!J:J,'MASTER-2025'!A110),0))</f>
        <v>0</v>
      </c>
      <c r="AR110" s="18">
        <f>IFERROR(VLOOKUP($A110,'[1]Donor-Served OBs'!A:N,5,0),0)</f>
        <v>9</v>
      </c>
      <c r="AS110" s="18">
        <f>ROUNDUP(IF(A110=0,0,IFERROR(VLOOKUP($A110,'[1]Donor''s Assigned Kilos'!A:N,10,0),0)),0)</f>
        <v>190</v>
      </c>
      <c r="AT110" s="18">
        <f>IF(A110=0,0,IFERROR(SUMIFS([1]Population!T:T,[1]Population!J:J,'MASTER-2025'!A110),0))</f>
        <v>0</v>
      </c>
      <c r="AU110" s="19">
        <f>IFERROR(VLOOKUP($A110,'[1]Donor-Served OBs'!A:N,13,0),0)</f>
        <v>0</v>
      </c>
      <c r="AV110" s="19">
        <f>ROUNDUP(IF(A110=0,0,IFERROR(VLOOKUP($A110,'[1]Donor''s Assigned Kilos'!A:N,14,0),0)),0)</f>
        <v>0</v>
      </c>
      <c r="AW110" s="19">
        <f>IF(A110=0,0,IFERROR(SUMIFS([1]Population!X:X,[1]Population!J:J,'MASTER-2025'!A110),0))</f>
        <v>0</v>
      </c>
      <c r="AX110" s="20">
        <f>IFERROR(VLOOKUP($A110,'[1]Donor-Served OBs'!A:N,16,0),0)</f>
        <v>0</v>
      </c>
      <c r="AY110" s="20">
        <f>ROUNDUP(IF(A110=0,0,IFERROR(VLOOKUP($A110,'[1]Donor''s Assigned Kilos'!A:O,16,0),0)),0)</f>
        <v>0</v>
      </c>
      <c r="AZ110" s="20">
        <f>IF(A110=0,0,IFERROR(SUMIFS([1]Population!Y:Y,[1]Population!J:J,'MASTER-2025'!A110),0))</f>
        <v>0</v>
      </c>
      <c r="BA110" s="21">
        <f>+H110+K110+N110+Q110+T110+W110+Z110+AC110+AF110+AI110+AL110+AO110+AR110+AU110+AX110</f>
        <v>15</v>
      </c>
      <c r="BB110" s="21">
        <f t="shared" si="42"/>
        <v>283</v>
      </c>
      <c r="BC110" s="21">
        <f t="shared" si="39"/>
        <v>35</v>
      </c>
      <c r="BD110" s="21">
        <f t="shared" si="41"/>
        <v>0</v>
      </c>
      <c r="BE110" s="22" t="e">
        <f>IF(A110=0,0,SUMIFS([1]Population!C:C,[1]Population!A:A,'MASTER-2025'!A110))</f>
        <v>#VALUE!</v>
      </c>
      <c r="BF110" s="22" t="e">
        <f>IF(A110=0,0,SUMIFS([1]Population!D:D,[1]Population!A:A,'MASTER-2025'!A110))</f>
        <v>#VALUE!</v>
      </c>
      <c r="BG110" s="22" t="e">
        <f>IF(A110=0,0,SUMIFS([1]Population!E:E,[1]Population!A:A,'MASTER-2025'!A110))</f>
        <v>#VALUE!</v>
      </c>
      <c r="BH110" s="22" t="e">
        <f>IF(A110=0,0,SUMIFS([1]Population!F:F,[1]Population!A:A,'MASTER-2025'!A110))</f>
        <v>#VALUE!</v>
      </c>
      <c r="BI110" s="22" t="e">
        <f t="shared" si="35"/>
        <v>#VALUE!</v>
      </c>
      <c r="BJ110" s="23" t="e">
        <f t="shared" si="30"/>
        <v>#VALUE!</v>
      </c>
      <c r="BK110" s="22" t="e">
        <f>IF(A110=0,0,SUMIFS([1]Population!G:G,[1]Population!A:A,'MASTER-2025'!A110))</f>
        <v>#VALUE!</v>
      </c>
      <c r="BL110" s="24" cm="1">
        <f t="array" ref="BL110:BW110">IFERROR(VLOOKUP(A110,'[1]Now-OB-kg-POB-25'!A:AQ,{3,4,5,6,7,8,9,10,11,12,13,14},0),0)</f>
        <v>19</v>
      </c>
      <c r="BM110" s="24">
        <v>17</v>
      </c>
      <c r="BN110" s="24">
        <v>15</v>
      </c>
      <c r="BO110" s="24">
        <v>0</v>
      </c>
      <c r="BP110" s="24">
        <v>0</v>
      </c>
      <c r="BQ110" s="24">
        <v>0</v>
      </c>
      <c r="BR110" s="24">
        <v>0</v>
      </c>
      <c r="BS110" s="24">
        <v>0</v>
      </c>
      <c r="BT110" s="24">
        <v>0</v>
      </c>
      <c r="BU110" s="24">
        <v>0</v>
      </c>
      <c r="BV110" s="24">
        <v>0</v>
      </c>
      <c r="BW110" s="24">
        <v>0</v>
      </c>
      <c r="BX110" s="24">
        <f t="shared" si="31"/>
        <v>51</v>
      </c>
      <c r="BY110" s="25" cm="1">
        <f t="array" ref="BY110:CJ110">IFERROR(VLOOKUP(A110,'[1]Now-OB-kg-POB-25'!A:AQ,{17,18,19,20,21,22,23,24,25,26,27,28},0),0)</f>
        <v>345</v>
      </c>
      <c r="BZ110" s="25">
        <v>149</v>
      </c>
      <c r="CA110" s="25">
        <v>366</v>
      </c>
      <c r="CB110" s="25">
        <v>0</v>
      </c>
      <c r="CC110" s="25">
        <v>0</v>
      </c>
      <c r="CD110" s="25">
        <v>0</v>
      </c>
      <c r="CE110" s="25">
        <v>0</v>
      </c>
      <c r="CF110" s="25">
        <v>0</v>
      </c>
      <c r="CG110" s="25">
        <v>0</v>
      </c>
      <c r="CH110" s="25">
        <v>0</v>
      </c>
      <c r="CI110" s="25">
        <v>0</v>
      </c>
      <c r="CJ110" s="25">
        <v>0</v>
      </c>
      <c r="CK110" s="25">
        <f t="shared" si="32"/>
        <v>860</v>
      </c>
      <c r="CL110" s="26" cm="1">
        <f t="array" ref="CL110:CW110">IFERROR(VLOOKUP(A110,'[1]Now-OB-kg-POB-25'!A:AQ,{31,32,33,34,35,36,37,38,39,40,41,42},0),0)</f>
        <v>4719</v>
      </c>
      <c r="CM110" s="26">
        <v>2640</v>
      </c>
      <c r="CN110" s="26">
        <v>2543</v>
      </c>
      <c r="CO110" s="26">
        <v>0</v>
      </c>
      <c r="CP110" s="26">
        <v>0</v>
      </c>
      <c r="CQ110" s="26">
        <v>0</v>
      </c>
      <c r="CR110" s="26">
        <v>0</v>
      </c>
      <c r="CS110" s="26">
        <v>0</v>
      </c>
      <c r="CT110" s="26">
        <v>0</v>
      </c>
      <c r="CU110" s="26">
        <v>0</v>
      </c>
      <c r="CV110" s="26">
        <v>0</v>
      </c>
      <c r="CW110" s="26">
        <v>0</v>
      </c>
      <c r="CX110" s="26">
        <f t="shared" si="33"/>
        <v>9902</v>
      </c>
      <c r="CY110" s="14" t="str">
        <f>IF(A110=0,0,IFERROR(VLOOKUP(A110,'[1]Info Donantes'!C:F,2,0),"Sin Contacto"))</f>
        <v>Sin Contacto</v>
      </c>
      <c r="CZ110" s="14" t="str">
        <f>IF(A110=0,0,IFERROR(VLOOKUP(A110,'[1]Info Donantes'!C:F,3,0),"Sin Correo"))</f>
        <v>Sin Correo</v>
      </c>
      <c r="DA110" s="14" t="str">
        <f>IF(A110=0,0,IFERROR(VLOOKUP(A110,'[1]Info Donantes'!C:F,4,0),"Sin Telefono"))</f>
        <v>Sin Telefono</v>
      </c>
      <c r="DB110" s="14" t="str">
        <f>IF(A110=0,0,"Reporte de Trazabiidad"&amp;" - "&amp;'[1]Donor Summary'!$C$2&amp;" - "&amp;A110&amp;"")</f>
        <v>Reporte de Trazabiidad -  - LA CHOLITA S.A.</v>
      </c>
    </row>
    <row r="111" spans="1:106" x14ac:dyDescent="0.55000000000000004">
      <c r="A111" s="32" t="s">
        <v>271</v>
      </c>
      <c r="B111" s="15">
        <f>INT(IFERROR(VLOOKUP(A111,'[1]Donor Summary'!C:F,3,0),0))</f>
        <v>0</v>
      </c>
      <c r="C111" s="15">
        <f>INT(ROUND(IFERROR(VLOOKUP(A111,'[1]Donor Summary'!C:F,4,0),0),1))</f>
        <v>0</v>
      </c>
      <c r="D111" s="16">
        <f t="shared" si="36"/>
        <v>0</v>
      </c>
      <c r="E111" s="17" t="str">
        <f t="shared" si="37"/>
        <v>0.00%</v>
      </c>
      <c r="F111" s="17" t="str">
        <f t="shared" si="38"/>
        <v>0.0%</v>
      </c>
      <c r="G111" s="15">
        <f t="shared" si="40"/>
        <v>0</v>
      </c>
      <c r="H111" s="18"/>
      <c r="I111" s="18">
        <f>IFERROR(VLOOKUP(A111,'[1]Lot All by Part'!T:Y,6,0),0)</f>
        <v>0</v>
      </c>
      <c r="J111" s="18"/>
      <c r="K111" s="19">
        <f>IFERROR(VLOOKUP($A111,'[1]Donor-Served OBs'!A:N,3,0),0)</f>
        <v>0</v>
      </c>
      <c r="L111" s="19">
        <f>ROUNDUP(IF(A111=0,0,IFERROR(VLOOKUP($A111,'[1]Donor''s Assigned Kilos'!A:O,3,0),0)),0)</f>
        <v>0</v>
      </c>
      <c r="M111" s="19">
        <f>IF(A111=0,0,IFERROR(SUMIFS([1]Population!M:M,[1]Population!J:J,'MASTER-2025'!A111),0))</f>
        <v>0</v>
      </c>
      <c r="N111" s="20">
        <f>IFERROR(VLOOKUP($A111,'[1]Donor-Served OBs'!A:N,4,0),0)</f>
        <v>0</v>
      </c>
      <c r="O111" s="20">
        <f>ROUNDUP(IF(A111=0,0,IFERROR(VLOOKUP($A111,'[1]Donor''s Assigned Kilos'!A:O,4,0),0)),0)</f>
        <v>0</v>
      </c>
      <c r="P111" s="20">
        <f>IF(A111=0,0,IFERROR(SUMIFS([1]Population!N:N,[1]Population!J:J,'MASTER-2025'!A111),0))</f>
        <v>0</v>
      </c>
      <c r="Q111" s="18">
        <f>IFERROR(VLOOKUP($A111,'[1]Donor-Served OBs'!A:N,2,0),0)</f>
        <v>0</v>
      </c>
      <c r="R111" s="18">
        <f>ROUNDUP(ROUND(IF(A111=0,0,IFERROR(VLOOKUP($A111,'[1]Donor''s Assigned Kilos'!A:O,9,0),0)),1),0)</f>
        <v>0</v>
      </c>
      <c r="S111" s="18">
        <f>IF(A111=0,0,IFERROR(SUMIFS([1]Population!S:S,[1]Population!J:J,'MASTER-2025'!A111),0))</f>
        <v>0</v>
      </c>
      <c r="T111" s="19">
        <f>IFERROR(VLOOKUP($A111,'[1]Donor-Served OBs'!A:N,12,0),0)</f>
        <v>0</v>
      </c>
      <c r="U111" s="19">
        <f>ROUNDUP(IF(A111=0,0,IF(A111=0,0,IFERROR(VLOOKUP($A111,'[1]Donor''s Assigned Kilos'!A:O,7,0),0))),0)</f>
        <v>0</v>
      </c>
      <c r="V111" s="19">
        <f>IF(A111=0,0,IFERROR(SUMIFS([1]Population!Q:Q,[1]Population!J:J,'MASTER-2025'!A111),0))</f>
        <v>0</v>
      </c>
      <c r="W111" s="20">
        <f>IFERROR(VLOOKUP($A111,'[1]Donor-Served OBs'!A:N,10,0),0)</f>
        <v>0</v>
      </c>
      <c r="X111" s="20">
        <f>ROUNDUP(IF(A111=0,0,IFERROR(VLOOKUP($A111,'[1]Donor''s Assigned Kilos'!A:N,5,0),0)),0)</f>
        <v>0</v>
      </c>
      <c r="Y111" s="20">
        <f>IF(A111=0,0,IFERROR(SUMIFS([1]Population!O:O,[1]Population!J:J,'MASTER-2025'!A111),0))</f>
        <v>0</v>
      </c>
      <c r="Z111" s="18">
        <f>IFERROR(VLOOKUP($A111,'[1]Donor-Served OBs'!A:N,6,0),0)</f>
        <v>0</v>
      </c>
      <c r="AA111" s="18">
        <f>ROUNDUP(IF(A111=0,0,IFERROR(VLOOKUP($A111,'[1]Donor''s Assigned Kilos'!A:N,11,0),0)),0)</f>
        <v>0</v>
      </c>
      <c r="AB111" s="18">
        <f>IF(A111=0,0,IFERROR(SUMIFS([1]Population!U:U,[1]Population!J:J,'MASTER-2025'!A111),0))</f>
        <v>0</v>
      </c>
      <c r="AC111" s="19">
        <f>IFERROR(VLOOKUP($A111,'[1]Donor-Served OBs'!A:N,7,0),0)</f>
        <v>0</v>
      </c>
      <c r="AD111" s="19">
        <f>ROUNDUP(IF(A111=0,0,IFERROR(VLOOKUP($A111,'[1]Donor''s Assigned Kilos'!A:N,8,0),0)),0)</f>
        <v>0</v>
      </c>
      <c r="AE111" s="19">
        <f>IF(A111=0,0,IFERROR(SUMIFS([1]Population!R:R,[1]Population!J:J,'MASTER-2025'!A111),0))</f>
        <v>0</v>
      </c>
      <c r="AF111" s="20">
        <f>IFERROR(VLOOKUP($A111,'[1]Donor-Served OBs'!A:N,8,0),0)</f>
        <v>0</v>
      </c>
      <c r="AG111" s="20">
        <f>ROUNDUP(IF(A111=0,0,IFERROR(VLOOKUP($A111,'[1]Donor''s Assigned Kilos'!A:N,6,0),0)),0)</f>
        <v>0</v>
      </c>
      <c r="AH111" s="20">
        <f>IF(A111=0,0,IFERROR(SUMIFS([1]Population!P:P,[1]Population!J:J,'MASTER-2025'!A111),0))</f>
        <v>0</v>
      </c>
      <c r="AI111" s="18">
        <f>IFERROR(VLOOKUP($A111,'[1]Donor-Served OBs'!A:N,9,0),0)</f>
        <v>0</v>
      </c>
      <c r="AJ111" s="18">
        <f>ROUNDUP(IF(A111=0,0,IFERROR(VLOOKUP($A111,'[1]Donor''s Assigned Kilos'!A:N,12,0),0)),0)</f>
        <v>0</v>
      </c>
      <c r="AK111" s="18">
        <f>IF(A111=0,0,IFERROR(SUMIFS([1]Population!V:V,[1]Population!J:J,'MASTER-2025'!A111),0))</f>
        <v>0</v>
      </c>
      <c r="AL111" s="19">
        <f>IFERROR(VLOOKUP($A111,'[1]Donor-Served OBs'!A:N,16,0),0)</f>
        <v>0</v>
      </c>
      <c r="AM111" s="19">
        <f>ROUNDUP(IF(A111=0,0,IFERROR(VLOOKUP($A111,'[1]Donor''s Assigned Kilos'!A:O,16,0),0)),0)</f>
        <v>0</v>
      </c>
      <c r="AN111" s="19">
        <f>IF(A111=0,0,IFERROR(SUMIFS([1]Population!Z:Z,[1]Population!J:J,'MASTER-2025'!A111),0))</f>
        <v>0</v>
      </c>
      <c r="AO111" s="20">
        <f>IFERROR(VLOOKUP($A111,'[1]Donor-Served OBs'!A:N,11,0),0)</f>
        <v>0</v>
      </c>
      <c r="AP111" s="20">
        <f>ROUNDUP(IF(A111=0,0,IFERROR(VLOOKUP($A111,'[1]Donor''s Assigned Kilos'!A:N,13,0),0)),0)</f>
        <v>0</v>
      </c>
      <c r="AQ111" s="20">
        <f>IF(A111=0,0,IFERROR(SUMIFS([1]Population!W:W,[1]Population!J:J,'MASTER-2025'!A111),0))</f>
        <v>0</v>
      </c>
      <c r="AR111" s="18">
        <f>IFERROR(VLOOKUP($A111,'[1]Donor-Served OBs'!A:N,5,0),0)</f>
        <v>0</v>
      </c>
      <c r="AS111" s="18">
        <f>ROUNDUP(IF(A111=0,0,IFERROR(VLOOKUP($A111,'[1]Donor''s Assigned Kilos'!A:N,10,0),0)),0)</f>
        <v>0</v>
      </c>
      <c r="AT111" s="18">
        <f>IF(A111=0,0,IFERROR(SUMIFS([1]Population!T:T,[1]Population!J:J,'MASTER-2025'!A111),0))</f>
        <v>0</v>
      </c>
      <c r="AU111" s="19">
        <f>IFERROR(VLOOKUP($A111,'[1]Donor-Served OBs'!A:N,13,0),0)</f>
        <v>0</v>
      </c>
      <c r="AV111" s="19">
        <f>ROUNDUP(IF(A111=0,0,IFERROR(VLOOKUP($A111,'[1]Donor''s Assigned Kilos'!A:N,14,0),0)),0)</f>
        <v>0</v>
      </c>
      <c r="AW111" s="19">
        <f>IF(A111=0,0,IFERROR(SUMIFS([1]Population!X:X,[1]Population!J:J,'MASTER-2025'!A111),0))</f>
        <v>0</v>
      </c>
      <c r="AX111" s="20">
        <f>IFERROR(VLOOKUP($A111,'[1]Donor-Served OBs'!A:N,16,0),0)</f>
        <v>0</v>
      </c>
      <c r="AY111" s="20">
        <f>ROUNDUP(IF(A111=0,0,IFERROR(VLOOKUP($A111,'[1]Donor''s Assigned Kilos'!A:O,16,0),0)),0)</f>
        <v>0</v>
      </c>
      <c r="AZ111" s="20">
        <f>IF(A111=0,0,IFERROR(SUMIFS([1]Population!Y:Y,[1]Population!J:J,'MASTER-2025'!A111),0))</f>
        <v>0</v>
      </c>
      <c r="BA111" s="21">
        <f t="shared" ref="BA111:BA130" si="43">+H111+K111+N111+Q111+T111+W111+Z111+AC111+AF111+AI111+AL111+AO111+AR111+AU111+AX111</f>
        <v>0</v>
      </c>
      <c r="BB111" s="21">
        <f t="shared" si="42"/>
        <v>0</v>
      </c>
      <c r="BC111" s="21">
        <f t="shared" si="39"/>
        <v>0</v>
      </c>
      <c r="BD111" s="21">
        <f t="shared" si="41"/>
        <v>0</v>
      </c>
      <c r="BE111" s="22" t="e">
        <f>IF(A111=0,0,SUMIFS([1]Population!C:C,[1]Population!A:A,'MASTER-2025'!A111))</f>
        <v>#VALUE!</v>
      </c>
      <c r="BF111" s="22" t="e">
        <f>IF(A111=0,0,SUMIFS([1]Population!D:D,[1]Population!A:A,'MASTER-2025'!A111))</f>
        <v>#VALUE!</v>
      </c>
      <c r="BG111" s="22" t="e">
        <f>IF(A111=0,0,SUMIFS([1]Population!E:E,[1]Population!A:A,'MASTER-2025'!A111))</f>
        <v>#VALUE!</v>
      </c>
      <c r="BH111" s="22" t="e">
        <f>IF(A111=0,0,SUMIFS([1]Population!F:F,[1]Population!A:A,'MASTER-2025'!A111))</f>
        <v>#VALUE!</v>
      </c>
      <c r="BI111" s="22" t="e">
        <f t="shared" si="35"/>
        <v>#VALUE!</v>
      </c>
      <c r="BJ111" s="23" t="e">
        <f t="shared" si="30"/>
        <v>#VALUE!</v>
      </c>
      <c r="BK111" s="22" t="e">
        <f>IF(A111=0,0,SUMIFS([1]Population!G:G,[1]Population!A:A,'MASTER-2025'!A111))</f>
        <v>#VALUE!</v>
      </c>
      <c r="BL111" s="24" cm="1">
        <f t="array" ref="BL111:BW111">IFERROR(VLOOKUP(A111,'[1]Now-OB-kg-POB-25'!A:AQ,{3,4,5,6,7,8,9,10,11,12,13,14},0),0)</f>
        <v>0</v>
      </c>
      <c r="BM111" s="24">
        <v>0</v>
      </c>
      <c r="BN111" s="24">
        <v>0</v>
      </c>
      <c r="BO111" s="24">
        <v>0</v>
      </c>
      <c r="BP111" s="24">
        <v>0</v>
      </c>
      <c r="BQ111" s="24">
        <v>0</v>
      </c>
      <c r="BR111" s="24">
        <v>0</v>
      </c>
      <c r="BS111" s="24">
        <v>0</v>
      </c>
      <c r="BT111" s="24">
        <v>0</v>
      </c>
      <c r="BU111" s="24">
        <v>0</v>
      </c>
      <c r="BV111" s="24">
        <v>0</v>
      </c>
      <c r="BW111" s="24">
        <v>0</v>
      </c>
      <c r="BX111" s="24">
        <f t="shared" si="31"/>
        <v>0</v>
      </c>
      <c r="BY111" s="25" cm="1">
        <f t="array" ref="BY111:CJ111">IFERROR(VLOOKUP(A111,'[1]Now-OB-kg-POB-25'!A:AQ,{17,18,19,20,21,22,23,24,25,26,27,28},0),0)</f>
        <v>0</v>
      </c>
      <c r="BZ111" s="25">
        <v>0</v>
      </c>
      <c r="CA111" s="25">
        <v>0</v>
      </c>
      <c r="CB111" s="25">
        <v>0</v>
      </c>
      <c r="CC111" s="25">
        <v>0</v>
      </c>
      <c r="CD111" s="25">
        <v>0</v>
      </c>
      <c r="CE111" s="25">
        <v>0</v>
      </c>
      <c r="CF111" s="25">
        <v>0</v>
      </c>
      <c r="CG111" s="25">
        <v>0</v>
      </c>
      <c r="CH111" s="25">
        <v>0</v>
      </c>
      <c r="CI111" s="25">
        <v>0</v>
      </c>
      <c r="CJ111" s="25">
        <v>0</v>
      </c>
      <c r="CK111" s="25">
        <f t="shared" si="32"/>
        <v>0</v>
      </c>
      <c r="CL111" s="26" cm="1">
        <f t="array" ref="CL111:CW111">IFERROR(VLOOKUP(A111,'[1]Now-OB-kg-POB-25'!A:AQ,{31,32,33,34,35,36,37,38,39,40,41,42},0),0)</f>
        <v>0</v>
      </c>
      <c r="CM111" s="26">
        <v>0</v>
      </c>
      <c r="CN111" s="26">
        <v>0</v>
      </c>
      <c r="CO111" s="26">
        <v>0</v>
      </c>
      <c r="CP111" s="26">
        <v>0</v>
      </c>
      <c r="CQ111" s="26">
        <v>0</v>
      </c>
      <c r="CR111" s="26">
        <v>0</v>
      </c>
      <c r="CS111" s="26">
        <v>0</v>
      </c>
      <c r="CT111" s="26">
        <v>0</v>
      </c>
      <c r="CU111" s="26">
        <v>0</v>
      </c>
      <c r="CV111" s="26">
        <v>0</v>
      </c>
      <c r="CW111" s="26">
        <v>0</v>
      </c>
      <c r="CX111" s="26">
        <f t="shared" si="33"/>
        <v>0</v>
      </c>
      <c r="CY111" s="14" t="str">
        <f>IF(A111=0,0,IFERROR(VLOOKUP(A111,'[1]Info Donantes'!C:F,2,0),"Sin Contacto"))</f>
        <v>Sin Contacto</v>
      </c>
      <c r="CZ111" s="14" t="str">
        <f>IF(A111=0,0,IFERROR(VLOOKUP(A111,'[1]Info Donantes'!C:F,3,0),"Sin Correo"))</f>
        <v>Sin Correo</v>
      </c>
      <c r="DA111" s="14" t="str">
        <f>IF(A111=0,0,IFERROR(VLOOKUP(A111,'[1]Info Donantes'!C:F,4,0),"Sin Telefono"))</f>
        <v>Sin Telefono</v>
      </c>
      <c r="DB111" s="14" t="str">
        <f>IF(A111=0,0,"Reporte de Trazabiidad"&amp;" - "&amp;'[1]Donor Summary'!$C$2&amp;" - "&amp;A111&amp;"")</f>
        <v>Reporte de Trazabiidad -  - L.A.L. (The Roaring Twenties)</v>
      </c>
    </row>
    <row r="112" spans="1:106" x14ac:dyDescent="0.55000000000000004">
      <c r="A112" s="32" t="s">
        <v>272</v>
      </c>
      <c r="B112" s="15">
        <f>INT(IFERROR(VLOOKUP(A112,'[1]Donor Summary'!C:F,3,0),0))</f>
        <v>0</v>
      </c>
      <c r="C112" s="15">
        <f>INT(ROUND(IFERROR(VLOOKUP(A112,'[1]Donor Summary'!C:F,4,0),0),1))</f>
        <v>0</v>
      </c>
      <c r="D112" s="16">
        <f t="shared" si="36"/>
        <v>0</v>
      </c>
      <c r="E112" s="17" t="str">
        <f t="shared" si="37"/>
        <v>0.00%</v>
      </c>
      <c r="F112" s="17" t="str">
        <f t="shared" si="38"/>
        <v>0.0%</v>
      </c>
      <c r="G112" s="15">
        <f t="shared" si="40"/>
        <v>0</v>
      </c>
      <c r="H112" s="18"/>
      <c r="I112" s="18">
        <f>IFERROR(VLOOKUP(A112,'[1]Lot All by Part'!T:Y,6,0),0)</f>
        <v>0</v>
      </c>
      <c r="J112" s="18"/>
      <c r="K112" s="19">
        <f>IFERROR(VLOOKUP($A112,'[1]Donor-Served OBs'!A:N,3,0),0)</f>
        <v>0</v>
      </c>
      <c r="L112" s="19">
        <f>ROUNDUP(IF(A112=0,0,IFERROR(VLOOKUP($A112,'[1]Donor''s Assigned Kilos'!A:O,3,0),0)),0)</f>
        <v>0</v>
      </c>
      <c r="M112" s="19">
        <f>IF(A112=0,0,IFERROR(SUMIFS([1]Population!M:M,[1]Population!J:J,'MASTER-2025'!A112),0))</f>
        <v>0</v>
      </c>
      <c r="N112" s="20">
        <f>IFERROR(VLOOKUP($A112,'[1]Donor-Served OBs'!A:N,4,0),0)</f>
        <v>0</v>
      </c>
      <c r="O112" s="20">
        <f>ROUNDUP(IF(A112=0,0,IFERROR(VLOOKUP($A112,'[1]Donor''s Assigned Kilos'!A:O,4,0),0)),0)</f>
        <v>0</v>
      </c>
      <c r="P112" s="20">
        <f>IF(A112=0,0,IFERROR(SUMIFS([1]Population!N:N,[1]Population!J:J,'MASTER-2025'!A112),0))</f>
        <v>0</v>
      </c>
      <c r="Q112" s="18">
        <f>IFERROR(VLOOKUP($A112,'[1]Donor-Served OBs'!A:N,2,0),0)</f>
        <v>0</v>
      </c>
      <c r="R112" s="18">
        <f>ROUNDUP(ROUND(IF(A112=0,0,IFERROR(VLOOKUP($A112,'[1]Donor''s Assigned Kilos'!A:O,9,0),0)),1),0)</f>
        <v>0</v>
      </c>
      <c r="S112" s="18">
        <f>IF(A112=0,0,IFERROR(SUMIFS([1]Population!S:S,[1]Population!J:J,'MASTER-2025'!A112),0))</f>
        <v>0</v>
      </c>
      <c r="T112" s="19">
        <f>IFERROR(VLOOKUP($A112,'[1]Donor-Served OBs'!A:N,12,0),0)</f>
        <v>0</v>
      </c>
      <c r="U112" s="19">
        <f>ROUNDUP(IF(A112=0,0,IF(A112=0,0,IFERROR(VLOOKUP($A112,'[1]Donor''s Assigned Kilos'!A:O,7,0),0))),0)</f>
        <v>0</v>
      </c>
      <c r="V112" s="19">
        <f>IF(A112=0,0,IFERROR(SUMIFS([1]Population!Q:Q,[1]Population!J:J,'MASTER-2025'!A112),0))</f>
        <v>0</v>
      </c>
      <c r="W112" s="20">
        <f>IFERROR(VLOOKUP($A112,'[1]Donor-Served OBs'!A:N,10,0),0)</f>
        <v>0</v>
      </c>
      <c r="X112" s="20">
        <f>ROUNDUP(IF(A112=0,0,IFERROR(VLOOKUP($A112,'[1]Donor''s Assigned Kilos'!A:N,5,0),0)),0)</f>
        <v>0</v>
      </c>
      <c r="Y112" s="20">
        <f>IF(A112=0,0,IFERROR(SUMIFS([1]Population!O:O,[1]Population!J:J,'MASTER-2025'!A112),0))</f>
        <v>0</v>
      </c>
      <c r="Z112" s="18">
        <f>IFERROR(VLOOKUP($A112,'[1]Donor-Served OBs'!A:N,6,0),0)</f>
        <v>0</v>
      </c>
      <c r="AA112" s="18">
        <f>ROUNDUP(IF(A112=0,0,IFERROR(VLOOKUP($A112,'[1]Donor''s Assigned Kilos'!A:N,11,0),0)),0)</f>
        <v>0</v>
      </c>
      <c r="AB112" s="18">
        <f>IF(A112=0,0,IFERROR(SUMIFS([1]Population!U:U,[1]Population!J:J,'MASTER-2025'!A112),0))</f>
        <v>0</v>
      </c>
      <c r="AC112" s="19">
        <f>IFERROR(VLOOKUP($A112,'[1]Donor-Served OBs'!A:N,7,0),0)</f>
        <v>0</v>
      </c>
      <c r="AD112" s="19">
        <f>ROUNDUP(IF(A112=0,0,IFERROR(VLOOKUP($A112,'[1]Donor''s Assigned Kilos'!A:N,8,0),0)),0)</f>
        <v>0</v>
      </c>
      <c r="AE112" s="19">
        <f>IF(A112=0,0,IFERROR(SUMIFS([1]Population!R:R,[1]Population!J:J,'MASTER-2025'!A112),0))</f>
        <v>0</v>
      </c>
      <c r="AF112" s="20">
        <f>IFERROR(VLOOKUP($A112,'[1]Donor-Served OBs'!A:N,8,0),0)</f>
        <v>0</v>
      </c>
      <c r="AG112" s="20">
        <f>ROUNDUP(IF(A112=0,0,IFERROR(VLOOKUP($A112,'[1]Donor''s Assigned Kilos'!A:N,6,0),0)),0)</f>
        <v>0</v>
      </c>
      <c r="AH112" s="20">
        <f>IF(A112=0,0,IFERROR(SUMIFS([1]Population!P:P,[1]Population!J:J,'MASTER-2025'!A112),0))</f>
        <v>0</v>
      </c>
      <c r="AI112" s="18">
        <f>IFERROR(VLOOKUP($A112,'[1]Donor-Served OBs'!A:N,9,0),0)</f>
        <v>0</v>
      </c>
      <c r="AJ112" s="18">
        <f>ROUNDUP(IF(A112=0,0,IFERROR(VLOOKUP($A112,'[1]Donor''s Assigned Kilos'!A:N,12,0),0)),0)</f>
        <v>0</v>
      </c>
      <c r="AK112" s="18">
        <f>IF(A112=0,0,IFERROR(SUMIFS([1]Population!V:V,[1]Population!J:J,'MASTER-2025'!A112),0))</f>
        <v>0</v>
      </c>
      <c r="AL112" s="19">
        <f>IFERROR(VLOOKUP($A112,'[1]Donor-Served OBs'!A:N,16,0),0)</f>
        <v>0</v>
      </c>
      <c r="AM112" s="19">
        <f>ROUNDUP(IF(A112=0,0,IFERROR(VLOOKUP($A112,'[1]Donor''s Assigned Kilos'!A:O,16,0),0)),0)</f>
        <v>0</v>
      </c>
      <c r="AN112" s="19">
        <f>IF(A112=0,0,IFERROR(SUMIFS([1]Population!Z:Z,[1]Population!J:J,'MASTER-2025'!A112),0))</f>
        <v>0</v>
      </c>
      <c r="AO112" s="20">
        <f>IFERROR(VLOOKUP($A112,'[1]Donor-Served OBs'!A:N,11,0),0)</f>
        <v>0</v>
      </c>
      <c r="AP112" s="20">
        <f>ROUNDUP(IF(A112=0,0,IFERROR(VLOOKUP($A112,'[1]Donor''s Assigned Kilos'!A:N,13,0),0)),0)</f>
        <v>0</v>
      </c>
      <c r="AQ112" s="20">
        <f>IF(A112=0,0,IFERROR(SUMIFS([1]Population!W:W,[1]Population!J:J,'MASTER-2025'!A112),0))</f>
        <v>0</v>
      </c>
      <c r="AR112" s="18">
        <f>IFERROR(VLOOKUP($A112,'[1]Donor-Served OBs'!A:N,5,0),0)</f>
        <v>0</v>
      </c>
      <c r="AS112" s="18">
        <f>ROUNDUP(IF(A112=0,0,IFERROR(VLOOKUP($A112,'[1]Donor''s Assigned Kilos'!A:N,10,0),0)),0)</f>
        <v>0</v>
      </c>
      <c r="AT112" s="18">
        <f>IF(A112=0,0,IFERROR(SUMIFS([1]Population!T:T,[1]Population!J:J,'MASTER-2025'!A112),0))</f>
        <v>0</v>
      </c>
      <c r="AU112" s="19">
        <f>IFERROR(VLOOKUP($A112,'[1]Donor-Served OBs'!A:N,13,0),0)</f>
        <v>0</v>
      </c>
      <c r="AV112" s="19">
        <f>ROUNDUP(IF(A112=0,0,IFERROR(VLOOKUP($A112,'[1]Donor''s Assigned Kilos'!A:N,14,0),0)),0)</f>
        <v>0</v>
      </c>
      <c r="AW112" s="19">
        <f>IF(A112=0,0,IFERROR(SUMIFS([1]Population!X:X,[1]Population!J:J,'MASTER-2025'!A112),0))</f>
        <v>0</v>
      </c>
      <c r="AX112" s="20">
        <f>IFERROR(VLOOKUP($A112,'[1]Donor-Served OBs'!A:N,16,0),0)</f>
        <v>0</v>
      </c>
      <c r="AY112" s="20">
        <f>ROUNDUP(IF(A112=0,0,IFERROR(VLOOKUP($A112,'[1]Donor''s Assigned Kilos'!A:O,16,0),0)),0)</f>
        <v>0</v>
      </c>
      <c r="AZ112" s="20">
        <f>IF(A112=0,0,IFERROR(SUMIFS([1]Population!Y:Y,[1]Population!J:J,'MASTER-2025'!A112),0))</f>
        <v>0</v>
      </c>
      <c r="BA112" s="21">
        <f t="shared" si="43"/>
        <v>0</v>
      </c>
      <c r="BB112" s="21">
        <f t="shared" si="42"/>
        <v>0</v>
      </c>
      <c r="BC112" s="21">
        <f t="shared" si="39"/>
        <v>0</v>
      </c>
      <c r="BD112" s="21">
        <f>IF(A112=0,0,(+J112+M112+P112+S112+V112+Y112+AB112+AE112+AH112+AK112+AN112+AQ112+AT112+AW112+AZ112))</f>
        <v>0</v>
      </c>
      <c r="BE112" s="22" t="e">
        <f>IF(A112=0,0,SUMIFS([1]Population!C:C,[1]Population!A:A,'MASTER-2025'!A112))</f>
        <v>#VALUE!</v>
      </c>
      <c r="BF112" s="22" t="e">
        <f>IF(A112=0,0,SUMIFS([1]Population!D:D,[1]Population!A:A,'MASTER-2025'!A112))</f>
        <v>#VALUE!</v>
      </c>
      <c r="BG112" s="22" t="e">
        <f>IF(A112=0,0,SUMIFS([1]Population!E:E,[1]Population!A:A,'MASTER-2025'!A112))</f>
        <v>#VALUE!</v>
      </c>
      <c r="BH112" s="22" t="e">
        <f>IF(A112=0,0,SUMIFS([1]Population!F:F,[1]Population!A:A,'MASTER-2025'!A112))</f>
        <v>#VALUE!</v>
      </c>
      <c r="BI112" s="22" t="e">
        <f t="shared" si="35"/>
        <v>#VALUE!</v>
      </c>
      <c r="BJ112" s="23" t="e">
        <f t="shared" si="30"/>
        <v>#VALUE!</v>
      </c>
      <c r="BK112" s="22" t="e">
        <f>IF(A112=0,0,SUMIFS([1]Population!G:G,[1]Population!A:A,'MASTER-2025'!A112))</f>
        <v>#VALUE!</v>
      </c>
      <c r="BL112" s="24" cm="1">
        <f t="array" ref="BL112:BW112">IFERROR(VLOOKUP(A112,'[1]Now-OB-kg-POB-25'!A:AQ,{3,4,5,6,7,8,9,10,11,12,13,14},0),0)</f>
        <v>0</v>
      </c>
      <c r="BM112" s="24">
        <v>0</v>
      </c>
      <c r="BN112" s="24">
        <v>0</v>
      </c>
      <c r="BO112" s="24">
        <v>0</v>
      </c>
      <c r="BP112" s="24">
        <v>0</v>
      </c>
      <c r="BQ112" s="24">
        <v>0</v>
      </c>
      <c r="BR112" s="24">
        <v>0</v>
      </c>
      <c r="BS112" s="24">
        <v>0</v>
      </c>
      <c r="BT112" s="24">
        <v>0</v>
      </c>
      <c r="BU112" s="24">
        <v>0</v>
      </c>
      <c r="BV112" s="24">
        <v>0</v>
      </c>
      <c r="BW112" s="24">
        <v>0</v>
      </c>
      <c r="BX112" s="24">
        <f t="shared" si="31"/>
        <v>0</v>
      </c>
      <c r="BY112" s="25" cm="1">
        <f t="array" ref="BY112:CJ112">IFERROR(VLOOKUP(A112,'[1]Now-OB-kg-POB-25'!A:AQ,{17,18,19,20,21,22,23,24,25,26,27,28},0),0)</f>
        <v>0</v>
      </c>
      <c r="BZ112" s="25">
        <v>0</v>
      </c>
      <c r="CA112" s="25">
        <v>0</v>
      </c>
      <c r="CB112" s="25">
        <v>0</v>
      </c>
      <c r="CC112" s="25">
        <v>0</v>
      </c>
      <c r="CD112" s="25">
        <v>0</v>
      </c>
      <c r="CE112" s="25">
        <v>0</v>
      </c>
      <c r="CF112" s="25">
        <v>0</v>
      </c>
      <c r="CG112" s="25">
        <v>0</v>
      </c>
      <c r="CH112" s="25">
        <v>0</v>
      </c>
      <c r="CI112" s="25">
        <v>0</v>
      </c>
      <c r="CJ112" s="25">
        <v>0</v>
      </c>
      <c r="CK112" s="25">
        <f t="shared" si="32"/>
        <v>0</v>
      </c>
      <c r="CL112" s="26" cm="1">
        <f t="array" ref="CL112:CW112">IFERROR(VLOOKUP(A112,'[1]Now-OB-kg-POB-25'!A:AQ,{31,32,33,34,35,36,37,38,39,40,41,42},0),0)</f>
        <v>0</v>
      </c>
      <c r="CM112" s="26">
        <v>0</v>
      </c>
      <c r="CN112" s="26">
        <v>0</v>
      </c>
      <c r="CO112" s="26">
        <v>0</v>
      </c>
      <c r="CP112" s="26">
        <v>0</v>
      </c>
      <c r="CQ112" s="26">
        <v>0</v>
      </c>
      <c r="CR112" s="26">
        <v>0</v>
      </c>
      <c r="CS112" s="26">
        <v>0</v>
      </c>
      <c r="CT112" s="26">
        <v>0</v>
      </c>
      <c r="CU112" s="26">
        <v>0</v>
      </c>
      <c r="CV112" s="26">
        <v>0</v>
      </c>
      <c r="CW112" s="26">
        <v>0</v>
      </c>
      <c r="CX112" s="26">
        <f t="shared" si="33"/>
        <v>0</v>
      </c>
      <c r="CY112" s="14" t="str">
        <f>IF(A112=0,0,IFERROR(VLOOKUP(A112,'[1]Info Donantes'!C:F,2,0),"Sin Contacto"))</f>
        <v>Sin Contacto</v>
      </c>
      <c r="CZ112" s="14" t="str">
        <f>IF(A112=0,0,IFERROR(VLOOKUP(A112,'[1]Info Donantes'!C:F,3,0),"Sin Correo"))</f>
        <v>Sin Correo</v>
      </c>
      <c r="DA112" s="14" t="str">
        <f>IF(A112=0,0,IFERROR(VLOOKUP(A112,'[1]Info Donantes'!C:F,4,0),"Sin Telefono"))</f>
        <v>Sin Telefono</v>
      </c>
      <c r="DB112" s="14" t="str">
        <f>IF(A112=0,0,"Reporte de Trazabiidad"&amp;" - "&amp;'[1]Donor Summary'!$C$2&amp;" - "&amp;A112&amp;"")</f>
        <v>Reporte de Trazabiidad -  - UNIVERDE S.A</v>
      </c>
    </row>
    <row r="113" spans="1:106" x14ac:dyDescent="0.55000000000000004">
      <c r="A113" s="32" t="s">
        <v>273</v>
      </c>
      <c r="B113" s="15">
        <f>INT(IFERROR(VLOOKUP(A113,'[1]Donor Summary'!C:F,3,0),0))</f>
        <v>0</v>
      </c>
      <c r="C113" s="15">
        <f>INT(ROUND(IFERROR(VLOOKUP(A113,'[1]Donor Summary'!C:F,4,0),0),1))</f>
        <v>0</v>
      </c>
      <c r="D113" s="16">
        <f t="shared" si="36"/>
        <v>0</v>
      </c>
      <c r="E113" s="17" t="str">
        <f t="shared" si="37"/>
        <v>0.00%</v>
      </c>
      <c r="F113" s="17" t="str">
        <f t="shared" si="38"/>
        <v>0.0%</v>
      </c>
      <c r="G113" s="15">
        <f t="shared" si="40"/>
        <v>0</v>
      </c>
      <c r="H113" s="18"/>
      <c r="I113" s="18">
        <f>IFERROR(VLOOKUP(A113,'[1]Lot All by Part'!T:Y,6,0),0)</f>
        <v>0</v>
      </c>
      <c r="J113" s="18"/>
      <c r="K113" s="19">
        <f>IFERROR(VLOOKUP($A113,'[1]Donor-Served OBs'!A:N,3,0),0)</f>
        <v>0</v>
      </c>
      <c r="L113" s="19">
        <f>ROUNDUP(IF(A113=0,0,IFERROR(VLOOKUP($A113,'[1]Donor''s Assigned Kilos'!A:O,3,0),0)),0)</f>
        <v>0</v>
      </c>
      <c r="M113" s="19">
        <f>IF(A113=0,0,IFERROR(SUMIFS([1]Population!M:M,[1]Population!J:J,'MASTER-2025'!A113),0))</f>
        <v>0</v>
      </c>
      <c r="N113" s="20">
        <f>IFERROR(VLOOKUP($A113,'[1]Donor-Served OBs'!A:N,4,0),0)</f>
        <v>0</v>
      </c>
      <c r="O113" s="20">
        <f>ROUNDUP(IF(A113=0,0,IFERROR(VLOOKUP($A113,'[1]Donor''s Assigned Kilos'!A:O,4,0),0)),0)</f>
        <v>0</v>
      </c>
      <c r="P113" s="20">
        <f>IF(A113=0,0,IFERROR(SUMIFS([1]Population!N:N,[1]Population!J:J,'MASTER-2025'!A113),0))</f>
        <v>0</v>
      </c>
      <c r="Q113" s="18">
        <f>IFERROR(VLOOKUP($A113,'[1]Donor-Served OBs'!A:N,2,0),0)</f>
        <v>0</v>
      </c>
      <c r="R113" s="18">
        <f>ROUNDUP(ROUND(IF(A113=0,0,IFERROR(VLOOKUP($A113,'[1]Donor''s Assigned Kilos'!A:O,9,0),0)),1),0)</f>
        <v>0</v>
      </c>
      <c r="S113" s="18">
        <f>IF(A113=0,0,IFERROR(SUMIFS([1]Population!S:S,[1]Population!J:J,'MASTER-2025'!A113),0))</f>
        <v>0</v>
      </c>
      <c r="T113" s="19">
        <f>IFERROR(VLOOKUP($A113,'[1]Donor-Served OBs'!A:N,12,0),0)</f>
        <v>0</v>
      </c>
      <c r="U113" s="19">
        <f>ROUNDUP(IF(A113=0,0,IF(A113=0,0,IFERROR(VLOOKUP($A113,'[1]Donor''s Assigned Kilos'!A:O,7,0),0))),0)</f>
        <v>0</v>
      </c>
      <c r="V113" s="19">
        <f>IF(A113=0,0,IFERROR(SUMIFS([1]Population!Q:Q,[1]Population!J:J,'MASTER-2025'!A113),0))</f>
        <v>0</v>
      </c>
      <c r="W113" s="20">
        <f>IFERROR(VLOOKUP($A113,'[1]Donor-Served OBs'!A:N,10,0),0)</f>
        <v>0</v>
      </c>
      <c r="X113" s="20">
        <f>ROUNDUP(IF(A113=0,0,IFERROR(VLOOKUP($A113,'[1]Donor''s Assigned Kilos'!A:N,5,0),0)),0)</f>
        <v>0</v>
      </c>
      <c r="Y113" s="20">
        <f>IF(A113=0,0,IFERROR(SUMIFS([1]Population!O:O,[1]Population!J:J,'MASTER-2025'!A113),0))</f>
        <v>0</v>
      </c>
      <c r="Z113" s="18">
        <f>IFERROR(VLOOKUP($A113,'[1]Donor-Served OBs'!A:N,6,0),0)</f>
        <v>0</v>
      </c>
      <c r="AA113" s="18">
        <f>ROUNDUP(IF(A113=0,0,IFERROR(VLOOKUP($A113,'[1]Donor''s Assigned Kilos'!A:N,11,0),0)),0)</f>
        <v>0</v>
      </c>
      <c r="AB113" s="18">
        <f>IF(A113=0,0,IFERROR(SUMIFS([1]Population!U:U,[1]Population!J:J,'MASTER-2025'!A113),0))</f>
        <v>0</v>
      </c>
      <c r="AC113" s="19">
        <f>IFERROR(VLOOKUP($A113,'[1]Donor-Served OBs'!A:N,7,0),0)</f>
        <v>0</v>
      </c>
      <c r="AD113" s="19">
        <f>ROUNDUP(IF(A113=0,0,IFERROR(VLOOKUP($A113,'[1]Donor''s Assigned Kilos'!A:N,8,0),0)),0)</f>
        <v>0</v>
      </c>
      <c r="AE113" s="19">
        <f>IF(A113=0,0,IFERROR(SUMIFS([1]Population!R:R,[1]Population!J:J,'MASTER-2025'!A113),0))</f>
        <v>0</v>
      </c>
      <c r="AF113" s="20">
        <f>IFERROR(VLOOKUP($A113,'[1]Donor-Served OBs'!A:N,8,0),0)</f>
        <v>0</v>
      </c>
      <c r="AG113" s="20">
        <f>ROUNDUP(IF(A113=0,0,IFERROR(VLOOKUP($A113,'[1]Donor''s Assigned Kilos'!A:N,6,0),0)),0)</f>
        <v>0</v>
      </c>
      <c r="AH113" s="20">
        <f>IF(A113=0,0,IFERROR(SUMIFS([1]Population!P:P,[1]Population!J:J,'MASTER-2025'!A113),0))</f>
        <v>0</v>
      </c>
      <c r="AI113" s="18">
        <f>IFERROR(VLOOKUP($A113,'[1]Donor-Served OBs'!A:N,9,0),0)</f>
        <v>0</v>
      </c>
      <c r="AJ113" s="18">
        <f>ROUNDUP(IF(A113=0,0,IFERROR(VLOOKUP($A113,'[1]Donor''s Assigned Kilos'!A:N,12,0),0)),0)</f>
        <v>0</v>
      </c>
      <c r="AK113" s="18">
        <f>IF(A113=0,0,IFERROR(SUMIFS([1]Population!V:V,[1]Population!J:J,'MASTER-2025'!A113),0))</f>
        <v>0</v>
      </c>
      <c r="AL113" s="19">
        <f>IFERROR(VLOOKUP($A113,'[1]Donor-Served OBs'!A:N,16,0),0)</f>
        <v>0</v>
      </c>
      <c r="AM113" s="19">
        <f>ROUNDUP(IF(A113=0,0,IFERROR(VLOOKUP($A113,'[1]Donor''s Assigned Kilos'!A:O,16,0),0)),0)</f>
        <v>0</v>
      </c>
      <c r="AN113" s="19">
        <f>IF(A113=0,0,IFERROR(SUMIFS([1]Population!Z:Z,[1]Population!J:J,'MASTER-2025'!A113),0))</f>
        <v>0</v>
      </c>
      <c r="AO113" s="20">
        <f>IFERROR(VLOOKUP($A113,'[1]Donor-Served OBs'!A:N,11,0),0)</f>
        <v>0</v>
      </c>
      <c r="AP113" s="20">
        <f>ROUNDUP(IF(A113=0,0,IFERROR(VLOOKUP($A113,'[1]Donor''s Assigned Kilos'!A:N,13,0),0)),0)</f>
        <v>0</v>
      </c>
      <c r="AQ113" s="20">
        <f>IF(A113=0,0,IFERROR(SUMIFS([1]Population!W:W,[1]Population!J:J,'MASTER-2025'!A113),0))</f>
        <v>0</v>
      </c>
      <c r="AR113" s="18">
        <f>IFERROR(VLOOKUP($A113,'[1]Donor-Served OBs'!A:N,5,0),0)</f>
        <v>0</v>
      </c>
      <c r="AS113" s="18">
        <f>ROUNDUP(IF(A113=0,0,IFERROR(VLOOKUP($A113,'[1]Donor''s Assigned Kilos'!A:N,10,0),0)),0)</f>
        <v>0</v>
      </c>
      <c r="AT113" s="18">
        <f>IF(A113=0,0,IFERROR(SUMIFS([1]Population!T:T,[1]Population!J:J,'MASTER-2025'!A113),0))</f>
        <v>0</v>
      </c>
      <c r="AU113" s="19">
        <f>IFERROR(VLOOKUP($A113,'[1]Donor-Served OBs'!A:N,13,0),0)</f>
        <v>0</v>
      </c>
      <c r="AV113" s="19">
        <f>ROUNDUP(IF(A113=0,0,IFERROR(VLOOKUP($A113,'[1]Donor''s Assigned Kilos'!A:N,14,0),0)),0)</f>
        <v>0</v>
      </c>
      <c r="AW113" s="19">
        <f>IF(A113=0,0,IFERROR(SUMIFS([1]Population!X:X,[1]Population!J:J,'MASTER-2025'!A113),0))</f>
        <v>0</v>
      </c>
      <c r="AX113" s="20">
        <f>IFERROR(VLOOKUP($A113,'[1]Donor-Served OBs'!A:N,16,0),0)</f>
        <v>0</v>
      </c>
      <c r="AY113" s="20">
        <f>ROUNDUP(IF(A113=0,0,IFERROR(VLOOKUP($A113,'[1]Donor''s Assigned Kilos'!A:O,16,0),0)),0)</f>
        <v>0</v>
      </c>
      <c r="AZ113" s="20">
        <f>IF(A113=0,0,IFERROR(SUMIFS([1]Population!Y:Y,[1]Population!J:J,'MASTER-2025'!A113),0))</f>
        <v>0</v>
      </c>
      <c r="BA113" s="21">
        <f t="shared" si="43"/>
        <v>0</v>
      </c>
      <c r="BB113" s="21">
        <f t="shared" si="42"/>
        <v>0</v>
      </c>
      <c r="BC113" s="21">
        <f t="shared" si="39"/>
        <v>0</v>
      </c>
      <c r="BD113" s="21">
        <f>IF(A113=0,0,(+J113+M113+P113+S113+V113+Y113+AB113+AE113+AH113+AK113+AN113+AQ113+AT113+AW113+AZ113))</f>
        <v>0</v>
      </c>
      <c r="BE113" s="22" t="e">
        <f>IF(A113=0,0,SUMIFS([1]Population!C:C,[1]Population!A:A,'MASTER-2025'!A113))</f>
        <v>#VALUE!</v>
      </c>
      <c r="BF113" s="22" t="e">
        <f>IF(A113=0,0,SUMIFS([1]Population!D:D,[1]Population!A:A,'MASTER-2025'!A113))</f>
        <v>#VALUE!</v>
      </c>
      <c r="BG113" s="22" t="e">
        <f>IF(A113=0,0,SUMIFS([1]Population!E:E,[1]Population!A:A,'MASTER-2025'!A113))</f>
        <v>#VALUE!</v>
      </c>
      <c r="BH113" s="22" t="e">
        <f>IF(A113=0,0,SUMIFS([1]Population!F:F,[1]Population!A:A,'MASTER-2025'!A113))</f>
        <v>#VALUE!</v>
      </c>
      <c r="BI113" s="22" t="e">
        <f t="shared" si="35"/>
        <v>#VALUE!</v>
      </c>
      <c r="BJ113" s="23" t="e">
        <f t="shared" si="30"/>
        <v>#VALUE!</v>
      </c>
      <c r="BK113" s="22" t="e">
        <f>IF(A113=0,0,SUMIFS([1]Population!G:G,[1]Population!A:A,'MASTER-2025'!A113))</f>
        <v>#VALUE!</v>
      </c>
      <c r="BL113" s="24" cm="1">
        <f t="array" ref="BL113:BW113">IFERROR(VLOOKUP(A113,'[1]Now-OB-kg-POB-25'!A:AQ,{3,4,5,6,7,8,9,10,11,12,13,14},0),0)</f>
        <v>0</v>
      </c>
      <c r="BM113" s="24">
        <v>0</v>
      </c>
      <c r="BN113" s="24">
        <v>0</v>
      </c>
      <c r="BO113" s="24">
        <v>0</v>
      </c>
      <c r="BP113" s="24">
        <v>0</v>
      </c>
      <c r="BQ113" s="24">
        <v>0</v>
      </c>
      <c r="BR113" s="24">
        <v>0</v>
      </c>
      <c r="BS113" s="24">
        <v>0</v>
      </c>
      <c r="BT113" s="24">
        <v>0</v>
      </c>
      <c r="BU113" s="24">
        <v>0</v>
      </c>
      <c r="BV113" s="24">
        <v>0</v>
      </c>
      <c r="BW113" s="24">
        <v>0</v>
      </c>
      <c r="BX113" s="24">
        <f t="shared" si="31"/>
        <v>0</v>
      </c>
      <c r="BY113" s="25" cm="1">
        <f t="array" ref="BY113:CJ113">IFERROR(VLOOKUP(A113,'[1]Now-OB-kg-POB-25'!A:AQ,{17,18,19,20,21,22,23,24,25,26,27,28},0),0)</f>
        <v>0</v>
      </c>
      <c r="BZ113" s="25">
        <v>0</v>
      </c>
      <c r="CA113" s="25">
        <v>0</v>
      </c>
      <c r="CB113" s="25">
        <v>0</v>
      </c>
      <c r="CC113" s="25">
        <v>0</v>
      </c>
      <c r="CD113" s="25">
        <v>0</v>
      </c>
      <c r="CE113" s="25">
        <v>0</v>
      </c>
      <c r="CF113" s="25">
        <v>0</v>
      </c>
      <c r="CG113" s="25">
        <v>0</v>
      </c>
      <c r="CH113" s="25">
        <v>0</v>
      </c>
      <c r="CI113" s="25">
        <v>0</v>
      </c>
      <c r="CJ113" s="25">
        <v>0</v>
      </c>
      <c r="CK113" s="25">
        <f t="shared" si="32"/>
        <v>0</v>
      </c>
      <c r="CL113" s="26" cm="1">
        <f t="array" ref="CL113:CW113">IFERROR(VLOOKUP(A113,'[1]Now-OB-kg-POB-25'!A:AQ,{31,32,33,34,35,36,37,38,39,40,41,42},0),0)</f>
        <v>0</v>
      </c>
      <c r="CM113" s="26">
        <v>0</v>
      </c>
      <c r="CN113" s="26">
        <v>0</v>
      </c>
      <c r="CO113" s="26">
        <v>0</v>
      </c>
      <c r="CP113" s="26">
        <v>0</v>
      </c>
      <c r="CQ113" s="26">
        <v>0</v>
      </c>
      <c r="CR113" s="26">
        <v>0</v>
      </c>
      <c r="CS113" s="26">
        <v>0</v>
      </c>
      <c r="CT113" s="26">
        <v>0</v>
      </c>
      <c r="CU113" s="26">
        <v>0</v>
      </c>
      <c r="CV113" s="26">
        <v>0</v>
      </c>
      <c r="CW113" s="26">
        <v>0</v>
      </c>
      <c r="CX113" s="26">
        <f t="shared" si="33"/>
        <v>0</v>
      </c>
      <c r="CY113" s="14" t="str">
        <f>IF(A113=0,0,IFERROR(VLOOKUP(A113,'[1]Info Donantes'!C:F,2,0),"Sin Contacto"))</f>
        <v>Anais Moreno</v>
      </c>
      <c r="CZ113" s="14" t="str">
        <f>IF(A113=0,0,IFERROR(VLOOKUP(A113,'[1]Info Donantes'!C:F,3,0),"Sin Correo"))</f>
        <v>anais@bacosa.com</v>
      </c>
      <c r="DA113" s="14" t="str">
        <f>IF(A113=0,0,IFERROR(VLOOKUP(A113,'[1]Info Donantes'!C:F,4,0),"Sin Telefono"))</f>
        <v>507 267-2447/267-3331 Ext. 102</v>
      </c>
      <c r="DB113" s="14" t="str">
        <f>IF(A113=0,0,"Reporte de Trazabiidad"&amp;" - "&amp;'[1]Donor Summary'!$C$2&amp;" - "&amp;A113&amp;"")</f>
        <v>Reporte de Trazabiidad -  - BARRAZA Y COMPAÑIA, S.A</v>
      </c>
    </row>
    <row r="114" spans="1:106" ht="28.8" x14ac:dyDescent="0.55000000000000004">
      <c r="A114" s="32" t="s">
        <v>274</v>
      </c>
      <c r="B114" s="15">
        <f>INT(IFERROR(VLOOKUP(A114,'[1]Donor Summary'!C:F,3,0),0))</f>
        <v>0</v>
      </c>
      <c r="C114" s="15">
        <f>INT(ROUND(IFERROR(VLOOKUP(A114,'[1]Donor Summary'!C:F,4,0),0),1))</f>
        <v>0</v>
      </c>
      <c r="D114" s="16">
        <f t="shared" si="36"/>
        <v>0</v>
      </c>
      <c r="E114" s="17" t="str">
        <f t="shared" si="37"/>
        <v>0.00%</v>
      </c>
      <c r="F114" s="17" t="str">
        <f t="shared" si="38"/>
        <v>0.0%</v>
      </c>
      <c r="G114" s="15">
        <f t="shared" si="40"/>
        <v>0</v>
      </c>
      <c r="H114" s="18"/>
      <c r="I114" s="18">
        <f>IFERROR(VLOOKUP(A114,'[1]Lot All by Part'!T:Y,6,0),0)</f>
        <v>0</v>
      </c>
      <c r="J114" s="18"/>
      <c r="K114" s="19">
        <f>IFERROR(VLOOKUP($A114,'[1]Donor-Served OBs'!A:N,3,0),0)</f>
        <v>0</v>
      </c>
      <c r="L114" s="19">
        <f>ROUNDUP(IF(A114=0,0,IFERROR(VLOOKUP($A114,'[1]Donor''s Assigned Kilos'!A:O,3,0),0)),0)</f>
        <v>0</v>
      </c>
      <c r="M114" s="19">
        <f>IF(A114=0,0,IFERROR(SUMIFS([1]Population!M:M,[1]Population!J:J,'MASTER-2025'!A114),0))</f>
        <v>0</v>
      </c>
      <c r="N114" s="20">
        <f>IFERROR(VLOOKUP($A114,'[1]Donor-Served OBs'!A:N,4,0),0)</f>
        <v>0</v>
      </c>
      <c r="O114" s="20">
        <f>ROUNDUP(IF(A114=0,0,IFERROR(VLOOKUP($A114,'[1]Donor''s Assigned Kilos'!A:O,4,0),0)),0)</f>
        <v>0</v>
      </c>
      <c r="P114" s="20">
        <f>IF(A114=0,0,IFERROR(SUMIFS([1]Population!N:N,[1]Population!J:J,'MASTER-2025'!A114),0))</f>
        <v>0</v>
      </c>
      <c r="Q114" s="18">
        <f>IFERROR(VLOOKUP($A114,'[1]Donor-Served OBs'!A:N,2,0),0)</f>
        <v>0</v>
      </c>
      <c r="R114" s="18">
        <f>ROUNDUP(ROUND(IF(A114=0,0,IFERROR(VLOOKUP($A114,'[1]Donor''s Assigned Kilos'!A:O,9,0),0)),1),0)</f>
        <v>0</v>
      </c>
      <c r="S114" s="18">
        <f>IF(A114=0,0,IFERROR(SUMIFS([1]Population!S:S,[1]Population!J:J,'MASTER-2025'!A114),0))</f>
        <v>0</v>
      </c>
      <c r="T114" s="19">
        <f>IFERROR(VLOOKUP($A114,'[1]Donor-Served OBs'!A:N,12,0),0)</f>
        <v>0</v>
      </c>
      <c r="U114" s="19">
        <f>ROUNDUP(IF(A114=0,0,IF(A114=0,0,IFERROR(VLOOKUP($A114,'[1]Donor''s Assigned Kilos'!A:O,7,0),0))),0)</f>
        <v>0</v>
      </c>
      <c r="V114" s="19">
        <f>IF(A114=0,0,IFERROR(SUMIFS([1]Population!Q:Q,[1]Population!J:J,'MASTER-2025'!A114),0))</f>
        <v>0</v>
      </c>
      <c r="W114" s="20">
        <f>IFERROR(VLOOKUP($A114,'[1]Donor-Served OBs'!A:N,10,0),0)</f>
        <v>0</v>
      </c>
      <c r="X114" s="20">
        <f>ROUNDUP(IF(A114=0,0,IFERROR(VLOOKUP($A114,'[1]Donor''s Assigned Kilos'!A:N,5,0),0)),0)</f>
        <v>0</v>
      </c>
      <c r="Y114" s="20">
        <f>IF(A114=0,0,IFERROR(SUMIFS([1]Population!O:O,[1]Population!J:J,'MASTER-2025'!A114),0))</f>
        <v>0</v>
      </c>
      <c r="Z114" s="18">
        <f>IFERROR(VLOOKUP($A114,'[1]Donor-Served OBs'!A:N,6,0),0)</f>
        <v>0</v>
      </c>
      <c r="AA114" s="18">
        <f>ROUNDUP(IF(A114=0,0,IFERROR(VLOOKUP($A114,'[1]Donor''s Assigned Kilos'!A:N,11,0),0)),0)</f>
        <v>0</v>
      </c>
      <c r="AB114" s="18">
        <f>IF(A114=0,0,IFERROR(SUMIFS([1]Population!U:U,[1]Population!J:J,'MASTER-2025'!A114),0))</f>
        <v>0</v>
      </c>
      <c r="AC114" s="19">
        <f>IFERROR(VLOOKUP($A114,'[1]Donor-Served OBs'!A:N,7,0),0)</f>
        <v>0</v>
      </c>
      <c r="AD114" s="19">
        <f>ROUNDUP(IF(A114=0,0,IFERROR(VLOOKUP($A114,'[1]Donor''s Assigned Kilos'!A:N,8,0),0)),0)</f>
        <v>0</v>
      </c>
      <c r="AE114" s="19">
        <f>IF(A114=0,0,IFERROR(SUMIFS([1]Population!R:R,[1]Population!J:J,'MASTER-2025'!A114),0))</f>
        <v>0</v>
      </c>
      <c r="AF114" s="20">
        <f>IFERROR(VLOOKUP($A114,'[1]Donor-Served OBs'!A:N,8,0),0)</f>
        <v>0</v>
      </c>
      <c r="AG114" s="20">
        <f>ROUNDUP(IF(A114=0,0,IFERROR(VLOOKUP($A114,'[1]Donor''s Assigned Kilos'!A:N,6,0),0)),0)</f>
        <v>0</v>
      </c>
      <c r="AH114" s="20">
        <f>IF(A114=0,0,IFERROR(SUMIFS([1]Population!P:P,[1]Population!J:J,'MASTER-2025'!A114),0))</f>
        <v>0</v>
      </c>
      <c r="AI114" s="18">
        <f>IFERROR(VLOOKUP($A114,'[1]Donor-Served OBs'!A:N,9,0),0)</f>
        <v>0</v>
      </c>
      <c r="AJ114" s="18">
        <f>ROUNDUP(IF(A114=0,0,IFERROR(VLOOKUP($A114,'[1]Donor''s Assigned Kilos'!A:N,12,0),0)),0)</f>
        <v>0</v>
      </c>
      <c r="AK114" s="18">
        <f>IF(A114=0,0,IFERROR(SUMIFS([1]Population!V:V,[1]Population!J:J,'MASTER-2025'!A114),0))</f>
        <v>0</v>
      </c>
      <c r="AL114" s="19">
        <f>IFERROR(VLOOKUP($A114,'[1]Donor-Served OBs'!A:N,16,0),0)</f>
        <v>0</v>
      </c>
      <c r="AM114" s="19">
        <f>ROUNDUP(IF(A114=0,0,IFERROR(VLOOKUP($A114,'[1]Donor''s Assigned Kilos'!A:O,16,0),0)),0)</f>
        <v>0</v>
      </c>
      <c r="AN114" s="19">
        <f>IF(A114=0,0,IFERROR(SUMIFS([1]Population!Z:Z,[1]Population!J:J,'MASTER-2025'!A114),0))</f>
        <v>0</v>
      </c>
      <c r="AO114" s="20">
        <f>IFERROR(VLOOKUP($A114,'[1]Donor-Served OBs'!A:N,11,0),0)</f>
        <v>0</v>
      </c>
      <c r="AP114" s="20">
        <f>ROUNDUP(IF(A114=0,0,IFERROR(VLOOKUP($A114,'[1]Donor''s Assigned Kilos'!A:N,13,0),0)),0)</f>
        <v>0</v>
      </c>
      <c r="AQ114" s="20">
        <f>IF(A114=0,0,IFERROR(SUMIFS([1]Population!W:W,[1]Population!J:J,'MASTER-2025'!A114),0))</f>
        <v>0</v>
      </c>
      <c r="AR114" s="18">
        <f>IFERROR(VLOOKUP($A114,'[1]Donor-Served OBs'!A:N,5,0),0)</f>
        <v>0</v>
      </c>
      <c r="AS114" s="18">
        <f>ROUNDUP(IF(A114=0,0,IFERROR(VLOOKUP($A114,'[1]Donor''s Assigned Kilos'!A:N,10,0),0)),0)</f>
        <v>0</v>
      </c>
      <c r="AT114" s="18">
        <f>IF(A114=0,0,IFERROR(SUMIFS([1]Population!T:T,[1]Population!J:J,'MASTER-2025'!A114),0))</f>
        <v>0</v>
      </c>
      <c r="AU114" s="19">
        <f>IFERROR(VLOOKUP($A114,'[1]Donor-Served OBs'!A:N,13,0),0)</f>
        <v>0</v>
      </c>
      <c r="AV114" s="19">
        <f>ROUNDUP(IF(A114=0,0,IFERROR(VLOOKUP($A114,'[1]Donor''s Assigned Kilos'!A:N,14,0),0)),0)</f>
        <v>0</v>
      </c>
      <c r="AW114" s="19">
        <f>IF(A114=0,0,IFERROR(SUMIFS([1]Population!X:X,[1]Population!J:J,'MASTER-2025'!A114),0))</f>
        <v>0</v>
      </c>
      <c r="AX114" s="20">
        <f>IFERROR(VLOOKUP($A114,'[1]Donor-Served OBs'!A:N,16,0),0)</f>
        <v>0</v>
      </c>
      <c r="AY114" s="20">
        <f>ROUNDUP(IF(A114=0,0,IFERROR(VLOOKUP($A114,'[1]Donor''s Assigned Kilos'!A:O,16,0),0)),0)</f>
        <v>0</v>
      </c>
      <c r="AZ114" s="20">
        <f>IF(A114=0,0,IFERROR(SUMIFS([1]Population!Y:Y,[1]Population!J:J,'MASTER-2025'!A114),0))</f>
        <v>0</v>
      </c>
      <c r="BA114" s="21">
        <f t="shared" si="43"/>
        <v>0</v>
      </c>
      <c r="BB114" s="21">
        <f t="shared" si="42"/>
        <v>0</v>
      </c>
      <c r="BC114" s="21">
        <f t="shared" si="39"/>
        <v>0</v>
      </c>
      <c r="BD114" s="21">
        <f t="shared" ref="BD114:BD130" si="44">IF(A114=0,0,(+J114+M114+P114+S114+V114+Y114+AB114+AE114+AH114+AK114+AN114+AQ114+AT114+AW114+AZ114))</f>
        <v>0</v>
      </c>
      <c r="BE114" s="22" t="e">
        <f>IF(A114=0,0,SUMIFS([1]Population!C:C,[1]Population!A:A,'MASTER-2025'!A114))</f>
        <v>#VALUE!</v>
      </c>
      <c r="BF114" s="22" t="e">
        <f>IF(A114=0,0,SUMIFS([1]Population!D:D,[1]Population!A:A,'MASTER-2025'!A114))</f>
        <v>#VALUE!</v>
      </c>
      <c r="BG114" s="22" t="e">
        <f>IF(A114=0,0,SUMIFS([1]Population!E:E,[1]Population!A:A,'MASTER-2025'!A114))</f>
        <v>#VALUE!</v>
      </c>
      <c r="BH114" s="22" t="e">
        <f>IF(A114=0,0,SUMIFS([1]Population!F:F,[1]Population!A:A,'MASTER-2025'!A114))</f>
        <v>#VALUE!</v>
      </c>
      <c r="BI114" s="22" t="e">
        <f t="shared" si="35"/>
        <v>#VALUE!</v>
      </c>
      <c r="BJ114" s="23" t="e">
        <f t="shared" si="30"/>
        <v>#VALUE!</v>
      </c>
      <c r="BK114" s="22" t="e">
        <f>IF(A114=0,0,SUMIFS([1]Population!G:G,[1]Population!A:A,'MASTER-2025'!A114))</f>
        <v>#VALUE!</v>
      </c>
      <c r="BL114" s="24" cm="1">
        <f t="array" ref="BL114:BW114">IFERROR(VLOOKUP(A114,'[1]Now-OB-kg-POB-25'!A:AQ,{3,4,5,6,7,8,9,10,11,12,13,14},0),0)</f>
        <v>0</v>
      </c>
      <c r="BM114" s="24">
        <v>0</v>
      </c>
      <c r="BN114" s="24">
        <v>0</v>
      </c>
      <c r="BO114" s="24">
        <v>0</v>
      </c>
      <c r="BP114" s="24">
        <v>0</v>
      </c>
      <c r="BQ114" s="24">
        <v>0</v>
      </c>
      <c r="BR114" s="24">
        <v>0</v>
      </c>
      <c r="BS114" s="24">
        <v>0</v>
      </c>
      <c r="BT114" s="24">
        <v>0</v>
      </c>
      <c r="BU114" s="24">
        <v>0</v>
      </c>
      <c r="BV114" s="24">
        <v>0</v>
      </c>
      <c r="BW114" s="24">
        <v>0</v>
      </c>
      <c r="BX114" s="24">
        <f t="shared" si="31"/>
        <v>0</v>
      </c>
      <c r="BY114" s="25" cm="1">
        <f t="array" ref="BY114:CJ114">IFERROR(VLOOKUP(A114,'[1]Now-OB-kg-POB-25'!A:AQ,{17,18,19,20,21,22,23,24,25,26,27,28},0),0)</f>
        <v>0</v>
      </c>
      <c r="BZ114" s="25">
        <v>0</v>
      </c>
      <c r="CA114" s="25">
        <v>70</v>
      </c>
      <c r="CB114" s="25">
        <v>0</v>
      </c>
      <c r="CC114" s="25">
        <v>0</v>
      </c>
      <c r="CD114" s="25">
        <v>0</v>
      </c>
      <c r="CE114" s="25">
        <v>0</v>
      </c>
      <c r="CF114" s="25">
        <v>0</v>
      </c>
      <c r="CG114" s="25">
        <v>0</v>
      </c>
      <c r="CH114" s="25">
        <v>0</v>
      </c>
      <c r="CI114" s="25">
        <v>0</v>
      </c>
      <c r="CJ114" s="25">
        <v>0</v>
      </c>
      <c r="CK114" s="25">
        <f t="shared" si="32"/>
        <v>70</v>
      </c>
      <c r="CL114" s="26" cm="1">
        <f t="array" ref="CL114:CW114">IFERROR(VLOOKUP(A114,'[1]Now-OB-kg-POB-25'!A:AQ,{31,32,33,34,35,36,37,38,39,40,41,42},0),0)</f>
        <v>0</v>
      </c>
      <c r="CM114" s="26">
        <v>0</v>
      </c>
      <c r="CN114" s="26">
        <v>0</v>
      </c>
      <c r="CO114" s="26">
        <v>0</v>
      </c>
      <c r="CP114" s="26">
        <v>0</v>
      </c>
      <c r="CQ114" s="26">
        <v>0</v>
      </c>
      <c r="CR114" s="26">
        <v>0</v>
      </c>
      <c r="CS114" s="26">
        <v>0</v>
      </c>
      <c r="CT114" s="26">
        <v>0</v>
      </c>
      <c r="CU114" s="26">
        <v>0</v>
      </c>
      <c r="CV114" s="26">
        <v>0</v>
      </c>
      <c r="CW114" s="26">
        <v>0</v>
      </c>
      <c r="CX114" s="26">
        <f t="shared" si="33"/>
        <v>0</v>
      </c>
      <c r="CY114" s="14" t="str">
        <f>IF(A114=0,0,IFERROR(VLOOKUP(A114,'[1]Info Donantes'!C:F,2,0),"Sin Contacto"))</f>
        <v>Sin Contacto</v>
      </c>
      <c r="CZ114" s="14" t="str">
        <f>IF(A114=0,0,IFERROR(VLOOKUP(A114,'[1]Info Donantes'!C:F,3,0),"Sin Correo"))</f>
        <v>Sin Correo</v>
      </c>
      <c r="DA114" s="14" t="str">
        <f>IF(A114=0,0,IFERROR(VLOOKUP(A114,'[1]Info Donantes'!C:F,4,0),"Sin Telefono"))</f>
        <v>Sin Telefono</v>
      </c>
      <c r="DB114" s="14" t="str">
        <f>IF(A114=0,0,"Reporte de Trazabiidad"&amp;" - "&amp;'[1]Donor Summary'!$C$2&amp;" - "&amp;A114&amp;"")</f>
        <v>Reporte de Trazabiidad -  - National Federation of Salt Cooperatives of Panama (FENCOSPA, R.L.)</v>
      </c>
    </row>
    <row r="115" spans="1:106" x14ac:dyDescent="0.55000000000000004">
      <c r="A115" s="32" t="s">
        <v>275</v>
      </c>
      <c r="B115" s="15">
        <f>INT(IFERROR(VLOOKUP(A115,'[1]Donor Summary'!C:F,3,0),0))</f>
        <v>0</v>
      </c>
      <c r="C115" s="15">
        <f>INT(ROUND(IFERROR(VLOOKUP(A115,'[1]Donor Summary'!C:F,4,0),0),1))</f>
        <v>0</v>
      </c>
      <c r="D115" s="16">
        <f t="shared" si="36"/>
        <v>0</v>
      </c>
      <c r="E115" s="17" t="str">
        <f t="shared" si="37"/>
        <v>0.00%</v>
      </c>
      <c r="F115" s="17" t="str">
        <f t="shared" si="38"/>
        <v>0.0%</v>
      </c>
      <c r="G115" s="15">
        <f t="shared" si="40"/>
        <v>0</v>
      </c>
      <c r="H115" s="18"/>
      <c r="I115" s="18">
        <f>IFERROR(VLOOKUP(A115,'[1]Lot All by Part'!T:Y,6,0),0)</f>
        <v>0</v>
      </c>
      <c r="J115" s="18"/>
      <c r="K115" s="19">
        <f>IFERROR(VLOOKUP($A115,'[1]Donor-Served OBs'!A:N,3,0),0)</f>
        <v>0</v>
      </c>
      <c r="L115" s="19">
        <f>ROUNDUP(IF(A115=0,0,IFERROR(VLOOKUP($A115,'[1]Donor''s Assigned Kilos'!A:O,3,0),0)),0)</f>
        <v>0</v>
      </c>
      <c r="M115" s="19">
        <f>IF(A115=0,0,IFERROR(SUMIFS([1]Population!M:M,[1]Population!J:J,'MASTER-2025'!A115),0))</f>
        <v>0</v>
      </c>
      <c r="N115" s="20">
        <f>IFERROR(VLOOKUP($A115,'[1]Donor-Served OBs'!A:N,4,0),0)</f>
        <v>0</v>
      </c>
      <c r="O115" s="20">
        <f>ROUNDUP(IF(A115=0,0,IFERROR(VLOOKUP($A115,'[1]Donor''s Assigned Kilos'!A:O,4,0),0)),0)</f>
        <v>0</v>
      </c>
      <c r="P115" s="20">
        <f>IF(A115=0,0,IFERROR(SUMIFS([1]Population!N:N,[1]Population!J:J,'MASTER-2025'!A115),0))</f>
        <v>0</v>
      </c>
      <c r="Q115" s="18">
        <f>IFERROR(VLOOKUP($A115,'[1]Donor-Served OBs'!A:N,2,0),0)</f>
        <v>0</v>
      </c>
      <c r="R115" s="18">
        <f>ROUNDUP(ROUND(IF(A115=0,0,IFERROR(VLOOKUP($A115,'[1]Donor''s Assigned Kilos'!A:O,9,0),0)),1),0)</f>
        <v>0</v>
      </c>
      <c r="S115" s="18">
        <f>IF(A115=0,0,IFERROR(SUMIFS([1]Population!S:S,[1]Population!J:J,'MASTER-2025'!A115),0))</f>
        <v>0</v>
      </c>
      <c r="T115" s="19">
        <f>IFERROR(VLOOKUP($A115,'[1]Donor-Served OBs'!A:N,12,0),0)</f>
        <v>0</v>
      </c>
      <c r="U115" s="19">
        <f>ROUNDUP(IF(A115=0,0,IF(A115=0,0,IFERROR(VLOOKUP($A115,'[1]Donor''s Assigned Kilos'!A:O,7,0),0))),0)</f>
        <v>0</v>
      </c>
      <c r="V115" s="19">
        <f>IF(A115=0,0,IFERROR(SUMIFS([1]Population!Q:Q,[1]Population!J:J,'MASTER-2025'!A115),0))</f>
        <v>0</v>
      </c>
      <c r="W115" s="20">
        <f>IFERROR(VLOOKUP($A115,'[1]Donor-Served OBs'!A:N,10,0),0)</f>
        <v>0</v>
      </c>
      <c r="X115" s="20">
        <f>ROUNDUP(IF(A115=0,0,IFERROR(VLOOKUP($A115,'[1]Donor''s Assigned Kilos'!A:N,5,0),0)),0)</f>
        <v>0</v>
      </c>
      <c r="Y115" s="20">
        <f>IF(A115=0,0,IFERROR(SUMIFS([1]Population!O:O,[1]Population!J:J,'MASTER-2025'!A115),0))</f>
        <v>0</v>
      </c>
      <c r="Z115" s="18">
        <f>IFERROR(VLOOKUP($A115,'[1]Donor-Served OBs'!A:N,6,0),0)</f>
        <v>0</v>
      </c>
      <c r="AA115" s="18">
        <f>ROUNDUP(IF(A115=0,0,IFERROR(VLOOKUP($A115,'[1]Donor''s Assigned Kilos'!A:N,11,0),0)),0)</f>
        <v>0</v>
      </c>
      <c r="AB115" s="18">
        <f>IF(A115=0,0,IFERROR(SUMIFS([1]Population!U:U,[1]Population!J:J,'MASTER-2025'!A115),0))</f>
        <v>0</v>
      </c>
      <c r="AC115" s="19">
        <f>IFERROR(VLOOKUP($A115,'[1]Donor-Served OBs'!A:N,7,0),0)</f>
        <v>0</v>
      </c>
      <c r="AD115" s="19">
        <f>ROUNDUP(IF(A115=0,0,IFERROR(VLOOKUP($A115,'[1]Donor''s Assigned Kilos'!A:N,8,0),0)),0)</f>
        <v>0</v>
      </c>
      <c r="AE115" s="19">
        <f>IF(A115=0,0,IFERROR(SUMIFS([1]Population!R:R,[1]Population!J:J,'MASTER-2025'!A115),0))</f>
        <v>0</v>
      </c>
      <c r="AF115" s="20">
        <f>IFERROR(VLOOKUP($A115,'[1]Donor-Served OBs'!A:N,8,0),0)</f>
        <v>0</v>
      </c>
      <c r="AG115" s="20">
        <f>ROUNDUP(IF(A115=0,0,IFERROR(VLOOKUP($A115,'[1]Donor''s Assigned Kilos'!A:N,6,0),0)),0)</f>
        <v>0</v>
      </c>
      <c r="AH115" s="20">
        <f>IF(A115=0,0,IFERROR(SUMIFS([1]Population!P:P,[1]Population!J:J,'MASTER-2025'!A115),0))</f>
        <v>0</v>
      </c>
      <c r="AI115" s="18">
        <f>IFERROR(VLOOKUP($A115,'[1]Donor-Served OBs'!A:N,9,0),0)</f>
        <v>0</v>
      </c>
      <c r="AJ115" s="18">
        <f>ROUNDUP(IF(A115=0,0,IFERROR(VLOOKUP($A115,'[1]Donor''s Assigned Kilos'!A:N,12,0),0)),0)</f>
        <v>0</v>
      </c>
      <c r="AK115" s="18">
        <f>IF(A115=0,0,IFERROR(SUMIFS([1]Population!V:V,[1]Population!J:J,'MASTER-2025'!A115),0))</f>
        <v>0</v>
      </c>
      <c r="AL115" s="19">
        <f>IFERROR(VLOOKUP($A115,'[1]Donor-Served OBs'!A:N,16,0),0)</f>
        <v>0</v>
      </c>
      <c r="AM115" s="19">
        <f>ROUNDUP(IF(A115=0,0,IFERROR(VLOOKUP($A115,'[1]Donor''s Assigned Kilos'!A:O,16,0),0)),0)</f>
        <v>0</v>
      </c>
      <c r="AN115" s="19">
        <f>IF(A115=0,0,IFERROR(SUMIFS([1]Population!Z:Z,[1]Population!J:J,'MASTER-2025'!A115),0))</f>
        <v>0</v>
      </c>
      <c r="AO115" s="20">
        <f>IFERROR(VLOOKUP($A115,'[1]Donor-Served OBs'!A:N,11,0),0)</f>
        <v>0</v>
      </c>
      <c r="AP115" s="20">
        <f>ROUNDUP(IF(A115=0,0,IFERROR(VLOOKUP($A115,'[1]Donor''s Assigned Kilos'!A:N,13,0),0)),0)</f>
        <v>0</v>
      </c>
      <c r="AQ115" s="20">
        <f>IF(A115=0,0,IFERROR(SUMIFS([1]Population!W:W,[1]Population!J:J,'MASTER-2025'!A115),0))</f>
        <v>0</v>
      </c>
      <c r="AR115" s="18">
        <f>IFERROR(VLOOKUP($A115,'[1]Donor-Served OBs'!A:N,5,0),0)</f>
        <v>0</v>
      </c>
      <c r="AS115" s="18">
        <f>ROUNDUP(IF(A115=0,0,IFERROR(VLOOKUP($A115,'[1]Donor''s Assigned Kilos'!A:N,10,0),0)),0)</f>
        <v>0</v>
      </c>
      <c r="AT115" s="18">
        <f>IF(A115=0,0,IFERROR(SUMIFS([1]Population!T:T,[1]Population!J:J,'MASTER-2025'!A115),0))</f>
        <v>0</v>
      </c>
      <c r="AU115" s="19">
        <f>IFERROR(VLOOKUP($A115,'[1]Donor-Served OBs'!A:N,13,0),0)</f>
        <v>0</v>
      </c>
      <c r="AV115" s="19">
        <f>ROUNDUP(IF(A115=0,0,IFERROR(VLOOKUP($A115,'[1]Donor''s Assigned Kilos'!A:N,14,0),0)),0)</f>
        <v>0</v>
      </c>
      <c r="AW115" s="19">
        <f>IF(A115=0,0,IFERROR(SUMIFS([1]Population!X:X,[1]Population!J:J,'MASTER-2025'!A115),0))</f>
        <v>0</v>
      </c>
      <c r="AX115" s="20">
        <f>IFERROR(VLOOKUP($A115,'[1]Donor-Served OBs'!A:N,16,0),0)</f>
        <v>0</v>
      </c>
      <c r="AY115" s="20">
        <f>ROUNDUP(IF(A115=0,0,IFERROR(VLOOKUP($A115,'[1]Donor''s Assigned Kilos'!A:O,16,0),0)),0)</f>
        <v>0</v>
      </c>
      <c r="AZ115" s="20">
        <f>IF(A115=0,0,IFERROR(SUMIFS([1]Population!Y:Y,[1]Population!J:J,'MASTER-2025'!A115),0))</f>
        <v>0</v>
      </c>
      <c r="BA115" s="21">
        <f t="shared" si="43"/>
        <v>0</v>
      </c>
      <c r="BB115" s="21">
        <f t="shared" si="42"/>
        <v>0</v>
      </c>
      <c r="BC115" s="21">
        <f t="shared" si="39"/>
        <v>0</v>
      </c>
      <c r="BD115" s="21">
        <f t="shared" si="44"/>
        <v>0</v>
      </c>
      <c r="BE115" s="22" t="e">
        <f>IF(A115=0,0,SUMIFS([1]Population!C:C,[1]Population!A:A,'MASTER-2025'!A115))</f>
        <v>#VALUE!</v>
      </c>
      <c r="BF115" s="22" t="e">
        <f>IF(A115=0,0,SUMIFS([1]Population!D:D,[1]Population!A:A,'MASTER-2025'!A115))</f>
        <v>#VALUE!</v>
      </c>
      <c r="BG115" s="22" t="e">
        <f>IF(A115=0,0,SUMIFS([1]Population!E:E,[1]Population!A:A,'MASTER-2025'!A115))</f>
        <v>#VALUE!</v>
      </c>
      <c r="BH115" s="22" t="e">
        <f>IF(A115=0,0,SUMIFS([1]Population!F:F,[1]Population!A:A,'MASTER-2025'!A115))</f>
        <v>#VALUE!</v>
      </c>
      <c r="BI115" s="22" t="e">
        <f t="shared" si="35"/>
        <v>#VALUE!</v>
      </c>
      <c r="BJ115" s="23" t="e">
        <f t="shared" si="30"/>
        <v>#VALUE!</v>
      </c>
      <c r="BK115" s="22" t="e">
        <f>IF(A115=0,0,SUMIFS([1]Population!G:G,[1]Population!A:A,'MASTER-2025'!A115))</f>
        <v>#VALUE!</v>
      </c>
      <c r="BL115" s="24" cm="1">
        <f t="array" ref="BL115:BW115">IFERROR(VLOOKUP(A115,'[1]Now-OB-kg-POB-25'!A:AQ,{3,4,5,6,7,8,9,10,11,12,13,14},0),0)</f>
        <v>0</v>
      </c>
      <c r="BM115" s="24">
        <v>0</v>
      </c>
      <c r="BN115" s="24">
        <v>0</v>
      </c>
      <c r="BO115" s="24">
        <v>0</v>
      </c>
      <c r="BP115" s="24">
        <v>0</v>
      </c>
      <c r="BQ115" s="24">
        <v>0</v>
      </c>
      <c r="BR115" s="24">
        <v>0</v>
      </c>
      <c r="BS115" s="24">
        <v>0</v>
      </c>
      <c r="BT115" s="24">
        <v>0</v>
      </c>
      <c r="BU115" s="24">
        <v>0</v>
      </c>
      <c r="BV115" s="24">
        <v>0</v>
      </c>
      <c r="BW115" s="24">
        <v>0</v>
      </c>
      <c r="BX115" s="24">
        <f t="shared" si="31"/>
        <v>0</v>
      </c>
      <c r="BY115" s="25" cm="1">
        <f t="array" ref="BY115:CJ115">IFERROR(VLOOKUP(A115,'[1]Now-OB-kg-POB-25'!A:AQ,{17,18,19,20,21,22,23,24,25,26,27,28},0),0)</f>
        <v>0</v>
      </c>
      <c r="BZ115" s="25">
        <v>0</v>
      </c>
      <c r="CA115" s="25">
        <v>0</v>
      </c>
      <c r="CB115" s="25">
        <v>0</v>
      </c>
      <c r="CC115" s="25">
        <v>0</v>
      </c>
      <c r="CD115" s="25">
        <v>0</v>
      </c>
      <c r="CE115" s="25">
        <v>0</v>
      </c>
      <c r="CF115" s="25">
        <v>0</v>
      </c>
      <c r="CG115" s="25">
        <v>0</v>
      </c>
      <c r="CH115" s="25">
        <v>0</v>
      </c>
      <c r="CI115" s="25">
        <v>0</v>
      </c>
      <c r="CJ115" s="25">
        <v>0</v>
      </c>
      <c r="CK115" s="25">
        <f t="shared" si="32"/>
        <v>0</v>
      </c>
      <c r="CL115" s="26" cm="1">
        <f t="array" ref="CL115:CW115">IFERROR(VLOOKUP(A115,'[1]Now-OB-kg-POB-25'!A:AQ,{31,32,33,34,35,36,37,38,39,40,41,42},0),0)</f>
        <v>0</v>
      </c>
      <c r="CM115" s="26">
        <v>0</v>
      </c>
      <c r="CN115" s="26">
        <v>0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0</v>
      </c>
      <c r="CU115" s="26">
        <v>0</v>
      </c>
      <c r="CV115" s="26">
        <v>0</v>
      </c>
      <c r="CW115" s="26">
        <v>0</v>
      </c>
      <c r="CX115" s="26">
        <f t="shared" si="33"/>
        <v>0</v>
      </c>
      <c r="CY115" s="14" t="str">
        <f>IF(A115=0,0,IFERROR(VLOOKUP(A115,'[1]Info Donantes'!C:F,2,0),"Sin Contacto"))</f>
        <v>Maria Suárez</v>
      </c>
      <c r="CZ115" s="14">
        <f>IF(A115=0,0,IFERROR(VLOOKUP(A115,'[1]Info Donantes'!C:F,3,0),"Sin Correo"))</f>
        <v>0</v>
      </c>
      <c r="DA115" s="14" t="str">
        <f>IF(A115=0,0,IFERROR(VLOOKUP(A115,'[1]Info Donantes'!C:F,4,0),"Sin Telefono"))</f>
        <v>293-3100</v>
      </c>
      <c r="DB115" s="14" t="str">
        <f>IF(A115=0,0,"Reporte de Trazabiidad"&amp;" - "&amp;'[1]Donor Summary'!$C$2&amp;" - "&amp;A115&amp;"")</f>
        <v>Reporte de Trazabiidad -  - RODOLFO MORENO Y CIA (ROMOCIA)</v>
      </c>
    </row>
    <row r="116" spans="1:106" x14ac:dyDescent="0.55000000000000004">
      <c r="A116" s="32" t="s">
        <v>276</v>
      </c>
      <c r="B116" s="15">
        <f>INT(IFERROR(VLOOKUP(A116,'[1]Donor Summary'!C:F,3,0),0))</f>
        <v>0</v>
      </c>
      <c r="C116" s="15">
        <f>INT(ROUND(IFERROR(VLOOKUP(A116,'[1]Donor Summary'!C:F,4,0),0),1))</f>
        <v>0</v>
      </c>
      <c r="D116" s="16">
        <f t="shared" si="36"/>
        <v>0</v>
      </c>
      <c r="E116" s="17" t="str">
        <f t="shared" si="37"/>
        <v>0.00%</v>
      </c>
      <c r="F116" s="17" t="str">
        <f t="shared" si="38"/>
        <v>0.0%</v>
      </c>
      <c r="G116" s="15">
        <f t="shared" si="40"/>
        <v>0</v>
      </c>
      <c r="H116" s="18"/>
      <c r="I116" s="18">
        <f>IFERROR(VLOOKUP(A116,'[1]Lot All by Part'!T:Y,6,0),0)</f>
        <v>0</v>
      </c>
      <c r="J116" s="18"/>
      <c r="K116" s="19">
        <f>IFERROR(VLOOKUP($A116,'[1]Donor-Served OBs'!A:N,3,0),0)</f>
        <v>0</v>
      </c>
      <c r="L116" s="19">
        <f>ROUNDUP(IF(A116=0,0,IFERROR(VLOOKUP($A116,'[1]Donor''s Assigned Kilos'!A:O,3,0),0)),0)</f>
        <v>0</v>
      </c>
      <c r="M116" s="19">
        <f>IF(A116=0,0,IFERROR(SUMIFS([1]Population!M:M,[1]Population!J:J,'MASTER-2025'!A116),0))</f>
        <v>0</v>
      </c>
      <c r="N116" s="20">
        <f>IFERROR(VLOOKUP($A116,'[1]Donor-Served OBs'!A:N,4,0),0)</f>
        <v>0</v>
      </c>
      <c r="O116" s="20">
        <f>ROUNDUP(IF(A116=0,0,IFERROR(VLOOKUP($A116,'[1]Donor''s Assigned Kilos'!A:O,4,0),0)),0)</f>
        <v>0</v>
      </c>
      <c r="P116" s="20">
        <f>IF(A116=0,0,IFERROR(SUMIFS([1]Population!N:N,[1]Population!J:J,'MASTER-2025'!A116),0))</f>
        <v>0</v>
      </c>
      <c r="Q116" s="18">
        <f>IFERROR(VLOOKUP($A116,'[1]Donor-Served OBs'!A:N,2,0),0)</f>
        <v>0</v>
      </c>
      <c r="R116" s="18">
        <f>ROUNDUP(ROUND(IF(A116=0,0,IFERROR(VLOOKUP($A116,'[1]Donor''s Assigned Kilos'!A:O,9,0),0)),1),0)</f>
        <v>0</v>
      </c>
      <c r="S116" s="18">
        <f>IF(A116=0,0,IFERROR(SUMIFS([1]Population!S:S,[1]Population!J:J,'MASTER-2025'!A116),0))</f>
        <v>0</v>
      </c>
      <c r="T116" s="19">
        <f>IFERROR(VLOOKUP($A116,'[1]Donor-Served OBs'!A:N,12,0),0)</f>
        <v>0</v>
      </c>
      <c r="U116" s="19">
        <f>ROUNDUP(IF(A116=0,0,IF(A116=0,0,IFERROR(VLOOKUP($A116,'[1]Donor''s Assigned Kilos'!A:O,7,0),0))),0)</f>
        <v>0</v>
      </c>
      <c r="V116" s="19">
        <f>IF(A116=0,0,IFERROR(SUMIFS([1]Population!Q:Q,[1]Population!J:J,'MASTER-2025'!A116),0))</f>
        <v>0</v>
      </c>
      <c r="W116" s="20">
        <f>IFERROR(VLOOKUP($A116,'[1]Donor-Served OBs'!A:N,10,0),0)</f>
        <v>0</v>
      </c>
      <c r="X116" s="20">
        <f>ROUNDUP(IF(A116=0,0,IFERROR(VLOOKUP($A116,'[1]Donor''s Assigned Kilos'!A:N,5,0),0)),0)</f>
        <v>0</v>
      </c>
      <c r="Y116" s="20">
        <f>IF(A116=0,0,IFERROR(SUMIFS([1]Population!O:O,[1]Population!J:J,'MASTER-2025'!A116),0))</f>
        <v>0</v>
      </c>
      <c r="Z116" s="18">
        <f>IFERROR(VLOOKUP($A116,'[1]Donor-Served OBs'!A:N,6,0),0)</f>
        <v>0</v>
      </c>
      <c r="AA116" s="18">
        <f>ROUNDUP(IF(A116=0,0,IFERROR(VLOOKUP($A116,'[1]Donor''s Assigned Kilos'!A:N,11,0),0)),0)</f>
        <v>0</v>
      </c>
      <c r="AB116" s="18">
        <f>IF(A116=0,0,IFERROR(SUMIFS([1]Population!U:U,[1]Population!J:J,'MASTER-2025'!A116),0))</f>
        <v>0</v>
      </c>
      <c r="AC116" s="19">
        <f>IFERROR(VLOOKUP($A116,'[1]Donor-Served OBs'!A:N,7,0),0)</f>
        <v>0</v>
      </c>
      <c r="AD116" s="19">
        <f>ROUNDUP(IF(A116=0,0,IFERROR(VLOOKUP($A116,'[1]Donor''s Assigned Kilos'!A:N,8,0),0)),0)</f>
        <v>0</v>
      </c>
      <c r="AE116" s="19">
        <f>IF(A116=0,0,IFERROR(SUMIFS([1]Population!R:R,[1]Population!J:J,'MASTER-2025'!A116),0))</f>
        <v>0</v>
      </c>
      <c r="AF116" s="20">
        <f>IFERROR(VLOOKUP($A116,'[1]Donor-Served OBs'!A:N,8,0),0)</f>
        <v>0</v>
      </c>
      <c r="AG116" s="20">
        <f>ROUNDUP(IF(A116=0,0,IFERROR(VLOOKUP($A116,'[1]Donor''s Assigned Kilos'!A:N,6,0),0)),0)</f>
        <v>0</v>
      </c>
      <c r="AH116" s="20">
        <f>IF(A116=0,0,IFERROR(SUMIFS([1]Population!P:P,[1]Population!J:J,'MASTER-2025'!A116),0))</f>
        <v>0</v>
      </c>
      <c r="AI116" s="18">
        <f>IFERROR(VLOOKUP($A116,'[1]Donor-Served OBs'!A:N,9,0),0)</f>
        <v>0</v>
      </c>
      <c r="AJ116" s="18">
        <f>ROUNDUP(IF(A116=0,0,IFERROR(VLOOKUP($A116,'[1]Donor''s Assigned Kilos'!A:N,12,0),0)),0)</f>
        <v>0</v>
      </c>
      <c r="AK116" s="18">
        <f>IF(A116=0,0,IFERROR(SUMIFS([1]Population!V:V,[1]Population!J:J,'MASTER-2025'!A116),0))</f>
        <v>0</v>
      </c>
      <c r="AL116" s="19">
        <f>IFERROR(VLOOKUP($A116,'[1]Donor-Served OBs'!A:N,16,0),0)</f>
        <v>0</v>
      </c>
      <c r="AM116" s="19">
        <f>ROUNDUP(IF(A116=0,0,IFERROR(VLOOKUP($A116,'[1]Donor''s Assigned Kilos'!A:O,16,0),0)),0)</f>
        <v>0</v>
      </c>
      <c r="AN116" s="19">
        <f>IF(A116=0,0,IFERROR(SUMIFS([1]Population!Z:Z,[1]Population!J:J,'MASTER-2025'!A116),0))</f>
        <v>0</v>
      </c>
      <c r="AO116" s="20">
        <f>IFERROR(VLOOKUP($A116,'[1]Donor-Served OBs'!A:N,11,0),0)</f>
        <v>0</v>
      </c>
      <c r="AP116" s="20">
        <f>ROUNDUP(IF(A116=0,0,IFERROR(VLOOKUP($A116,'[1]Donor''s Assigned Kilos'!A:N,13,0),0)),0)</f>
        <v>0</v>
      </c>
      <c r="AQ116" s="20">
        <f>IF(A116=0,0,IFERROR(SUMIFS([1]Population!W:W,[1]Population!J:J,'MASTER-2025'!A116),0))</f>
        <v>0</v>
      </c>
      <c r="AR116" s="18">
        <f>IFERROR(VLOOKUP($A116,'[1]Donor-Served OBs'!A:N,5,0),0)</f>
        <v>0</v>
      </c>
      <c r="AS116" s="18">
        <f>ROUNDUP(IF(A116=0,0,IFERROR(VLOOKUP($A116,'[1]Donor''s Assigned Kilos'!A:N,10,0),0)),0)</f>
        <v>0</v>
      </c>
      <c r="AT116" s="18">
        <f>IF(A116=0,0,IFERROR(SUMIFS([1]Population!T:T,[1]Population!J:J,'MASTER-2025'!A116),0))</f>
        <v>0</v>
      </c>
      <c r="AU116" s="19">
        <f>IFERROR(VLOOKUP($A116,'[1]Donor-Served OBs'!A:N,13,0),0)</f>
        <v>0</v>
      </c>
      <c r="AV116" s="19">
        <f>ROUNDUP(IF(A116=0,0,IFERROR(VLOOKUP($A116,'[1]Donor''s Assigned Kilos'!A:N,14,0),0)),0)</f>
        <v>0</v>
      </c>
      <c r="AW116" s="19">
        <f>IF(A116=0,0,IFERROR(SUMIFS([1]Population!X:X,[1]Population!J:J,'MASTER-2025'!A116),0))</f>
        <v>0</v>
      </c>
      <c r="AX116" s="20">
        <f>IFERROR(VLOOKUP($A116,'[1]Donor-Served OBs'!A:N,16,0),0)</f>
        <v>0</v>
      </c>
      <c r="AY116" s="20">
        <f>ROUNDUP(IF(A116=0,0,IFERROR(VLOOKUP($A116,'[1]Donor''s Assigned Kilos'!A:O,16,0),0)),0)</f>
        <v>0</v>
      </c>
      <c r="AZ116" s="20">
        <f>IF(A116=0,0,IFERROR(SUMIFS([1]Population!Y:Y,[1]Population!J:J,'MASTER-2025'!A116),0))</f>
        <v>0</v>
      </c>
      <c r="BA116" s="21">
        <f t="shared" si="43"/>
        <v>0</v>
      </c>
      <c r="BB116" s="21">
        <f t="shared" si="42"/>
        <v>0</v>
      </c>
      <c r="BC116" s="21">
        <f t="shared" si="39"/>
        <v>0</v>
      </c>
      <c r="BD116" s="21">
        <f t="shared" si="44"/>
        <v>0</v>
      </c>
      <c r="BE116" s="22" t="e">
        <f>IF(A116=0,0,SUMIFS([1]Population!C:C,[1]Population!A:A,'MASTER-2025'!A116))</f>
        <v>#VALUE!</v>
      </c>
      <c r="BF116" s="22" t="e">
        <f>IF(A116=0,0,SUMIFS([1]Population!D:D,[1]Population!A:A,'MASTER-2025'!A116))</f>
        <v>#VALUE!</v>
      </c>
      <c r="BG116" s="22" t="e">
        <f>IF(A116=0,0,SUMIFS([1]Population!E:E,[1]Population!A:A,'MASTER-2025'!A116))</f>
        <v>#VALUE!</v>
      </c>
      <c r="BH116" s="22" t="e">
        <f>IF(A116=0,0,SUMIFS([1]Population!F:F,[1]Population!A:A,'MASTER-2025'!A116))</f>
        <v>#VALUE!</v>
      </c>
      <c r="BI116" s="22" t="e">
        <f t="shared" si="35"/>
        <v>#VALUE!</v>
      </c>
      <c r="BJ116" s="23" t="e">
        <f t="shared" si="30"/>
        <v>#VALUE!</v>
      </c>
      <c r="BK116" s="22" t="e">
        <f>IF(A116=0,0,SUMIFS([1]Population!G:G,[1]Population!A:A,'MASTER-2025'!A116))</f>
        <v>#VALUE!</v>
      </c>
      <c r="BL116" s="24" cm="1">
        <f t="array" ref="BL116:BW116">IFERROR(VLOOKUP(A116,'[1]Now-OB-kg-POB-25'!A:AQ,{3,4,5,6,7,8,9,10,11,12,13,14},0),0)</f>
        <v>0</v>
      </c>
      <c r="BM116" s="24">
        <v>0</v>
      </c>
      <c r="BN116" s="24">
        <v>0</v>
      </c>
      <c r="BO116" s="24">
        <v>0</v>
      </c>
      <c r="BP116" s="24">
        <v>0</v>
      </c>
      <c r="BQ116" s="24">
        <v>0</v>
      </c>
      <c r="BR116" s="24">
        <v>0</v>
      </c>
      <c r="BS116" s="24">
        <v>0</v>
      </c>
      <c r="BT116" s="24">
        <v>0</v>
      </c>
      <c r="BU116" s="24">
        <v>0</v>
      </c>
      <c r="BV116" s="24">
        <v>0</v>
      </c>
      <c r="BW116" s="24">
        <v>0</v>
      </c>
      <c r="BX116" s="24">
        <f t="shared" si="31"/>
        <v>0</v>
      </c>
      <c r="BY116" s="25" cm="1">
        <f t="array" ref="BY116:CJ116">IFERROR(VLOOKUP(A116,'[1]Now-OB-kg-POB-25'!A:AQ,{17,18,19,20,21,22,23,24,25,26,27,28},0),0)</f>
        <v>0</v>
      </c>
      <c r="BZ116" s="25">
        <v>0</v>
      </c>
      <c r="CA116" s="25">
        <v>0</v>
      </c>
      <c r="CB116" s="25">
        <v>0</v>
      </c>
      <c r="CC116" s="25">
        <v>0</v>
      </c>
      <c r="CD116" s="25">
        <v>0</v>
      </c>
      <c r="CE116" s="25">
        <v>0</v>
      </c>
      <c r="CF116" s="25">
        <v>0</v>
      </c>
      <c r="CG116" s="25">
        <v>0</v>
      </c>
      <c r="CH116" s="25">
        <v>0</v>
      </c>
      <c r="CI116" s="25">
        <v>0</v>
      </c>
      <c r="CJ116" s="25">
        <v>0</v>
      </c>
      <c r="CK116" s="25">
        <f t="shared" si="32"/>
        <v>0</v>
      </c>
      <c r="CL116" s="26" cm="1">
        <f t="array" ref="CL116:CW116">IFERROR(VLOOKUP(A116,'[1]Now-OB-kg-POB-25'!A:AQ,{31,32,33,34,35,36,37,38,39,40,41,42},0),0)</f>
        <v>0</v>
      </c>
      <c r="CM116" s="26">
        <v>0</v>
      </c>
      <c r="CN116" s="26">
        <v>0</v>
      </c>
      <c r="CO116" s="26">
        <v>0</v>
      </c>
      <c r="CP116" s="26">
        <v>0</v>
      </c>
      <c r="CQ116" s="26">
        <v>0</v>
      </c>
      <c r="CR116" s="26">
        <v>0</v>
      </c>
      <c r="CS116" s="26">
        <v>0</v>
      </c>
      <c r="CT116" s="26">
        <v>0</v>
      </c>
      <c r="CU116" s="26">
        <v>0</v>
      </c>
      <c r="CV116" s="26">
        <v>0</v>
      </c>
      <c r="CW116" s="26">
        <v>0</v>
      </c>
      <c r="CX116" s="26">
        <f t="shared" si="33"/>
        <v>0</v>
      </c>
      <c r="CY116" s="14" t="str">
        <f>IF(A116=0,0,IFERROR(VLOOKUP(A116,'[1]Info Donantes'!C:F,2,0),"Sin Contacto"))</f>
        <v>Sin Contacto</v>
      </c>
      <c r="CZ116" s="14" t="str">
        <f>IF(A116=0,0,IFERROR(VLOOKUP(A116,'[1]Info Donantes'!C:F,3,0),"Sin Correo"))</f>
        <v>Sin Correo</v>
      </c>
      <c r="DA116" s="14" t="str">
        <f>IF(A116=0,0,IFERROR(VLOOKUP(A116,'[1]Info Donantes'!C:F,4,0),"Sin Telefono"))</f>
        <v>Sin Telefono</v>
      </c>
      <c r="DB116" s="14" t="str">
        <f>IF(A116=0,0,"Reporte de Trazabiidad"&amp;" - "&amp;'[1]Donor Summary'!$C$2&amp;" - "&amp;A116&amp;"")</f>
        <v>Reporte de Trazabiidad -  - IMPORTADORA Y EXP HERMANOS GAGO S.A.</v>
      </c>
    </row>
    <row r="117" spans="1:106" x14ac:dyDescent="0.55000000000000004">
      <c r="A117" s="32" t="s">
        <v>277</v>
      </c>
      <c r="B117" s="15">
        <f>INT(IFERROR(VLOOKUP(A117,'[1]Donor Summary'!C:F,3,0),0))</f>
        <v>0</v>
      </c>
      <c r="C117" s="15">
        <f>INT(ROUND(IFERROR(VLOOKUP(A117,'[1]Donor Summary'!C:F,4,0),0),1))</f>
        <v>0</v>
      </c>
      <c r="D117" s="16">
        <f t="shared" si="36"/>
        <v>0</v>
      </c>
      <c r="E117" s="17" t="str">
        <f t="shared" si="37"/>
        <v>0.00%</v>
      </c>
      <c r="F117" s="17" t="str">
        <f t="shared" si="38"/>
        <v>0.0%</v>
      </c>
      <c r="G117" s="15">
        <f t="shared" si="40"/>
        <v>0</v>
      </c>
      <c r="H117" s="18"/>
      <c r="I117" s="18">
        <f>IFERROR(VLOOKUP(A117,'[1]Lot All by Part'!T:Y,6,0),0)</f>
        <v>0</v>
      </c>
      <c r="J117" s="18"/>
      <c r="K117" s="19">
        <f>IFERROR(VLOOKUP($A117,'[1]Donor-Served OBs'!A:N,3,0),0)</f>
        <v>0</v>
      </c>
      <c r="L117" s="19">
        <f>ROUNDUP(IF(A117=0,0,IFERROR(VLOOKUP($A117,'[1]Donor''s Assigned Kilos'!A:O,3,0),0)),0)</f>
        <v>0</v>
      </c>
      <c r="M117" s="19">
        <f>IF(A117=0,0,IFERROR(SUMIFS([1]Population!M:M,[1]Population!J:J,'MASTER-2025'!A117),0))</f>
        <v>0</v>
      </c>
      <c r="N117" s="20">
        <f>IFERROR(VLOOKUP($A117,'[1]Donor-Served OBs'!A:N,4,0),0)</f>
        <v>0</v>
      </c>
      <c r="O117" s="20">
        <f>ROUNDUP(IF(A117=0,0,IFERROR(VLOOKUP($A117,'[1]Donor''s Assigned Kilos'!A:O,4,0),0)),0)</f>
        <v>0</v>
      </c>
      <c r="P117" s="20">
        <f>IF(A117=0,0,IFERROR(SUMIFS([1]Population!N:N,[1]Population!J:J,'MASTER-2025'!A117),0))</f>
        <v>0</v>
      </c>
      <c r="Q117" s="18">
        <f>IFERROR(VLOOKUP($A117,'[1]Donor-Served OBs'!A:N,2,0),0)</f>
        <v>0</v>
      </c>
      <c r="R117" s="18">
        <f>ROUNDUP(ROUND(IF(A117=0,0,IFERROR(VLOOKUP($A117,'[1]Donor''s Assigned Kilos'!A:O,9,0),0)),1),0)</f>
        <v>0</v>
      </c>
      <c r="S117" s="18">
        <f>IF(A117=0,0,IFERROR(SUMIFS([1]Population!S:S,[1]Population!J:J,'MASTER-2025'!A117),0))</f>
        <v>0</v>
      </c>
      <c r="T117" s="19">
        <f>IFERROR(VLOOKUP($A117,'[1]Donor-Served OBs'!A:N,12,0),0)</f>
        <v>0</v>
      </c>
      <c r="U117" s="19">
        <f>ROUNDUP(IF(A117=0,0,IF(A117=0,0,IFERROR(VLOOKUP($A117,'[1]Donor''s Assigned Kilos'!A:O,7,0),0))),0)</f>
        <v>0</v>
      </c>
      <c r="V117" s="19">
        <f>IF(A117=0,0,IFERROR(SUMIFS([1]Population!Q:Q,[1]Population!J:J,'MASTER-2025'!A117),0))</f>
        <v>0</v>
      </c>
      <c r="W117" s="20">
        <f>IFERROR(VLOOKUP($A117,'[1]Donor-Served OBs'!A:N,10,0),0)</f>
        <v>0</v>
      </c>
      <c r="X117" s="20">
        <f>ROUNDUP(IF(A117=0,0,IFERROR(VLOOKUP($A117,'[1]Donor''s Assigned Kilos'!A:N,5,0),0)),0)</f>
        <v>0</v>
      </c>
      <c r="Y117" s="20">
        <f>IF(A117=0,0,IFERROR(SUMIFS([1]Population!O:O,[1]Population!J:J,'MASTER-2025'!A117),0))</f>
        <v>0</v>
      </c>
      <c r="Z117" s="18">
        <f>IFERROR(VLOOKUP($A117,'[1]Donor-Served OBs'!A:N,6,0),0)</f>
        <v>0</v>
      </c>
      <c r="AA117" s="18">
        <f>ROUNDUP(IF(A117=0,0,IFERROR(VLOOKUP($A117,'[1]Donor''s Assigned Kilos'!A:N,11,0),0)),0)</f>
        <v>0</v>
      </c>
      <c r="AB117" s="18">
        <f>IF(A117=0,0,IFERROR(SUMIFS([1]Population!U:U,[1]Population!J:J,'MASTER-2025'!A117),0))</f>
        <v>0</v>
      </c>
      <c r="AC117" s="19">
        <f>IFERROR(VLOOKUP($A117,'[1]Donor-Served OBs'!A:N,7,0),0)</f>
        <v>0</v>
      </c>
      <c r="AD117" s="19">
        <f>ROUNDUP(IF(A117=0,0,IFERROR(VLOOKUP($A117,'[1]Donor''s Assigned Kilos'!A:N,8,0),0)),0)</f>
        <v>0</v>
      </c>
      <c r="AE117" s="19">
        <f>IF(A117=0,0,IFERROR(SUMIFS([1]Population!R:R,[1]Population!J:J,'MASTER-2025'!A117),0))</f>
        <v>0</v>
      </c>
      <c r="AF117" s="20">
        <f>IFERROR(VLOOKUP($A117,'[1]Donor-Served OBs'!A:N,8,0),0)</f>
        <v>0</v>
      </c>
      <c r="AG117" s="20">
        <f>ROUNDUP(IF(A117=0,0,IFERROR(VLOOKUP($A117,'[1]Donor''s Assigned Kilos'!A:N,6,0),0)),0)</f>
        <v>0</v>
      </c>
      <c r="AH117" s="20">
        <f>IF(A117=0,0,IFERROR(SUMIFS([1]Population!P:P,[1]Population!J:J,'MASTER-2025'!A117),0))</f>
        <v>0</v>
      </c>
      <c r="AI117" s="18">
        <f>IFERROR(VLOOKUP($A117,'[1]Donor-Served OBs'!A:N,9,0),0)</f>
        <v>0</v>
      </c>
      <c r="AJ117" s="18">
        <f>ROUNDUP(IF(A117=0,0,IFERROR(VLOOKUP($A117,'[1]Donor''s Assigned Kilos'!A:N,12,0),0)),0)</f>
        <v>0</v>
      </c>
      <c r="AK117" s="18">
        <f>IF(A117=0,0,IFERROR(SUMIFS([1]Population!V:V,[1]Population!J:J,'MASTER-2025'!A117),0))</f>
        <v>0</v>
      </c>
      <c r="AL117" s="19">
        <f>IFERROR(VLOOKUP($A117,'[1]Donor-Served OBs'!A:N,16,0),0)</f>
        <v>0</v>
      </c>
      <c r="AM117" s="19">
        <f>ROUNDUP(IF(A117=0,0,IFERROR(VLOOKUP($A117,'[1]Donor''s Assigned Kilos'!A:O,16,0),0)),0)</f>
        <v>0</v>
      </c>
      <c r="AN117" s="19">
        <f>IF(A117=0,0,IFERROR(SUMIFS([1]Population!Z:Z,[1]Population!J:J,'MASTER-2025'!A117),0))</f>
        <v>0</v>
      </c>
      <c r="AO117" s="20">
        <f>IFERROR(VLOOKUP($A117,'[1]Donor-Served OBs'!A:N,11,0),0)</f>
        <v>0</v>
      </c>
      <c r="AP117" s="20">
        <f>ROUNDUP(IF(A117=0,0,IFERROR(VLOOKUP($A117,'[1]Donor''s Assigned Kilos'!A:N,13,0),0)),0)</f>
        <v>0</v>
      </c>
      <c r="AQ117" s="20">
        <f>IF(A117=0,0,IFERROR(SUMIFS([1]Population!W:W,[1]Population!J:J,'MASTER-2025'!A117),0))</f>
        <v>0</v>
      </c>
      <c r="AR117" s="18">
        <f>IFERROR(VLOOKUP($A117,'[1]Donor-Served OBs'!A:N,5,0),0)</f>
        <v>0</v>
      </c>
      <c r="AS117" s="18">
        <f>ROUNDUP(IF(A117=0,0,IFERROR(VLOOKUP($A117,'[1]Donor''s Assigned Kilos'!A:N,10,0),0)),0)</f>
        <v>0</v>
      </c>
      <c r="AT117" s="18">
        <f>IF(A117=0,0,IFERROR(SUMIFS([1]Population!T:T,[1]Population!J:J,'MASTER-2025'!A117),0))</f>
        <v>0</v>
      </c>
      <c r="AU117" s="19">
        <f>IFERROR(VLOOKUP($A117,'[1]Donor-Served OBs'!A:N,13,0),0)</f>
        <v>0</v>
      </c>
      <c r="AV117" s="19">
        <f>ROUNDUP(IF(A117=0,0,IFERROR(VLOOKUP($A117,'[1]Donor''s Assigned Kilos'!A:N,14,0),0)),0)</f>
        <v>0</v>
      </c>
      <c r="AW117" s="19">
        <f>IF(A117=0,0,IFERROR(SUMIFS([1]Population!X:X,[1]Population!J:J,'MASTER-2025'!A117),0))</f>
        <v>0</v>
      </c>
      <c r="AX117" s="20">
        <f>IFERROR(VLOOKUP($A117,'[1]Donor-Served OBs'!A:N,16,0),0)</f>
        <v>0</v>
      </c>
      <c r="AY117" s="20">
        <f>ROUNDUP(IF(A117=0,0,IFERROR(VLOOKUP($A117,'[1]Donor''s Assigned Kilos'!A:O,16,0),0)),0)</f>
        <v>0</v>
      </c>
      <c r="AZ117" s="20">
        <f>IF(A117=0,0,IFERROR(SUMIFS([1]Population!Y:Y,[1]Population!J:J,'MASTER-2025'!A117),0))</f>
        <v>0</v>
      </c>
      <c r="BA117" s="21">
        <f t="shared" si="43"/>
        <v>0</v>
      </c>
      <c r="BB117" s="21">
        <f t="shared" si="42"/>
        <v>0</v>
      </c>
      <c r="BC117" s="21">
        <f t="shared" si="39"/>
        <v>0</v>
      </c>
      <c r="BD117" s="21">
        <f t="shared" si="44"/>
        <v>0</v>
      </c>
      <c r="BE117" s="22" t="e">
        <f>IF(A117=0,0,SUMIFS([1]Population!C:C,[1]Population!A:A,'MASTER-2025'!A117))</f>
        <v>#VALUE!</v>
      </c>
      <c r="BF117" s="22" t="e">
        <f>IF(A117=0,0,SUMIFS([1]Population!D:D,[1]Population!A:A,'MASTER-2025'!A117))</f>
        <v>#VALUE!</v>
      </c>
      <c r="BG117" s="22" t="e">
        <f>IF(A117=0,0,SUMIFS([1]Population!E:E,[1]Population!A:A,'MASTER-2025'!A117))</f>
        <v>#VALUE!</v>
      </c>
      <c r="BH117" s="22" t="e">
        <f>IF(A117=0,0,SUMIFS([1]Population!F:F,[1]Population!A:A,'MASTER-2025'!A117))</f>
        <v>#VALUE!</v>
      </c>
      <c r="BI117" s="22" t="e">
        <f t="shared" si="35"/>
        <v>#VALUE!</v>
      </c>
      <c r="BJ117" s="23" t="e">
        <f t="shared" si="30"/>
        <v>#VALUE!</v>
      </c>
      <c r="BK117" s="22" t="e">
        <f>IF(A117=0,0,SUMIFS([1]Population!G:G,[1]Population!A:A,'MASTER-2025'!A117))</f>
        <v>#VALUE!</v>
      </c>
      <c r="BL117" s="24" cm="1">
        <f t="array" ref="BL117:BW117">IFERROR(VLOOKUP(A117,'[1]Now-OB-kg-POB-25'!A:AQ,{3,4,5,6,7,8,9,10,11,12,13,14},0),0)</f>
        <v>0</v>
      </c>
      <c r="BM117" s="24">
        <v>0</v>
      </c>
      <c r="BN117" s="24">
        <v>0</v>
      </c>
      <c r="BO117" s="24">
        <v>0</v>
      </c>
      <c r="BP117" s="24">
        <v>0</v>
      </c>
      <c r="BQ117" s="24">
        <v>0</v>
      </c>
      <c r="BR117" s="24">
        <v>0</v>
      </c>
      <c r="BS117" s="24">
        <v>0</v>
      </c>
      <c r="BT117" s="24">
        <v>0</v>
      </c>
      <c r="BU117" s="24">
        <v>0</v>
      </c>
      <c r="BV117" s="24">
        <v>0</v>
      </c>
      <c r="BW117" s="24">
        <v>0</v>
      </c>
      <c r="BX117" s="24">
        <f t="shared" si="31"/>
        <v>0</v>
      </c>
      <c r="BY117" s="25" cm="1">
        <f t="array" ref="BY117:CJ117">IFERROR(VLOOKUP(A117,'[1]Now-OB-kg-POB-25'!A:AQ,{17,18,19,20,21,22,23,24,25,26,27,28},0),0)</f>
        <v>0</v>
      </c>
      <c r="BZ117" s="25">
        <v>0</v>
      </c>
      <c r="CA117" s="25">
        <v>0</v>
      </c>
      <c r="CB117" s="25">
        <v>0</v>
      </c>
      <c r="CC117" s="25">
        <v>0</v>
      </c>
      <c r="CD117" s="25">
        <v>0</v>
      </c>
      <c r="CE117" s="25">
        <v>0</v>
      </c>
      <c r="CF117" s="25">
        <v>0</v>
      </c>
      <c r="CG117" s="25">
        <v>0</v>
      </c>
      <c r="CH117" s="25">
        <v>0</v>
      </c>
      <c r="CI117" s="25">
        <v>0</v>
      </c>
      <c r="CJ117" s="25">
        <v>0</v>
      </c>
      <c r="CK117" s="25">
        <f t="shared" si="32"/>
        <v>0</v>
      </c>
      <c r="CL117" s="26" cm="1">
        <f t="array" ref="CL117:CW117">IFERROR(VLOOKUP(A117,'[1]Now-OB-kg-POB-25'!A:AQ,{31,32,33,34,35,36,37,38,39,40,41,42},0),0)</f>
        <v>0</v>
      </c>
      <c r="CM117" s="26">
        <v>0</v>
      </c>
      <c r="CN117" s="26">
        <v>0</v>
      </c>
      <c r="CO117" s="26">
        <v>0</v>
      </c>
      <c r="CP117" s="26">
        <v>0</v>
      </c>
      <c r="CQ117" s="26">
        <v>0</v>
      </c>
      <c r="CR117" s="26">
        <v>0</v>
      </c>
      <c r="CS117" s="26">
        <v>0</v>
      </c>
      <c r="CT117" s="26">
        <v>0</v>
      </c>
      <c r="CU117" s="26">
        <v>0</v>
      </c>
      <c r="CV117" s="26">
        <v>0</v>
      </c>
      <c r="CW117" s="26">
        <v>0</v>
      </c>
      <c r="CX117" s="26">
        <f t="shared" si="33"/>
        <v>0</v>
      </c>
      <c r="CY117" s="14" t="str">
        <f>IF(A117=0,0,IFERROR(VLOOKUP(A117,'[1]Info Donantes'!C:F,2,0),"Sin Contacto"))</f>
        <v>Sin Contacto</v>
      </c>
      <c r="CZ117" s="14" t="str">
        <f>IF(A117=0,0,IFERROR(VLOOKUP(A117,'[1]Info Donantes'!C:F,3,0),"Sin Correo"))</f>
        <v>Sin Correo</v>
      </c>
      <c r="DA117" s="14" t="str">
        <f>IF(A117=0,0,IFERROR(VLOOKUP(A117,'[1]Info Donantes'!C:F,4,0),"Sin Telefono"))</f>
        <v>Sin Telefono</v>
      </c>
      <c r="DB117" s="14" t="str">
        <f>IF(A117=0,0,"Reporte de Trazabiidad"&amp;" - "&amp;'[1]Donor Summary'!$C$2&amp;" - "&amp;A117&amp;"")</f>
        <v>Reporte de Trazabiidad -  - EUROFRUTAS INC</v>
      </c>
    </row>
    <row r="118" spans="1:106" x14ac:dyDescent="0.55000000000000004">
      <c r="A118" s="32" t="s">
        <v>278</v>
      </c>
      <c r="B118" s="15">
        <f>INT(IFERROR(VLOOKUP(A118,'[1]Donor Summary'!C:F,3,0),0))</f>
        <v>0</v>
      </c>
      <c r="C118" s="15">
        <f>INT(ROUND(IFERROR(VLOOKUP(A118,'[1]Donor Summary'!C:F,4,0),0),1))</f>
        <v>1040</v>
      </c>
      <c r="D118" s="16">
        <f t="shared" si="36"/>
        <v>1040</v>
      </c>
      <c r="E118" s="17" t="str">
        <f t="shared" si="37"/>
        <v>100.00%</v>
      </c>
      <c r="F118" s="17" t="str">
        <f t="shared" si="38"/>
        <v>0.0%</v>
      </c>
      <c r="G118" s="15">
        <f t="shared" si="40"/>
        <v>3120</v>
      </c>
      <c r="H118" s="18"/>
      <c r="I118" s="18">
        <f>IFERROR(VLOOKUP(A118,'[1]Lot All by Part'!T:Y,6,0),0)</f>
        <v>0</v>
      </c>
      <c r="J118" s="18"/>
      <c r="K118" s="19">
        <f>IFERROR(VLOOKUP($A118,'[1]Donor-Served OBs'!A:N,3,0),0)</f>
        <v>1</v>
      </c>
      <c r="L118" s="19">
        <f>ROUNDUP(IF(A118=0,0,IFERROR(VLOOKUP($A118,'[1]Donor''s Assigned Kilos'!A:O,3,0),0)),0)</f>
        <v>8</v>
      </c>
      <c r="M118" s="19">
        <f>IF(A118=0,0,IFERROR(SUMIFS([1]Population!M:M,[1]Population!J:J,'MASTER-2025'!A118),0))</f>
        <v>0</v>
      </c>
      <c r="N118" s="20">
        <f>IFERROR(VLOOKUP($A118,'[1]Donor-Served OBs'!A:N,4,0),0)</f>
        <v>3</v>
      </c>
      <c r="O118" s="20">
        <f>ROUNDUP(IF(A118=0,0,IFERROR(VLOOKUP($A118,'[1]Donor''s Assigned Kilos'!A:O,4,0),0)),0)</f>
        <v>64</v>
      </c>
      <c r="P118" s="20">
        <f>IF(A118=0,0,IFERROR(SUMIFS([1]Population!N:N,[1]Population!J:J,'MASTER-2025'!A118),0))</f>
        <v>0</v>
      </c>
      <c r="Q118" s="18">
        <f>IFERROR(VLOOKUP($A118,'[1]Donor-Served OBs'!A:N,2,0),0)</f>
        <v>2</v>
      </c>
      <c r="R118" s="18">
        <f>ROUNDUP(ROUND(IF(A118=0,0,IFERROR(VLOOKUP($A118,'[1]Donor''s Assigned Kilos'!A:O,9,0),0)),1),0)</f>
        <v>16</v>
      </c>
      <c r="S118" s="18">
        <f>IF(A118=0,0,IFERROR(SUMIFS([1]Population!S:S,[1]Population!J:J,'MASTER-2025'!A118),0))</f>
        <v>0</v>
      </c>
      <c r="T118" s="19">
        <f>IFERROR(VLOOKUP($A118,'[1]Donor-Served OBs'!A:N,12,0),0)</f>
        <v>0</v>
      </c>
      <c r="U118" s="19">
        <f>ROUNDUP(IF(A118=0,0,IF(A118=0,0,IFERROR(VLOOKUP($A118,'[1]Donor''s Assigned Kilos'!A:O,7,0),0))),0)</f>
        <v>0</v>
      </c>
      <c r="V118" s="19">
        <f>IF(A118=0,0,IFERROR(SUMIFS([1]Population!Q:Q,[1]Population!J:J,'MASTER-2025'!A118),0))</f>
        <v>0</v>
      </c>
      <c r="W118" s="20">
        <f>IFERROR(VLOOKUP($A118,'[1]Donor-Served OBs'!A:N,10,0),0)</f>
        <v>2</v>
      </c>
      <c r="X118" s="20">
        <f>ROUNDUP(IF(A118=0,0,IFERROR(VLOOKUP($A118,'[1]Donor''s Assigned Kilos'!A:N,5,0),0)),0)</f>
        <v>16</v>
      </c>
      <c r="Y118" s="20">
        <f>IF(A118=0,0,IFERROR(SUMIFS([1]Population!O:O,[1]Population!J:J,'MASTER-2025'!A118),0))</f>
        <v>0</v>
      </c>
      <c r="Z118" s="18">
        <f>IFERROR(VLOOKUP($A118,'[1]Donor-Served OBs'!A:N,6,0),0)</f>
        <v>1</v>
      </c>
      <c r="AA118" s="18">
        <f>ROUNDUP(IF(A118=0,0,IFERROR(VLOOKUP($A118,'[1]Donor''s Assigned Kilos'!A:N,11,0),0)),0)</f>
        <v>40</v>
      </c>
      <c r="AB118" s="18">
        <f>IF(A118=0,0,IFERROR(SUMIFS([1]Population!U:U,[1]Population!J:J,'MASTER-2025'!A118),0))</f>
        <v>0</v>
      </c>
      <c r="AC118" s="19">
        <f>IFERROR(VLOOKUP($A118,'[1]Donor-Served OBs'!A:N,7,0),0)</f>
        <v>0</v>
      </c>
      <c r="AD118" s="19">
        <f>ROUNDUP(IF(A118=0,0,IFERROR(VLOOKUP($A118,'[1]Donor''s Assigned Kilos'!A:N,8,0),0)),0)</f>
        <v>0</v>
      </c>
      <c r="AE118" s="19">
        <f>IF(A118=0,0,IFERROR(SUMIFS([1]Population!R:R,[1]Population!J:J,'MASTER-2025'!A118),0))</f>
        <v>0</v>
      </c>
      <c r="AF118" s="20">
        <f>IFERROR(VLOOKUP($A118,'[1]Donor-Served OBs'!A:N,8,0),0)</f>
        <v>0</v>
      </c>
      <c r="AG118" s="20">
        <f>ROUNDUP(IF(A118=0,0,IFERROR(VLOOKUP($A118,'[1]Donor''s Assigned Kilos'!A:N,6,0),0)),0)</f>
        <v>0</v>
      </c>
      <c r="AH118" s="20">
        <f>IF(A118=0,0,IFERROR(SUMIFS([1]Population!P:P,[1]Population!J:J,'MASTER-2025'!A118),0))</f>
        <v>0</v>
      </c>
      <c r="AI118" s="18">
        <f>IFERROR(VLOOKUP($A118,'[1]Donor-Served OBs'!A:N,9,0),0)</f>
        <v>1</v>
      </c>
      <c r="AJ118" s="18">
        <f>ROUNDUP(IF(A118=0,0,IFERROR(VLOOKUP($A118,'[1]Donor''s Assigned Kilos'!A:N,12,0),0)),0)</f>
        <v>20</v>
      </c>
      <c r="AK118" s="18">
        <f>IF(A118=0,0,IFERROR(SUMIFS([1]Population!V:V,[1]Population!J:J,'MASTER-2025'!A118),0))</f>
        <v>0</v>
      </c>
      <c r="AL118" s="19">
        <f>IFERROR(VLOOKUP($A118,'[1]Donor-Served OBs'!A:N,16,0),0)</f>
        <v>0</v>
      </c>
      <c r="AM118" s="19">
        <f>ROUNDUP(IF(A118=0,0,IFERROR(VLOOKUP($A118,'[1]Donor''s Assigned Kilos'!A:O,16,0),0)),0)</f>
        <v>0</v>
      </c>
      <c r="AN118" s="19">
        <f>IF(A118=0,0,IFERROR(SUMIFS([1]Population!Z:Z,[1]Population!J:J,'MASTER-2025'!A118),0))</f>
        <v>0</v>
      </c>
      <c r="AO118" s="20">
        <f>IFERROR(VLOOKUP($A118,'[1]Donor-Served OBs'!A:N,11,0),0)</f>
        <v>2</v>
      </c>
      <c r="AP118" s="20">
        <f>ROUNDUP(IF(A118=0,0,IFERROR(VLOOKUP($A118,'[1]Donor''s Assigned Kilos'!A:N,13,0),0)),0)</f>
        <v>155</v>
      </c>
      <c r="AQ118" s="20">
        <f>IF(A118=0,0,IFERROR(SUMIFS([1]Population!W:W,[1]Population!J:J,'MASTER-2025'!A118),0))</f>
        <v>0</v>
      </c>
      <c r="AR118" s="18">
        <f>IFERROR(VLOOKUP($A118,'[1]Donor-Served OBs'!A:N,5,0),0)</f>
        <v>4</v>
      </c>
      <c r="AS118" s="18">
        <f>ROUNDUP(IF(A118=0,0,IFERROR(VLOOKUP($A118,'[1]Donor''s Assigned Kilos'!A:N,10,0),0)),0)</f>
        <v>105</v>
      </c>
      <c r="AT118" s="18">
        <f>IF(A118=0,0,IFERROR(SUMIFS([1]Population!T:T,[1]Population!J:J,'MASTER-2025'!A118),0))</f>
        <v>0</v>
      </c>
      <c r="AU118" s="19">
        <f>IFERROR(VLOOKUP($A118,'[1]Donor-Served OBs'!A:N,13,0),0)</f>
        <v>0</v>
      </c>
      <c r="AV118" s="19">
        <f>ROUNDUP(IF(A118=0,0,IFERROR(VLOOKUP($A118,'[1]Donor''s Assigned Kilos'!A:N,14,0),0)),0)</f>
        <v>0</v>
      </c>
      <c r="AW118" s="19">
        <f>IF(A118=0,0,IFERROR(SUMIFS([1]Population!X:X,[1]Population!J:J,'MASTER-2025'!A118),0))</f>
        <v>0</v>
      </c>
      <c r="AX118" s="20">
        <f>IFERROR(VLOOKUP($A118,'[1]Donor-Served OBs'!A:N,16,0),0)</f>
        <v>0</v>
      </c>
      <c r="AY118" s="20">
        <f>ROUNDUP(IF(A118=0,0,IFERROR(VLOOKUP($A118,'[1]Donor''s Assigned Kilos'!A:O,16,0),0)),0)</f>
        <v>0</v>
      </c>
      <c r="AZ118" s="20">
        <f>IF(A118=0,0,IFERROR(SUMIFS([1]Population!Y:Y,[1]Population!J:J,'MASTER-2025'!A118),0))</f>
        <v>0</v>
      </c>
      <c r="BA118" s="21">
        <f t="shared" si="43"/>
        <v>16</v>
      </c>
      <c r="BB118" s="21">
        <f t="shared" si="42"/>
        <v>424</v>
      </c>
      <c r="BC118" s="21">
        <f t="shared" si="39"/>
        <v>88</v>
      </c>
      <c r="BD118" s="21">
        <f t="shared" si="44"/>
        <v>0</v>
      </c>
      <c r="BE118" s="22" t="e">
        <f>IF(A118=0,0,SUMIFS([1]Population!C:C,[1]Population!A:A,'MASTER-2025'!A118))</f>
        <v>#VALUE!</v>
      </c>
      <c r="BF118" s="22" t="e">
        <f>IF(A118=0,0,SUMIFS([1]Population!D:D,[1]Population!A:A,'MASTER-2025'!A118))</f>
        <v>#VALUE!</v>
      </c>
      <c r="BG118" s="22" t="e">
        <f>IF(A118=0,0,SUMIFS([1]Population!E:E,[1]Population!A:A,'MASTER-2025'!A118))</f>
        <v>#VALUE!</v>
      </c>
      <c r="BH118" s="22" t="e">
        <f>IF(A118=0,0,SUMIFS([1]Population!F:F,[1]Population!A:A,'MASTER-2025'!A118))</f>
        <v>#VALUE!</v>
      </c>
      <c r="BI118" s="22" t="e">
        <f t="shared" si="35"/>
        <v>#VALUE!</v>
      </c>
      <c r="BJ118" s="23" t="e">
        <f t="shared" si="30"/>
        <v>#VALUE!</v>
      </c>
      <c r="BK118" s="22" t="e">
        <f>IF(A118=0,0,SUMIFS([1]Population!G:G,[1]Population!A:A,'MASTER-2025'!A118))</f>
        <v>#VALUE!</v>
      </c>
      <c r="BL118" s="24" cm="1">
        <f t="array" ref="BL118:BW118">IFERROR(VLOOKUP(A118,'[1]Now-OB-kg-POB-25'!A:AQ,{3,4,5,6,7,8,9,10,11,12,13,14},0),0)</f>
        <v>0</v>
      </c>
      <c r="BM118" s="24">
        <v>0</v>
      </c>
      <c r="BN118" s="24">
        <v>16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  <c r="BW118" s="24">
        <v>0</v>
      </c>
      <c r="BX118" s="24">
        <f t="shared" si="31"/>
        <v>16</v>
      </c>
      <c r="BY118" s="25" cm="1">
        <f t="array" ref="BY118:CJ118">IFERROR(VLOOKUP(A118,'[1]Now-OB-kg-POB-25'!A:AQ,{17,18,19,20,21,22,23,24,25,26,27,28},0),0)</f>
        <v>0</v>
      </c>
      <c r="BZ118" s="25">
        <v>0</v>
      </c>
      <c r="CA118" s="25">
        <v>1040</v>
      </c>
      <c r="CB118" s="25">
        <v>0</v>
      </c>
      <c r="CC118" s="25">
        <v>0</v>
      </c>
      <c r="CD118" s="25">
        <v>0</v>
      </c>
      <c r="CE118" s="25">
        <v>0</v>
      </c>
      <c r="CF118" s="25">
        <v>0</v>
      </c>
      <c r="CG118" s="25">
        <v>0</v>
      </c>
      <c r="CH118" s="25">
        <v>0</v>
      </c>
      <c r="CI118" s="25">
        <v>0</v>
      </c>
      <c r="CJ118" s="25">
        <v>0</v>
      </c>
      <c r="CK118" s="25">
        <f t="shared" si="32"/>
        <v>1040</v>
      </c>
      <c r="CL118" s="26" cm="1">
        <f t="array" ref="CL118:CW118">IFERROR(VLOOKUP(A118,'[1]Now-OB-kg-POB-25'!A:AQ,{31,32,33,34,35,36,37,38,39,40,41,42},0),0)</f>
        <v>0</v>
      </c>
      <c r="CM118" s="26">
        <v>0</v>
      </c>
      <c r="CN118" s="26">
        <v>2022</v>
      </c>
      <c r="CO118" s="26">
        <v>0</v>
      </c>
      <c r="CP118" s="26">
        <v>0</v>
      </c>
      <c r="CQ118" s="26">
        <v>0</v>
      </c>
      <c r="CR118" s="26">
        <v>0</v>
      </c>
      <c r="CS118" s="26">
        <v>0</v>
      </c>
      <c r="CT118" s="26">
        <v>0</v>
      </c>
      <c r="CU118" s="26">
        <v>0</v>
      </c>
      <c r="CV118" s="26">
        <v>0</v>
      </c>
      <c r="CW118" s="26">
        <v>0</v>
      </c>
      <c r="CX118" s="26">
        <f t="shared" si="33"/>
        <v>2022</v>
      </c>
      <c r="CY118" s="14" t="str">
        <f>IF(A118=0,0,IFERROR(VLOOKUP(A118,'[1]Info Donantes'!C:F,2,0),"Sin Contacto"))</f>
        <v>Sin Contacto</v>
      </c>
      <c r="CZ118" s="14" t="str">
        <f>IF(A118=0,0,IFERROR(VLOOKUP(A118,'[1]Info Donantes'!C:F,3,0),"Sin Correo"))</f>
        <v>Sin Correo</v>
      </c>
      <c r="DA118" s="14" t="str">
        <f>IF(A118=0,0,IFERROR(VLOOKUP(A118,'[1]Info Donantes'!C:F,4,0),"Sin Telefono"))</f>
        <v>Sin Telefono</v>
      </c>
      <c r="DB118" s="14" t="str">
        <f>IF(A118=0,0,"Reporte de Trazabiidad"&amp;" - "&amp;'[1]Donor Summary'!$C$2&amp;" - "&amp;A118&amp;"")</f>
        <v>Reporte de Trazabiidad -  - FRESCAFHISH, S.A</v>
      </c>
    </row>
    <row r="119" spans="1:106" x14ac:dyDescent="0.55000000000000004">
      <c r="A119" s="32" t="s">
        <v>279</v>
      </c>
      <c r="B119" s="15">
        <f>INT(IFERROR(VLOOKUP(A119,'[1]Donor Summary'!C:F,3,0),0))</f>
        <v>0</v>
      </c>
      <c r="C119" s="15">
        <f>INT(ROUND(IFERROR(VLOOKUP(A119,'[1]Donor Summary'!C:F,4,0),0),1))</f>
        <v>0</v>
      </c>
      <c r="D119" s="16">
        <f t="shared" si="36"/>
        <v>0</v>
      </c>
      <c r="E119" s="17" t="str">
        <f t="shared" si="37"/>
        <v>0.00%</v>
      </c>
      <c r="F119" s="17" t="str">
        <f t="shared" si="38"/>
        <v>0.0%</v>
      </c>
      <c r="G119" s="15">
        <f t="shared" si="40"/>
        <v>0</v>
      </c>
      <c r="H119" s="18"/>
      <c r="I119" s="18">
        <f>IFERROR(VLOOKUP(A119,'[1]Lot All by Part'!T:Y,6,0),0)</f>
        <v>0</v>
      </c>
      <c r="J119" s="18"/>
      <c r="K119" s="19">
        <f>IFERROR(VLOOKUP($A119,'[1]Donor-Served OBs'!A:N,3,0),0)</f>
        <v>0</v>
      </c>
      <c r="L119" s="19">
        <f>ROUNDUP(IF(A119=0,0,IFERROR(VLOOKUP($A119,'[1]Donor''s Assigned Kilos'!A:O,3,0),0)),0)</f>
        <v>0</v>
      </c>
      <c r="M119" s="19">
        <f>IF(A119=0,0,IFERROR(SUMIFS([1]Population!M:M,[1]Population!J:J,'MASTER-2025'!A119),0))</f>
        <v>0</v>
      </c>
      <c r="N119" s="20">
        <f>IFERROR(VLOOKUP($A119,'[1]Donor-Served OBs'!A:N,4,0),0)</f>
        <v>0</v>
      </c>
      <c r="O119" s="20">
        <f>ROUNDUP(IF(A119=0,0,IFERROR(VLOOKUP($A119,'[1]Donor''s Assigned Kilos'!A:O,4,0),0)),0)</f>
        <v>0</v>
      </c>
      <c r="P119" s="20">
        <f>IF(A119=0,0,IFERROR(SUMIFS([1]Population!N:N,[1]Population!J:J,'MASTER-2025'!A119),0))</f>
        <v>0</v>
      </c>
      <c r="Q119" s="18">
        <f>IFERROR(VLOOKUP($A119,'[1]Donor-Served OBs'!A:N,2,0),0)</f>
        <v>0</v>
      </c>
      <c r="R119" s="18">
        <f>ROUNDUP(ROUND(IF(A119=0,0,IFERROR(VLOOKUP($A119,'[1]Donor''s Assigned Kilos'!A:O,9,0),0)),1),0)</f>
        <v>0</v>
      </c>
      <c r="S119" s="18">
        <f>IF(A119=0,0,IFERROR(SUMIFS([1]Population!S:S,[1]Population!J:J,'MASTER-2025'!A119),0))</f>
        <v>0</v>
      </c>
      <c r="T119" s="19">
        <f>IFERROR(VLOOKUP($A119,'[1]Donor-Served OBs'!A:N,12,0),0)</f>
        <v>0</v>
      </c>
      <c r="U119" s="19">
        <f>ROUNDUP(IF(A119=0,0,IF(A119=0,0,IFERROR(VLOOKUP($A119,'[1]Donor''s Assigned Kilos'!A:O,7,0),0))),0)</f>
        <v>0</v>
      </c>
      <c r="V119" s="19">
        <f>IF(A119=0,0,IFERROR(SUMIFS([1]Population!Q:Q,[1]Population!J:J,'MASTER-2025'!A119),0))</f>
        <v>0</v>
      </c>
      <c r="W119" s="20">
        <f>IFERROR(VLOOKUP($A119,'[1]Donor-Served OBs'!A:N,10,0),0)</f>
        <v>0</v>
      </c>
      <c r="X119" s="20">
        <f>ROUNDUP(IF(A119=0,0,IFERROR(VLOOKUP($A119,'[1]Donor''s Assigned Kilos'!A:N,5,0),0)),0)</f>
        <v>0</v>
      </c>
      <c r="Y119" s="20">
        <f>IF(A119=0,0,IFERROR(SUMIFS([1]Population!O:O,[1]Population!J:J,'MASTER-2025'!A119),0))</f>
        <v>0</v>
      </c>
      <c r="Z119" s="18">
        <f>IFERROR(VLOOKUP($A119,'[1]Donor-Served OBs'!A:N,6,0),0)</f>
        <v>0</v>
      </c>
      <c r="AA119" s="18">
        <f>ROUNDUP(IF(A119=0,0,IFERROR(VLOOKUP($A119,'[1]Donor''s Assigned Kilos'!A:N,11,0),0)),0)</f>
        <v>0</v>
      </c>
      <c r="AB119" s="18">
        <f>IF(A119=0,0,IFERROR(SUMIFS([1]Population!U:U,[1]Population!J:J,'MASTER-2025'!A119),0))</f>
        <v>0</v>
      </c>
      <c r="AC119" s="19">
        <f>IFERROR(VLOOKUP($A119,'[1]Donor-Served OBs'!A:N,7,0),0)</f>
        <v>0</v>
      </c>
      <c r="AD119" s="19">
        <f>ROUNDUP(IF(A119=0,0,IFERROR(VLOOKUP($A119,'[1]Donor''s Assigned Kilos'!A:N,8,0),0)),0)</f>
        <v>0</v>
      </c>
      <c r="AE119" s="19">
        <f>IF(A119=0,0,IFERROR(SUMIFS([1]Population!R:R,[1]Population!J:J,'MASTER-2025'!A119),0))</f>
        <v>0</v>
      </c>
      <c r="AF119" s="20">
        <f>IFERROR(VLOOKUP($A119,'[1]Donor-Served OBs'!A:N,8,0),0)</f>
        <v>0</v>
      </c>
      <c r="AG119" s="20">
        <f>ROUNDUP(IF(A119=0,0,IFERROR(VLOOKUP($A119,'[1]Donor''s Assigned Kilos'!A:N,6,0),0)),0)</f>
        <v>0</v>
      </c>
      <c r="AH119" s="20">
        <f>IF(A119=0,0,IFERROR(SUMIFS([1]Population!P:P,[1]Population!J:J,'MASTER-2025'!A119),0))</f>
        <v>0</v>
      </c>
      <c r="AI119" s="18">
        <f>IFERROR(VLOOKUP($A119,'[1]Donor-Served OBs'!A:N,9,0),0)</f>
        <v>0</v>
      </c>
      <c r="AJ119" s="18">
        <f>ROUNDUP(IF(A119=0,0,IFERROR(VLOOKUP($A119,'[1]Donor''s Assigned Kilos'!A:N,12,0),0)),0)</f>
        <v>0</v>
      </c>
      <c r="AK119" s="18">
        <f>IF(A119=0,0,IFERROR(SUMIFS([1]Population!V:V,[1]Population!J:J,'MASTER-2025'!A119),0))</f>
        <v>0</v>
      </c>
      <c r="AL119" s="19">
        <f>IFERROR(VLOOKUP($A119,'[1]Donor-Served OBs'!A:N,16,0),0)</f>
        <v>0</v>
      </c>
      <c r="AM119" s="19">
        <f>ROUNDUP(IF(A119=0,0,IFERROR(VLOOKUP($A119,'[1]Donor''s Assigned Kilos'!A:O,16,0),0)),0)</f>
        <v>0</v>
      </c>
      <c r="AN119" s="19">
        <f>IF(A119=0,0,IFERROR(SUMIFS([1]Population!Z:Z,[1]Population!J:J,'MASTER-2025'!A119),0))</f>
        <v>0</v>
      </c>
      <c r="AO119" s="20">
        <f>IFERROR(VLOOKUP($A119,'[1]Donor-Served OBs'!A:N,11,0),0)</f>
        <v>0</v>
      </c>
      <c r="AP119" s="20">
        <f>ROUNDUP(IF(A119=0,0,IFERROR(VLOOKUP($A119,'[1]Donor''s Assigned Kilos'!A:N,13,0),0)),0)</f>
        <v>0</v>
      </c>
      <c r="AQ119" s="20">
        <f>IF(A119=0,0,IFERROR(SUMIFS([1]Population!W:W,[1]Population!J:J,'MASTER-2025'!A119),0))</f>
        <v>0</v>
      </c>
      <c r="AR119" s="18">
        <f>IFERROR(VLOOKUP($A119,'[1]Donor-Served OBs'!A:N,5,0),0)</f>
        <v>0</v>
      </c>
      <c r="AS119" s="18">
        <f>ROUNDUP(IF(A119=0,0,IFERROR(VLOOKUP($A119,'[1]Donor''s Assigned Kilos'!A:N,10,0),0)),0)</f>
        <v>0</v>
      </c>
      <c r="AT119" s="18">
        <f>IF(A119=0,0,IFERROR(SUMIFS([1]Population!T:T,[1]Population!J:J,'MASTER-2025'!A119),0))</f>
        <v>0</v>
      </c>
      <c r="AU119" s="19">
        <f>IFERROR(VLOOKUP($A119,'[1]Donor-Served OBs'!A:N,13,0),0)</f>
        <v>0</v>
      </c>
      <c r="AV119" s="19">
        <f>ROUNDUP(IF(A119=0,0,IFERROR(VLOOKUP($A119,'[1]Donor''s Assigned Kilos'!A:N,14,0),0)),0)</f>
        <v>0</v>
      </c>
      <c r="AW119" s="19">
        <f>IF(A119=0,0,IFERROR(SUMIFS([1]Population!X:X,[1]Population!J:J,'MASTER-2025'!A119),0))</f>
        <v>0</v>
      </c>
      <c r="AX119" s="20">
        <f>IFERROR(VLOOKUP($A119,'[1]Donor-Served OBs'!A:N,16,0),0)</f>
        <v>0</v>
      </c>
      <c r="AY119" s="20">
        <f>ROUNDUP(IF(A119=0,0,IFERROR(VLOOKUP($A119,'[1]Donor''s Assigned Kilos'!A:O,16,0),0)),0)</f>
        <v>0</v>
      </c>
      <c r="AZ119" s="20">
        <f>IF(A119=0,0,IFERROR(SUMIFS([1]Population!Y:Y,[1]Population!J:J,'MASTER-2025'!A119),0))</f>
        <v>0</v>
      </c>
      <c r="BA119" s="21">
        <f t="shared" si="43"/>
        <v>0</v>
      </c>
      <c r="BB119" s="21">
        <f t="shared" si="42"/>
        <v>0</v>
      </c>
      <c r="BC119" s="21">
        <f t="shared" si="39"/>
        <v>0</v>
      </c>
      <c r="BD119" s="21">
        <f t="shared" si="44"/>
        <v>0</v>
      </c>
      <c r="BE119" s="22" t="e">
        <f>IF(A119=0,0,SUMIFS([1]Population!C:C,[1]Population!A:A,'MASTER-2025'!A119))</f>
        <v>#VALUE!</v>
      </c>
      <c r="BF119" s="22" t="e">
        <f>IF(A119=0,0,SUMIFS([1]Population!D:D,[1]Population!A:A,'MASTER-2025'!A119))</f>
        <v>#VALUE!</v>
      </c>
      <c r="BG119" s="22" t="e">
        <f>IF(A119=0,0,SUMIFS([1]Population!E:E,[1]Population!A:A,'MASTER-2025'!A119))</f>
        <v>#VALUE!</v>
      </c>
      <c r="BH119" s="22" t="e">
        <f>IF(A119=0,0,SUMIFS([1]Population!F:F,[1]Population!A:A,'MASTER-2025'!A119))</f>
        <v>#VALUE!</v>
      </c>
      <c r="BI119" s="22" t="e">
        <f t="shared" si="35"/>
        <v>#VALUE!</v>
      </c>
      <c r="BJ119" s="23" t="e">
        <f t="shared" si="30"/>
        <v>#VALUE!</v>
      </c>
      <c r="BK119" s="22" t="e">
        <f>IF(A119=0,0,SUMIFS([1]Population!G:G,[1]Population!A:A,'MASTER-2025'!A119))</f>
        <v>#VALUE!</v>
      </c>
      <c r="BL119" s="24" cm="1">
        <f t="array" ref="BL119">IFERROR(VLOOKUP(A119,'[1]Now-OB-kg-POB-25'!A:AQ,{3,4,5,6,7,8,9,10,11,12,13,14},0),0)</f>
        <v>0</v>
      </c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>
        <f t="shared" si="31"/>
        <v>0</v>
      </c>
      <c r="BY119" s="25" cm="1">
        <f t="array" ref="BY119">IFERROR(VLOOKUP(A119,'[1]Now-OB-kg-POB-25'!A:AQ,{17,18,19,20,21,22,23,24,25,26,27,28},0),0)</f>
        <v>0</v>
      </c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>
        <f t="shared" si="32"/>
        <v>0</v>
      </c>
      <c r="CL119" s="26" cm="1">
        <f t="array" ref="CL119">IFERROR(VLOOKUP(A119,'[1]Now-OB-kg-POB-25'!A:AQ,{31,32,33,34,35,36,37,38,39,40,41,42},0),0)</f>
        <v>0</v>
      </c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>
        <f t="shared" si="33"/>
        <v>0</v>
      </c>
      <c r="CY119" s="14" t="str">
        <f>IF(A119=0,0,IFERROR(VLOOKUP(A119,'[1]Info Donantes'!C:F,2,0),"Sin Contacto"))</f>
        <v>Sin Contacto</v>
      </c>
      <c r="CZ119" s="14" t="str">
        <f>IF(A119=0,0,IFERROR(VLOOKUP(A119,'[1]Info Donantes'!C:F,3,0),"Sin Correo"))</f>
        <v>Sin Correo</v>
      </c>
      <c r="DA119" s="14" t="str">
        <f>IF(A119=0,0,IFERROR(VLOOKUP(A119,'[1]Info Donantes'!C:F,4,0),"Sin Telefono"))</f>
        <v>Sin Telefono</v>
      </c>
      <c r="DB119" s="14" t="str">
        <f>IF(A119=0,0,"Reporte de Trazabiidad"&amp;" - "&amp;'[1]Donor Summary'!$C$2&amp;" - "&amp;A119&amp;"")</f>
        <v>Reporte de Trazabiidad -  - Global B</v>
      </c>
    </row>
    <row r="120" spans="1:106" x14ac:dyDescent="0.55000000000000004">
      <c r="A120" s="32" t="s">
        <v>280</v>
      </c>
      <c r="B120" s="33">
        <f>INT(IFERROR(VLOOKUP(A120,'[1]Donor Summary'!C:F,3,0),0))</f>
        <v>0</v>
      </c>
      <c r="C120" s="15">
        <f>INT(ROUND(IFERROR(VLOOKUP(A120,'[1]Donor Summary'!C:F,4,0),0),1))</f>
        <v>0</v>
      </c>
      <c r="D120" s="16">
        <f t="shared" si="36"/>
        <v>0</v>
      </c>
      <c r="E120" s="17" t="str">
        <f t="shared" si="37"/>
        <v>0.00%</v>
      </c>
      <c r="F120" s="17" t="str">
        <f t="shared" si="38"/>
        <v>0.0%</v>
      </c>
      <c r="G120" s="15">
        <f t="shared" si="40"/>
        <v>0</v>
      </c>
      <c r="H120" s="18"/>
      <c r="I120" s="18">
        <f>IFERROR(VLOOKUP(A120,'[1]Lot All by Part'!T:Y,6,0),0)</f>
        <v>0</v>
      </c>
      <c r="J120" s="18"/>
      <c r="K120" s="19">
        <f>IFERROR(VLOOKUP($A120,'[1]Donor-Served OBs'!A:N,3,0),0)</f>
        <v>0</v>
      </c>
      <c r="L120" s="19">
        <f>ROUNDUP(IF(A120=0,0,IFERROR(VLOOKUP($A120,'[1]Donor''s Assigned Kilos'!A:O,3,0),0)),0)</f>
        <v>0</v>
      </c>
      <c r="M120" s="19">
        <f>IF(A120=0,0,IFERROR(SUMIFS([1]Population!M:M,[1]Population!J:J,'MASTER-2025'!A120),0))</f>
        <v>0</v>
      </c>
      <c r="N120" s="20">
        <f>IFERROR(VLOOKUP($A120,'[1]Donor-Served OBs'!A:N,4,0),0)</f>
        <v>0</v>
      </c>
      <c r="O120" s="20">
        <f>ROUNDUP(IF(A120=0,0,IFERROR(VLOOKUP($A120,'[1]Donor''s Assigned Kilos'!A:O,4,0),0)),0)</f>
        <v>0</v>
      </c>
      <c r="P120" s="20">
        <f>IF(A120=0,0,IFERROR(SUMIFS([1]Population!N:N,[1]Population!J:J,'MASTER-2025'!A120),0))</f>
        <v>0</v>
      </c>
      <c r="Q120" s="18">
        <f>IFERROR(VLOOKUP($A120,'[1]Donor-Served OBs'!A:N,2,0),0)</f>
        <v>0</v>
      </c>
      <c r="R120" s="18">
        <f>ROUNDUP(ROUND(IF(A120=0,0,IFERROR(VLOOKUP($A120,'[1]Donor''s Assigned Kilos'!A:O,9,0),0)),1),0)</f>
        <v>0</v>
      </c>
      <c r="S120" s="18">
        <f>IF(A120=0,0,IFERROR(SUMIFS([1]Population!S:S,[1]Population!J:J,'MASTER-2025'!A120),0))</f>
        <v>0</v>
      </c>
      <c r="T120" s="19">
        <f>IFERROR(VLOOKUP($A120,'[1]Donor-Served OBs'!A:N,12,0),0)</f>
        <v>0</v>
      </c>
      <c r="U120" s="19">
        <f>ROUNDUP(IF(A120=0,0,IF(A120=0,0,IFERROR(VLOOKUP($A120,'[1]Donor''s Assigned Kilos'!A:O,7,0),0))),0)</f>
        <v>0</v>
      </c>
      <c r="V120" s="19">
        <f>IF(A120=0,0,IFERROR(SUMIFS([1]Population!Q:Q,[1]Population!J:J,'MASTER-2025'!A120),0))</f>
        <v>0</v>
      </c>
      <c r="W120" s="20">
        <f>IFERROR(VLOOKUP($A120,'[1]Donor-Served OBs'!A:N,10,0),0)</f>
        <v>0</v>
      </c>
      <c r="X120" s="20">
        <f>ROUNDUP(IF(A120=0,0,IFERROR(VLOOKUP($A120,'[1]Donor''s Assigned Kilos'!A:N,5,0),0)),0)</f>
        <v>0</v>
      </c>
      <c r="Y120" s="20">
        <f>IF(A120=0,0,IFERROR(SUMIFS([1]Population!O:O,[1]Population!J:J,'MASTER-2025'!A120),0))</f>
        <v>0</v>
      </c>
      <c r="Z120" s="18">
        <f>IFERROR(VLOOKUP($A120,'[1]Donor-Served OBs'!A:N,6,0),0)</f>
        <v>0</v>
      </c>
      <c r="AA120" s="18">
        <f>ROUNDUP(IF(A120=0,0,IFERROR(VLOOKUP($A120,'[1]Donor''s Assigned Kilos'!A:N,11,0),0)),0)</f>
        <v>0</v>
      </c>
      <c r="AB120" s="18">
        <f>IF(A120=0,0,IFERROR(SUMIFS([1]Population!U:U,[1]Population!J:J,'MASTER-2025'!A120),0))</f>
        <v>0</v>
      </c>
      <c r="AC120" s="19">
        <f>IFERROR(VLOOKUP($A120,'[1]Donor-Served OBs'!A:N,7,0),0)</f>
        <v>0</v>
      </c>
      <c r="AD120" s="19">
        <f>ROUNDUP(IF(A120=0,0,IFERROR(VLOOKUP($A120,'[1]Donor''s Assigned Kilos'!A:N,8,0),0)),0)</f>
        <v>0</v>
      </c>
      <c r="AE120" s="19">
        <f>IF(A120=0,0,IFERROR(SUMIFS([1]Population!R:R,[1]Population!J:J,'MASTER-2025'!A120),0))</f>
        <v>0</v>
      </c>
      <c r="AF120" s="20">
        <f>IFERROR(VLOOKUP($A120,'[1]Donor-Served OBs'!A:N,8,0),0)</f>
        <v>0</v>
      </c>
      <c r="AG120" s="20">
        <f>ROUNDUP(IF(A120=0,0,IFERROR(VLOOKUP($A120,'[1]Donor''s Assigned Kilos'!A:N,6,0),0)),0)</f>
        <v>0</v>
      </c>
      <c r="AH120" s="20">
        <f>IF(A120=0,0,IFERROR(SUMIFS([1]Population!P:P,[1]Population!J:J,'MASTER-2025'!A120),0))</f>
        <v>0</v>
      </c>
      <c r="AI120" s="18">
        <f>IFERROR(VLOOKUP($A120,'[1]Donor-Served OBs'!A:N,9,0),0)</f>
        <v>0</v>
      </c>
      <c r="AJ120" s="18">
        <f>ROUNDUP(IF(A120=0,0,IFERROR(VLOOKUP($A120,'[1]Donor''s Assigned Kilos'!A:N,12,0),0)),0)</f>
        <v>0</v>
      </c>
      <c r="AK120" s="18">
        <f>IF(A120=0,0,IFERROR(SUMIFS([1]Population!V:V,[1]Population!J:J,'MASTER-2025'!A120),0))</f>
        <v>0</v>
      </c>
      <c r="AL120" s="19">
        <f>IFERROR(VLOOKUP($A120,'[1]Donor-Served OBs'!A:N,16,0),0)</f>
        <v>0</v>
      </c>
      <c r="AM120" s="19">
        <f>ROUNDUP(IF(A120=0,0,IFERROR(VLOOKUP($A120,'[1]Donor''s Assigned Kilos'!A:O,16,0),0)),0)</f>
        <v>0</v>
      </c>
      <c r="AN120" s="19">
        <f>IF(A120=0,0,IFERROR(SUMIFS([1]Population!Z:Z,[1]Population!J:J,'MASTER-2025'!A120),0))</f>
        <v>0</v>
      </c>
      <c r="AO120" s="20">
        <f>IFERROR(VLOOKUP($A120,'[1]Donor-Served OBs'!A:N,11,0),0)</f>
        <v>0</v>
      </c>
      <c r="AP120" s="20">
        <f>ROUNDUP(IF(A120=0,0,IFERROR(VLOOKUP($A120,'[1]Donor''s Assigned Kilos'!A:N,13,0),0)),0)</f>
        <v>0</v>
      </c>
      <c r="AQ120" s="20">
        <f>IF(A120=0,0,IFERROR(SUMIFS([1]Population!W:W,[1]Population!J:J,'MASTER-2025'!A120),0))</f>
        <v>0</v>
      </c>
      <c r="AR120" s="18">
        <f>IFERROR(VLOOKUP($A120,'[1]Donor-Served OBs'!A:N,5,0),0)</f>
        <v>0</v>
      </c>
      <c r="AS120" s="18">
        <f>ROUNDUP(IF(A120=0,0,IFERROR(VLOOKUP($A120,'[1]Donor''s Assigned Kilos'!A:N,10,0),0)),0)</f>
        <v>0</v>
      </c>
      <c r="AT120" s="18">
        <f>IF(A120=0,0,IFERROR(SUMIFS([1]Population!T:T,[1]Population!J:J,'MASTER-2025'!A120),0))</f>
        <v>0</v>
      </c>
      <c r="AU120" s="19">
        <f>IFERROR(VLOOKUP($A120,'[1]Donor-Served OBs'!A:N,13,0),0)</f>
        <v>0</v>
      </c>
      <c r="AV120" s="19">
        <f>ROUNDUP(IF(A120=0,0,IFERROR(VLOOKUP($A120,'[1]Donor''s Assigned Kilos'!A:N,14,0),0)),0)</f>
        <v>0</v>
      </c>
      <c r="AW120" s="19">
        <f>IF(A120=0,0,IFERROR(SUMIFS([1]Population!X:X,[1]Population!J:J,'MASTER-2025'!A120),0))</f>
        <v>0</v>
      </c>
      <c r="AX120" s="20">
        <f>IFERROR(VLOOKUP($A120,'[1]Donor-Served OBs'!A:N,16,0),0)</f>
        <v>0</v>
      </c>
      <c r="AY120" s="20">
        <f>ROUNDUP(IF(A120=0,0,IFERROR(VLOOKUP($A120,'[1]Donor''s Assigned Kilos'!A:O,16,0),0)),0)</f>
        <v>0</v>
      </c>
      <c r="AZ120" s="20">
        <f>IF(A120=0,0,IFERROR(SUMIFS([1]Population!Y:Y,[1]Population!J:J,'MASTER-2025'!A120),0))</f>
        <v>0</v>
      </c>
      <c r="BA120" s="21">
        <f t="shared" si="43"/>
        <v>0</v>
      </c>
      <c r="BB120" s="21">
        <f t="shared" si="42"/>
        <v>0</v>
      </c>
      <c r="BC120" s="21">
        <f t="shared" si="39"/>
        <v>0</v>
      </c>
      <c r="BD120" s="21">
        <f t="shared" si="44"/>
        <v>0</v>
      </c>
      <c r="BE120" s="22" t="e">
        <f>IF(A120=0,0,SUMIFS([1]Population!C:C,[1]Population!A:A,'MASTER-2025'!A120))</f>
        <v>#VALUE!</v>
      </c>
      <c r="BF120" s="22" t="e">
        <f>IF(A120=0,0,SUMIFS([1]Population!D:D,[1]Population!A:A,'MASTER-2025'!A120))</f>
        <v>#VALUE!</v>
      </c>
      <c r="BG120" s="22" t="e">
        <f>IF(A120=0,0,SUMIFS([1]Population!E:E,[1]Population!A:A,'MASTER-2025'!A120))</f>
        <v>#VALUE!</v>
      </c>
      <c r="BH120" s="22" t="e">
        <f>IF(A120=0,0,SUMIFS([1]Population!F:F,[1]Population!A:A,'MASTER-2025'!A120))</f>
        <v>#VALUE!</v>
      </c>
      <c r="BI120" s="22" t="e">
        <f t="shared" si="35"/>
        <v>#VALUE!</v>
      </c>
      <c r="BJ120" s="23" t="e">
        <f t="shared" si="30"/>
        <v>#VALUE!</v>
      </c>
      <c r="BK120" s="22" t="e">
        <f>IF(A120=0,0,SUMIFS([1]Population!G:G,[1]Population!A:A,'MASTER-2025'!A120))</f>
        <v>#VALUE!</v>
      </c>
      <c r="BL120" s="24" cm="1">
        <f t="array" ref="BL120:BW120">IFERROR(VLOOKUP(A120,'[1]Now-OB-kg-POB-25'!A:AQ,{3,4,5,6,7,8,9,10,11,12,13,14},0),0)</f>
        <v>0</v>
      </c>
      <c r="BM120" s="24">
        <v>0</v>
      </c>
      <c r="BN120" s="24">
        <v>0</v>
      </c>
      <c r="BO120" s="24">
        <v>0</v>
      </c>
      <c r="BP120" s="24">
        <v>0</v>
      </c>
      <c r="BQ120" s="24">
        <v>0</v>
      </c>
      <c r="BR120" s="24">
        <v>0</v>
      </c>
      <c r="BS120" s="24">
        <v>0</v>
      </c>
      <c r="BT120" s="24">
        <v>0</v>
      </c>
      <c r="BU120" s="24">
        <v>0</v>
      </c>
      <c r="BV120" s="24">
        <v>0</v>
      </c>
      <c r="BW120" s="24">
        <v>0</v>
      </c>
      <c r="BX120" s="24">
        <f t="shared" si="31"/>
        <v>0</v>
      </c>
      <c r="BY120" s="25" cm="1">
        <f t="array" ref="BY120:CJ120">IFERROR(VLOOKUP(A120,'[1]Now-OB-kg-POB-25'!A:AQ,{17,18,19,20,21,22,23,24,25,26,27,28},0),0)</f>
        <v>0</v>
      </c>
      <c r="BZ120" s="25">
        <v>0</v>
      </c>
      <c r="CA120" s="25">
        <v>0</v>
      </c>
      <c r="CB120" s="25">
        <v>0</v>
      </c>
      <c r="CC120" s="25">
        <v>0</v>
      </c>
      <c r="CD120" s="25">
        <v>0</v>
      </c>
      <c r="CE120" s="25">
        <v>0</v>
      </c>
      <c r="CF120" s="25">
        <v>0</v>
      </c>
      <c r="CG120" s="25">
        <v>0</v>
      </c>
      <c r="CH120" s="25">
        <v>0</v>
      </c>
      <c r="CI120" s="25">
        <v>0</v>
      </c>
      <c r="CJ120" s="25">
        <v>0</v>
      </c>
      <c r="CK120" s="25">
        <f t="shared" si="32"/>
        <v>0</v>
      </c>
      <c r="CL120" s="26" cm="1">
        <f t="array" ref="CL120:CW120">IFERROR(VLOOKUP(A120,'[1]Now-OB-kg-POB-25'!A:AQ,{31,32,33,34,35,36,37,38,39,40,41,42},0),0)</f>
        <v>0</v>
      </c>
      <c r="CM120" s="26">
        <v>0</v>
      </c>
      <c r="CN120" s="26">
        <v>0</v>
      </c>
      <c r="CO120" s="26">
        <v>0</v>
      </c>
      <c r="CP120" s="26">
        <v>0</v>
      </c>
      <c r="CQ120" s="26">
        <v>0</v>
      </c>
      <c r="CR120" s="26">
        <v>0</v>
      </c>
      <c r="CS120" s="26">
        <v>0</v>
      </c>
      <c r="CT120" s="26">
        <v>0</v>
      </c>
      <c r="CU120" s="26">
        <v>0</v>
      </c>
      <c r="CV120" s="26">
        <v>0</v>
      </c>
      <c r="CW120" s="26">
        <v>0</v>
      </c>
      <c r="CX120" s="26">
        <f t="shared" si="33"/>
        <v>0</v>
      </c>
      <c r="CY120" s="14" t="str">
        <f>IF(A120=0,0,IFERROR(VLOOKUP(A120,'[1]Info Donantes'!C:F,2,0),"Sin Contacto"))</f>
        <v>Sin Contacto</v>
      </c>
      <c r="CZ120" s="14" t="str">
        <f>IF(A120=0,0,IFERROR(VLOOKUP(A120,'[1]Info Donantes'!C:F,3,0),"Sin Correo"))</f>
        <v>Sin Correo</v>
      </c>
      <c r="DA120" s="14" t="str">
        <f>IF(A120=0,0,IFERROR(VLOOKUP(A120,'[1]Info Donantes'!C:F,4,0),"Sin Telefono"))</f>
        <v>Sin Telefono</v>
      </c>
      <c r="DB120" s="14" t="str">
        <f>IF(A120=0,0,"Reporte de Trazabiidad"&amp;" - "&amp;'[1]Donor Summary'!$C$2&amp;" - "&amp;A120&amp;"")</f>
        <v>Reporte de Trazabiidad -  - ULE RIVER RANCH</v>
      </c>
    </row>
    <row r="121" spans="1:106" x14ac:dyDescent="0.55000000000000004">
      <c r="A121" s="31" t="s">
        <v>281</v>
      </c>
      <c r="B121" s="33">
        <f>INT(IFERROR(VLOOKUP(A121,'[1]Donor Summary'!C:F,3,0),0))</f>
        <v>0</v>
      </c>
      <c r="C121" s="15">
        <f>INT(ROUND(IFERROR(VLOOKUP(A121,'[1]Donor Summary'!C:F,4,0),0),1))</f>
        <v>144</v>
      </c>
      <c r="D121" s="16">
        <f t="shared" si="36"/>
        <v>144</v>
      </c>
      <c r="E121" s="17" t="str">
        <f t="shared" si="37"/>
        <v>100.00%</v>
      </c>
      <c r="F121" s="17" t="str">
        <f t="shared" si="38"/>
        <v>0.0%</v>
      </c>
      <c r="G121" s="15">
        <f t="shared" si="40"/>
        <v>432</v>
      </c>
      <c r="H121" s="18"/>
      <c r="I121" s="18">
        <f>IFERROR(VLOOKUP(A121,'[1]Lot All by Part'!T:Y,6,0),0)</f>
        <v>0</v>
      </c>
      <c r="J121" s="18"/>
      <c r="K121" s="19">
        <f>IFERROR(VLOOKUP($A121,'[1]Donor-Served OBs'!A:N,3,0),0)</f>
        <v>0</v>
      </c>
      <c r="L121" s="19">
        <f>ROUNDUP(IF(A121=0,0,IFERROR(VLOOKUP($A121,'[1]Donor''s Assigned Kilos'!A:O,3,0),0)),0)</f>
        <v>0</v>
      </c>
      <c r="M121" s="19">
        <f>IF(A121=0,0,IFERROR(SUMIFS([1]Population!M:M,[1]Population!J:J,'MASTER-2025'!A121),0))</f>
        <v>0</v>
      </c>
      <c r="N121" s="20">
        <f>IFERROR(VLOOKUP($A121,'[1]Donor-Served OBs'!A:N,4,0),0)</f>
        <v>0</v>
      </c>
      <c r="O121" s="20">
        <f>ROUNDUP(IF(A121=0,0,IFERROR(VLOOKUP($A121,'[1]Donor''s Assigned Kilos'!A:O,4,0),0)),0)</f>
        <v>0</v>
      </c>
      <c r="P121" s="20">
        <f>IF(A121=0,0,IFERROR(SUMIFS([1]Population!N:N,[1]Population!J:J,'MASTER-2025'!A121),0))</f>
        <v>0</v>
      </c>
      <c r="Q121" s="18">
        <f>IFERROR(VLOOKUP($A121,'[1]Donor-Served OBs'!A:N,2,0),0)</f>
        <v>0</v>
      </c>
      <c r="R121" s="18">
        <f>ROUNDUP(ROUND(IF(A121=0,0,IFERROR(VLOOKUP($A121,'[1]Donor''s Assigned Kilos'!A:O,9,0),0)),1),0)</f>
        <v>0</v>
      </c>
      <c r="S121" s="18">
        <f>IF(A121=0,0,IFERROR(SUMIFS([1]Population!S:S,[1]Population!J:J,'MASTER-2025'!A121),0))</f>
        <v>0</v>
      </c>
      <c r="T121" s="19">
        <f>IFERROR(VLOOKUP($A121,'[1]Donor-Served OBs'!A:N,12,0),0)</f>
        <v>0</v>
      </c>
      <c r="U121" s="19">
        <f>ROUNDUP(IF(A121=0,0,IF(A121=0,0,IFERROR(VLOOKUP($A121,'[1]Donor''s Assigned Kilos'!A:O,7,0),0))),0)</f>
        <v>0</v>
      </c>
      <c r="V121" s="19">
        <f>IF(A121=0,0,IFERROR(SUMIFS([1]Population!Q:Q,[1]Population!J:J,'MASTER-2025'!A121),0))</f>
        <v>0</v>
      </c>
      <c r="W121" s="20">
        <f>IFERROR(VLOOKUP($A121,'[1]Donor-Served OBs'!A:N,10,0),0)</f>
        <v>0</v>
      </c>
      <c r="X121" s="20">
        <f>ROUNDUP(IF(A121=0,0,IFERROR(VLOOKUP($A121,'[1]Donor''s Assigned Kilos'!A:N,5,0),0)),0)</f>
        <v>0</v>
      </c>
      <c r="Y121" s="20">
        <f>IF(A121=0,0,IFERROR(SUMIFS([1]Population!O:O,[1]Population!J:J,'MASTER-2025'!A121),0))</f>
        <v>0</v>
      </c>
      <c r="Z121" s="18">
        <f>IFERROR(VLOOKUP($A121,'[1]Donor-Served OBs'!A:N,6,0),0)</f>
        <v>1</v>
      </c>
      <c r="AA121" s="18">
        <f>ROUNDUP(IF(A121=0,0,IFERROR(VLOOKUP($A121,'[1]Donor''s Assigned Kilos'!A:N,11,0),0)),0)</f>
        <v>58</v>
      </c>
      <c r="AB121" s="18">
        <f>IF(A121=0,0,IFERROR(SUMIFS([1]Population!U:U,[1]Population!J:J,'MASTER-2025'!A121),0))</f>
        <v>0</v>
      </c>
      <c r="AC121" s="19">
        <f>IFERROR(VLOOKUP($A121,'[1]Donor-Served OBs'!A:N,7,0),0)</f>
        <v>0</v>
      </c>
      <c r="AD121" s="19">
        <f>ROUNDUP(IF(A121=0,0,IFERROR(VLOOKUP($A121,'[1]Donor''s Assigned Kilos'!A:N,8,0),0)),0)</f>
        <v>0</v>
      </c>
      <c r="AE121" s="19">
        <f>IF(A121=0,0,IFERROR(SUMIFS([1]Population!R:R,[1]Population!J:J,'MASTER-2025'!A121),0))</f>
        <v>0</v>
      </c>
      <c r="AF121" s="20">
        <f>IFERROR(VLOOKUP($A121,'[1]Donor-Served OBs'!A:N,8,0),0)</f>
        <v>0</v>
      </c>
      <c r="AG121" s="20">
        <f>ROUNDUP(IF(A121=0,0,IFERROR(VLOOKUP($A121,'[1]Donor''s Assigned Kilos'!A:N,6,0),0)),0)</f>
        <v>0</v>
      </c>
      <c r="AH121" s="20">
        <f>IF(A121=0,0,IFERROR(SUMIFS([1]Population!P:P,[1]Population!J:J,'MASTER-2025'!A121),0))</f>
        <v>0</v>
      </c>
      <c r="AI121" s="18">
        <f>IFERROR(VLOOKUP($A121,'[1]Donor-Served OBs'!A:N,9,0),0)</f>
        <v>1</v>
      </c>
      <c r="AJ121" s="18">
        <f>ROUNDUP(IF(A121=0,0,IFERROR(VLOOKUP($A121,'[1]Donor''s Assigned Kilos'!A:N,12,0),0)),0)</f>
        <v>4</v>
      </c>
      <c r="AK121" s="18">
        <f>IF(A121=0,0,IFERROR(SUMIFS([1]Population!V:V,[1]Population!J:J,'MASTER-2025'!A121),0))</f>
        <v>0</v>
      </c>
      <c r="AL121" s="19">
        <f>IFERROR(VLOOKUP($A121,'[1]Donor-Served OBs'!A:N,16,0),0)</f>
        <v>0</v>
      </c>
      <c r="AM121" s="19">
        <f>ROUNDUP(IF(A121=0,0,IFERROR(VLOOKUP($A121,'[1]Donor''s Assigned Kilos'!A:O,16,0),0)),0)</f>
        <v>0</v>
      </c>
      <c r="AN121" s="19">
        <f>IF(A121=0,0,IFERROR(SUMIFS([1]Population!Z:Z,[1]Population!J:J,'MASTER-2025'!A121),0))</f>
        <v>0</v>
      </c>
      <c r="AO121" s="20">
        <f>IFERROR(VLOOKUP($A121,'[1]Donor-Served OBs'!A:N,11,0),0)</f>
        <v>1</v>
      </c>
      <c r="AP121" s="20">
        <f>ROUNDUP(IF(A121=0,0,IFERROR(VLOOKUP($A121,'[1]Donor''s Assigned Kilos'!A:N,13,0),0)),0)</f>
        <v>14</v>
      </c>
      <c r="AQ121" s="20">
        <f>IF(A121=0,0,IFERROR(SUMIFS([1]Population!W:W,[1]Population!J:J,'MASTER-2025'!A121),0))</f>
        <v>0</v>
      </c>
      <c r="AR121" s="18">
        <f>IFERROR(VLOOKUP($A121,'[1]Donor-Served OBs'!A:N,5,0),0)</f>
        <v>2</v>
      </c>
      <c r="AS121" s="18">
        <f>ROUNDUP(IF(A121=0,0,IFERROR(VLOOKUP($A121,'[1]Donor''s Assigned Kilos'!A:N,10,0),0)),0)</f>
        <v>22</v>
      </c>
      <c r="AT121" s="18">
        <f>IF(A121=0,0,IFERROR(SUMIFS([1]Population!T:T,[1]Population!J:J,'MASTER-2025'!A121),0))</f>
        <v>0</v>
      </c>
      <c r="AU121" s="19">
        <f>IFERROR(VLOOKUP($A121,'[1]Donor-Served OBs'!A:N,13,0),0)</f>
        <v>0</v>
      </c>
      <c r="AV121" s="19">
        <f>ROUNDUP(IF(A121=0,0,IFERROR(VLOOKUP($A121,'[1]Donor''s Assigned Kilos'!A:N,14,0),0)),0)</f>
        <v>0</v>
      </c>
      <c r="AW121" s="19">
        <f>IF(A121=0,0,IFERROR(SUMIFS([1]Population!X:X,[1]Population!J:J,'MASTER-2025'!A121),0))</f>
        <v>0</v>
      </c>
      <c r="AX121" s="20">
        <f>IFERROR(VLOOKUP($A121,'[1]Donor-Served OBs'!A:N,16,0),0)</f>
        <v>0</v>
      </c>
      <c r="AY121" s="20">
        <f>ROUNDUP(IF(A121=0,0,IFERROR(VLOOKUP($A121,'[1]Donor''s Assigned Kilos'!A:O,16,0),0)),0)</f>
        <v>0</v>
      </c>
      <c r="AZ121" s="20">
        <f>IF(A121=0,0,IFERROR(SUMIFS([1]Population!Y:Y,[1]Population!J:J,'MASTER-2025'!A121),0))</f>
        <v>0</v>
      </c>
      <c r="BA121" s="21">
        <f t="shared" si="43"/>
        <v>5</v>
      </c>
      <c r="BB121" s="21">
        <f t="shared" si="42"/>
        <v>98</v>
      </c>
      <c r="BC121" s="21">
        <f t="shared" si="39"/>
        <v>0</v>
      </c>
      <c r="BD121" s="21">
        <f t="shared" si="44"/>
        <v>0</v>
      </c>
      <c r="BE121" s="22" t="e">
        <f>IF(A121=0,0,SUMIFS([1]Population!C:C,[1]Population!A:A,'MASTER-2025'!A121))</f>
        <v>#VALUE!</v>
      </c>
      <c r="BF121" s="22" t="e">
        <f>IF(A121=0,0,SUMIFS([1]Population!D:D,[1]Population!A:A,'MASTER-2025'!A121))</f>
        <v>#VALUE!</v>
      </c>
      <c r="BG121" s="22" t="e">
        <f>IF(A121=0,0,SUMIFS([1]Population!E:E,[1]Population!A:A,'MASTER-2025'!A121))</f>
        <v>#VALUE!</v>
      </c>
      <c r="BH121" s="22" t="e">
        <f>IF(A121=0,0,SUMIFS([1]Population!F:F,[1]Population!A:A,'MASTER-2025'!A121))</f>
        <v>#VALUE!</v>
      </c>
      <c r="BI121" s="22" t="e">
        <f t="shared" si="35"/>
        <v>#VALUE!</v>
      </c>
      <c r="BJ121" s="23" t="e">
        <f t="shared" si="30"/>
        <v>#VALUE!</v>
      </c>
      <c r="BK121" s="22" t="e">
        <f>IF(A121=0,0,SUMIFS([1]Population!G:G,[1]Population!A:A,'MASTER-2025'!A121))</f>
        <v>#VALUE!</v>
      </c>
      <c r="BL121" s="24" cm="1">
        <f t="array" ref="BL121:BW121">IFERROR(VLOOKUP(A121,'[1]Now-OB-kg-POB-25'!A:AQ,{3,4,5,6,7,8,9,10,11,12,13,14},0),0)</f>
        <v>5</v>
      </c>
      <c r="BM121" s="24">
        <v>4</v>
      </c>
      <c r="BN121" s="24">
        <v>5</v>
      </c>
      <c r="BO121" s="24">
        <v>0</v>
      </c>
      <c r="BP121" s="24">
        <v>0</v>
      </c>
      <c r="BQ121" s="24">
        <v>0</v>
      </c>
      <c r="BR121" s="24">
        <v>0</v>
      </c>
      <c r="BS121" s="24">
        <v>0</v>
      </c>
      <c r="BT121" s="24">
        <v>0</v>
      </c>
      <c r="BU121" s="24">
        <v>0</v>
      </c>
      <c r="BV121" s="24">
        <v>0</v>
      </c>
      <c r="BW121" s="24">
        <v>0</v>
      </c>
      <c r="BX121" s="24">
        <f t="shared" si="31"/>
        <v>14</v>
      </c>
      <c r="BY121" s="25" cm="1">
        <f t="array" ref="BY121:CJ121">IFERROR(VLOOKUP(A121,'[1]Now-OB-kg-POB-25'!A:AQ,{17,18,19,20,21,22,23,24,25,26,27,28},0),0)</f>
        <v>222</v>
      </c>
      <c r="BZ121" s="25">
        <v>43</v>
      </c>
      <c r="CA121" s="25">
        <v>144</v>
      </c>
      <c r="CB121" s="25">
        <v>0</v>
      </c>
      <c r="CC121" s="25">
        <v>0</v>
      </c>
      <c r="CD121" s="25">
        <v>0</v>
      </c>
      <c r="CE121" s="25">
        <v>0</v>
      </c>
      <c r="CF121" s="25">
        <v>0</v>
      </c>
      <c r="CG121" s="25">
        <v>0</v>
      </c>
      <c r="CH121" s="25">
        <v>0</v>
      </c>
      <c r="CI121" s="25">
        <v>0</v>
      </c>
      <c r="CJ121" s="25">
        <v>0</v>
      </c>
      <c r="CK121" s="25">
        <f t="shared" si="32"/>
        <v>409</v>
      </c>
      <c r="CL121" s="26" cm="1">
        <f t="array" ref="CL121:CW121">IFERROR(VLOOKUP(A121,'[1]Now-OB-kg-POB-25'!A:AQ,{31,32,33,34,35,36,37,38,39,40,41,42},0),0)</f>
        <v>1191</v>
      </c>
      <c r="CM121" s="26">
        <v>715</v>
      </c>
      <c r="CN121" s="26">
        <v>959</v>
      </c>
      <c r="CO121" s="26">
        <v>0</v>
      </c>
      <c r="CP121" s="26">
        <v>0</v>
      </c>
      <c r="CQ121" s="26">
        <v>0</v>
      </c>
      <c r="CR121" s="26">
        <v>0</v>
      </c>
      <c r="CS121" s="26">
        <v>0</v>
      </c>
      <c r="CT121" s="26">
        <v>0</v>
      </c>
      <c r="CU121" s="26">
        <v>0</v>
      </c>
      <c r="CV121" s="26">
        <v>0</v>
      </c>
      <c r="CW121" s="26">
        <v>0</v>
      </c>
      <c r="CX121" s="26">
        <f t="shared" si="33"/>
        <v>2865</v>
      </c>
      <c r="CY121" s="14">
        <f>IF(A121=0,0,IFERROR(VLOOKUP(A121,'[1]Info Donantes'!C:F,2,0),"Sin Contacto"))</f>
        <v>0</v>
      </c>
      <c r="CZ121" s="14" t="str">
        <f>IF(A121=0,0,IFERROR(VLOOKUP(A121,'[1]Info Donantes'!C:F,3,0),"Sin Correo"))</f>
        <v>vepifaniom@cwpanama.net</v>
      </c>
      <c r="DA121" s="14" t="str">
        <f>IF(A121=0,0,IFERROR(VLOOKUP(A121,'[1]Info Donantes'!C:F,4,0),"Sin Telefono"))</f>
        <v>2248339</v>
      </c>
      <c r="DB121" s="14" t="str">
        <f>IF(A121=0,0,"Reporte de Trazabiidad"&amp;" - "&amp;'[1]Donor Summary'!$C$2&amp;" - "&amp;A121&amp;"")</f>
        <v>Reporte de Trazabiidad -  - PROCESADORA MONICA, S.A</v>
      </c>
    </row>
    <row r="122" spans="1:106" x14ac:dyDescent="0.55000000000000004">
      <c r="A122" s="31" t="s">
        <v>282</v>
      </c>
      <c r="B122" s="33">
        <f>INT(IFERROR(VLOOKUP(A122,'[1]Donor Summary'!C:F,3,0),0))</f>
        <v>0</v>
      </c>
      <c r="C122" s="15">
        <f>INT(ROUND(IFERROR(VLOOKUP(A122,'[1]Donor Summary'!C:F,4,0),0),1))</f>
        <v>0</v>
      </c>
      <c r="D122" s="16">
        <f t="shared" si="36"/>
        <v>0</v>
      </c>
      <c r="E122" s="17" t="str">
        <f t="shared" si="37"/>
        <v>0.00%</v>
      </c>
      <c r="F122" s="17" t="str">
        <f t="shared" si="38"/>
        <v>0.0%</v>
      </c>
      <c r="G122" s="15">
        <f t="shared" si="40"/>
        <v>0</v>
      </c>
      <c r="H122" s="18"/>
      <c r="I122" s="18">
        <f>IFERROR(VLOOKUP(A122,'[1]Lot All by Part'!T:Y,6,0),0)</f>
        <v>0</v>
      </c>
      <c r="J122" s="18"/>
      <c r="K122" s="19">
        <f>IFERROR(VLOOKUP($A122,'[1]Donor-Served OBs'!A:N,3,0),0)</f>
        <v>9</v>
      </c>
      <c r="L122" s="19">
        <f>ROUNDUP(IF(A122=0,0,IFERROR(VLOOKUP($A122,'[1]Donor''s Assigned Kilos'!A:O,3,0),0)),0)</f>
        <v>165</v>
      </c>
      <c r="M122" s="19">
        <f>IF(A122=0,0,IFERROR(SUMIFS([1]Population!M:M,[1]Population!J:J,'MASTER-2025'!A122),0))</f>
        <v>0</v>
      </c>
      <c r="N122" s="20">
        <f>IFERROR(VLOOKUP($A122,'[1]Donor-Served OBs'!A:N,4,0),0)</f>
        <v>8</v>
      </c>
      <c r="O122" s="20">
        <f>ROUNDUP(IF(A122=0,0,IFERROR(VLOOKUP($A122,'[1]Donor''s Assigned Kilos'!A:O,4,0),0)),0)</f>
        <v>120</v>
      </c>
      <c r="P122" s="20">
        <f>IF(A122=0,0,IFERROR(SUMIFS([1]Population!N:N,[1]Population!J:J,'MASTER-2025'!A122),0))</f>
        <v>0</v>
      </c>
      <c r="Q122" s="18">
        <f>IFERROR(VLOOKUP($A122,'[1]Donor-Served OBs'!A:N,2,0),0)</f>
        <v>3</v>
      </c>
      <c r="R122" s="18">
        <f>ROUNDUP(ROUND(IF(A122=0,0,IFERROR(VLOOKUP($A122,'[1]Donor''s Assigned Kilos'!A:O,9,0),0)),1),0)</f>
        <v>20</v>
      </c>
      <c r="S122" s="18">
        <f>IF(A122=0,0,IFERROR(SUMIFS([1]Population!S:S,[1]Population!J:J,'MASTER-2025'!A122),0))</f>
        <v>0</v>
      </c>
      <c r="T122" s="19">
        <f>IFERROR(VLOOKUP($A122,'[1]Donor-Served OBs'!A:N,12,0),0)</f>
        <v>2</v>
      </c>
      <c r="U122" s="19">
        <f>ROUNDUP(IF(A122=0,0,IF(A122=0,0,IFERROR(VLOOKUP($A122,'[1]Donor''s Assigned Kilos'!A:O,7,0),0))),0)</f>
        <v>35</v>
      </c>
      <c r="V122" s="19">
        <f>IF(A122=0,0,IFERROR(SUMIFS([1]Population!Q:Q,[1]Population!J:J,'MASTER-2025'!A122),0))</f>
        <v>0</v>
      </c>
      <c r="W122" s="20">
        <f>IFERROR(VLOOKUP($A122,'[1]Donor-Served OBs'!A:N,10,0),0)</f>
        <v>6</v>
      </c>
      <c r="X122" s="20">
        <f>ROUNDUP(IF(A122=0,0,IFERROR(VLOOKUP($A122,'[1]Donor''s Assigned Kilos'!A:N,5,0),0)),0)</f>
        <v>110</v>
      </c>
      <c r="Y122" s="20">
        <f>IF(A122=0,0,IFERROR(SUMIFS([1]Population!O:O,[1]Population!J:J,'MASTER-2025'!A122),0))</f>
        <v>0</v>
      </c>
      <c r="Z122" s="18">
        <f>IFERROR(VLOOKUP($A122,'[1]Donor-Served OBs'!A:N,6,0),0)</f>
        <v>0</v>
      </c>
      <c r="AA122" s="18">
        <f>ROUNDUP(IF(A122=0,0,IFERROR(VLOOKUP($A122,'[1]Donor''s Assigned Kilos'!A:N,11,0),0)),0)</f>
        <v>0</v>
      </c>
      <c r="AB122" s="18">
        <f>IF(A122=0,0,IFERROR(SUMIFS([1]Population!U:U,[1]Population!J:J,'MASTER-2025'!A122),0))</f>
        <v>0</v>
      </c>
      <c r="AC122" s="19">
        <f>IFERROR(VLOOKUP($A122,'[1]Donor-Served OBs'!A:N,7,0),0)</f>
        <v>1</v>
      </c>
      <c r="AD122" s="19">
        <f>ROUNDUP(IF(A122=0,0,IFERROR(VLOOKUP($A122,'[1]Donor''s Assigned Kilos'!A:N,8,0),0)),0)</f>
        <v>10</v>
      </c>
      <c r="AE122" s="19">
        <f>IF(A122=0,0,IFERROR(SUMIFS([1]Population!R:R,[1]Population!J:J,'MASTER-2025'!A122),0))</f>
        <v>0</v>
      </c>
      <c r="AF122" s="20">
        <f>IFERROR(VLOOKUP($A122,'[1]Donor-Served OBs'!A:N,8,0),0)</f>
        <v>3</v>
      </c>
      <c r="AG122" s="20">
        <f>ROUNDUP(IF(A122=0,0,IFERROR(VLOOKUP($A122,'[1]Donor''s Assigned Kilos'!A:N,6,0),0)),0)</f>
        <v>25</v>
      </c>
      <c r="AH122" s="20">
        <f>IF(A122=0,0,IFERROR(SUMIFS([1]Population!P:P,[1]Population!J:J,'MASTER-2025'!A122),0))</f>
        <v>0</v>
      </c>
      <c r="AI122" s="18">
        <f>IFERROR(VLOOKUP($A122,'[1]Donor-Served OBs'!A:N,9,0),0)</f>
        <v>0</v>
      </c>
      <c r="AJ122" s="18">
        <f>ROUNDUP(IF(A122=0,0,IFERROR(VLOOKUP($A122,'[1]Donor''s Assigned Kilos'!A:N,12,0),0)),0)</f>
        <v>0</v>
      </c>
      <c r="AK122" s="18">
        <f>IF(A122=0,0,IFERROR(SUMIFS([1]Population!V:V,[1]Population!J:J,'MASTER-2025'!A122),0))</f>
        <v>0</v>
      </c>
      <c r="AL122" s="19">
        <f>IFERROR(VLOOKUP($A122,'[1]Donor-Served OBs'!A:N,16,0),0)</f>
        <v>0</v>
      </c>
      <c r="AM122" s="19">
        <f>ROUNDUP(IF(A122=0,0,IFERROR(VLOOKUP($A122,'[1]Donor''s Assigned Kilos'!A:O,16,0),0)),0)</f>
        <v>0</v>
      </c>
      <c r="AN122" s="19">
        <f>IF(A122=0,0,IFERROR(SUMIFS([1]Population!Z:Z,[1]Population!J:J,'MASTER-2025'!A122),0))</f>
        <v>0</v>
      </c>
      <c r="AO122" s="20">
        <f>IFERROR(VLOOKUP($A122,'[1]Donor-Served OBs'!A:N,11,0),0)</f>
        <v>0</v>
      </c>
      <c r="AP122" s="20">
        <f>ROUNDUP(IF(A122=0,0,IFERROR(VLOOKUP($A122,'[1]Donor''s Assigned Kilos'!A:N,13,0),0)),0)</f>
        <v>0</v>
      </c>
      <c r="AQ122" s="20">
        <f>IF(A122=0,0,IFERROR(SUMIFS([1]Population!W:W,[1]Population!J:J,'MASTER-2025'!A122),0))</f>
        <v>0</v>
      </c>
      <c r="AR122" s="18">
        <f>IFERROR(VLOOKUP($A122,'[1]Donor-Served OBs'!A:N,5,0),0)</f>
        <v>0</v>
      </c>
      <c r="AS122" s="18">
        <f>ROUNDUP(IF(A122=0,0,IFERROR(VLOOKUP($A122,'[1]Donor''s Assigned Kilos'!A:N,10,0),0)),0)</f>
        <v>0</v>
      </c>
      <c r="AT122" s="18">
        <f>IF(A122=0,0,IFERROR(SUMIFS([1]Population!T:T,[1]Population!J:J,'MASTER-2025'!A122),0))</f>
        <v>0</v>
      </c>
      <c r="AU122" s="19">
        <f>IFERROR(VLOOKUP($A122,'[1]Donor-Served OBs'!A:N,13,0),0)</f>
        <v>0</v>
      </c>
      <c r="AV122" s="19">
        <f>ROUNDUP(IF(A122=0,0,IFERROR(VLOOKUP($A122,'[1]Donor''s Assigned Kilos'!A:N,14,0),0)),0)</f>
        <v>0</v>
      </c>
      <c r="AW122" s="19">
        <f>IF(A122=0,0,IFERROR(SUMIFS([1]Population!X:X,[1]Population!J:J,'MASTER-2025'!A122),0))</f>
        <v>0</v>
      </c>
      <c r="AX122" s="20">
        <f>IFERROR(VLOOKUP($A122,'[1]Donor-Served OBs'!A:N,16,0),0)</f>
        <v>0</v>
      </c>
      <c r="AY122" s="20">
        <f>ROUNDUP(IF(A122=0,0,IFERROR(VLOOKUP($A122,'[1]Donor''s Assigned Kilos'!A:O,16,0),0)),0)</f>
        <v>0</v>
      </c>
      <c r="AZ122" s="20">
        <f>IF(A122=0,0,IFERROR(SUMIFS([1]Population!Y:Y,[1]Population!J:J,'MASTER-2025'!A122),0))</f>
        <v>0</v>
      </c>
      <c r="BA122" s="21">
        <f t="shared" si="43"/>
        <v>32</v>
      </c>
      <c r="BB122" s="21">
        <f t="shared" si="42"/>
        <v>485</v>
      </c>
      <c r="BC122" s="21">
        <f t="shared" si="39"/>
        <v>340</v>
      </c>
      <c r="BD122" s="21">
        <f t="shared" si="44"/>
        <v>0</v>
      </c>
      <c r="BE122" s="22" t="e">
        <f>IF(A122=0,0,SUMIFS([1]Population!C:C,[1]Population!A:A,'MASTER-2025'!A122))</f>
        <v>#VALUE!</v>
      </c>
      <c r="BF122" s="22" t="e">
        <f>IF(A122=0,0,SUMIFS([1]Population!D:D,[1]Population!A:A,'MASTER-2025'!A122))</f>
        <v>#VALUE!</v>
      </c>
      <c r="BG122" s="22" t="e">
        <f>IF(A122=0,0,SUMIFS([1]Population!E:E,[1]Population!A:A,'MASTER-2025'!A122))</f>
        <v>#VALUE!</v>
      </c>
      <c r="BH122" s="22" t="e">
        <f>IF(A122=0,0,SUMIFS([1]Population!F:F,[1]Population!A:A,'MASTER-2025'!A122))</f>
        <v>#VALUE!</v>
      </c>
      <c r="BI122" s="22" t="e">
        <f t="shared" si="35"/>
        <v>#VALUE!</v>
      </c>
      <c r="BJ122" s="23" t="e">
        <f t="shared" si="30"/>
        <v>#VALUE!</v>
      </c>
      <c r="BK122" s="22" t="e">
        <f>IF(A122=0,0,SUMIFS([1]Population!G:G,[1]Population!A:A,'MASTER-2025'!A122))</f>
        <v>#VALUE!</v>
      </c>
      <c r="BL122" s="24" cm="1">
        <f t="array" ref="BL122:BW122">IFERROR(VLOOKUP(A122,'[1]Now-OB-kg-POB-25'!A:AQ,{3,4,5,6,7,8,9,10,11,12,13,14},0),0)</f>
        <v>40</v>
      </c>
      <c r="BM122" s="24">
        <v>38</v>
      </c>
      <c r="BN122" s="24">
        <v>32</v>
      </c>
      <c r="BO122" s="24">
        <v>0</v>
      </c>
      <c r="BP122" s="24">
        <v>0</v>
      </c>
      <c r="BQ122" s="24">
        <v>0</v>
      </c>
      <c r="BR122" s="24">
        <v>0</v>
      </c>
      <c r="BS122" s="24">
        <v>0</v>
      </c>
      <c r="BT122" s="24">
        <v>0</v>
      </c>
      <c r="BU122" s="24">
        <v>0</v>
      </c>
      <c r="BV122" s="24">
        <v>0</v>
      </c>
      <c r="BW122" s="24">
        <v>0</v>
      </c>
      <c r="BX122" s="24">
        <f t="shared" si="31"/>
        <v>110</v>
      </c>
      <c r="BY122" s="25" cm="1">
        <f t="array" ref="BY122:CJ122">IFERROR(VLOOKUP(A122,'[1]Now-OB-kg-POB-25'!A:AQ,{17,18,19,20,21,22,23,24,25,26,27,28},0),0)</f>
        <v>2161</v>
      </c>
      <c r="BZ122" s="25">
        <v>0</v>
      </c>
      <c r="CA122" s="25">
        <v>0</v>
      </c>
      <c r="CB122" s="25">
        <v>0</v>
      </c>
      <c r="CC122" s="25">
        <v>0</v>
      </c>
      <c r="CD122" s="25">
        <v>0</v>
      </c>
      <c r="CE122" s="25">
        <v>0</v>
      </c>
      <c r="CF122" s="25">
        <v>0</v>
      </c>
      <c r="CG122" s="25">
        <v>0</v>
      </c>
      <c r="CH122" s="25">
        <v>0</v>
      </c>
      <c r="CI122" s="25">
        <v>0</v>
      </c>
      <c r="CJ122" s="25">
        <v>0</v>
      </c>
      <c r="CK122" s="25">
        <f t="shared" si="32"/>
        <v>2161</v>
      </c>
      <c r="CL122" s="26" cm="1">
        <f t="array" ref="CL122:CW122">IFERROR(VLOOKUP(A122,'[1]Now-OB-kg-POB-25'!A:AQ,{31,32,33,34,35,36,37,38,39,40,41,42},0),0)</f>
        <v>15350</v>
      </c>
      <c r="CM122" s="26">
        <v>13545</v>
      </c>
      <c r="CN122" s="26">
        <v>7021</v>
      </c>
      <c r="CO122" s="26">
        <v>0</v>
      </c>
      <c r="CP122" s="26">
        <v>0</v>
      </c>
      <c r="CQ122" s="26">
        <v>0</v>
      </c>
      <c r="CR122" s="26">
        <v>0</v>
      </c>
      <c r="CS122" s="26">
        <v>0</v>
      </c>
      <c r="CT122" s="26">
        <v>0</v>
      </c>
      <c r="CU122" s="26">
        <v>0</v>
      </c>
      <c r="CV122" s="26">
        <v>0</v>
      </c>
      <c r="CW122" s="26">
        <v>0</v>
      </c>
      <c r="CX122" s="26">
        <f t="shared" si="33"/>
        <v>35916</v>
      </c>
      <c r="CY122" s="14" t="str">
        <f>IF(A122=0,0,IFERROR(VLOOKUP(A122,'[1]Info Donantes'!C:F,2,0),"Sin Contacto"))</f>
        <v>Sin Contacto</v>
      </c>
      <c r="CZ122" s="14" t="str">
        <f>IF(A122=0,0,IFERROR(VLOOKUP(A122,'[1]Info Donantes'!C:F,3,0),"Sin Correo"))</f>
        <v>Sin Correo</v>
      </c>
      <c r="DA122" s="14" t="str">
        <f>IF(A122=0,0,IFERROR(VLOOKUP(A122,'[1]Info Donantes'!C:F,4,0),"Sin Telefono"))</f>
        <v>Sin Telefono</v>
      </c>
      <c r="DB122" s="14" t="str">
        <f>IF(A122=0,0,"Reporte de Trazabiidad"&amp;" - "&amp;'[1]Donor Summary'!$C$2&amp;" - "&amp;A122&amp;"")</f>
        <v>Reporte de Trazabiidad -  - SAMBU ARTISAN FOOD, S.A.</v>
      </c>
    </row>
    <row r="123" spans="1:106" x14ac:dyDescent="0.55000000000000004">
      <c r="A123" s="14" t="s">
        <v>283</v>
      </c>
      <c r="B123" s="33">
        <f>INT(IFERROR(VLOOKUP(A123,'[1]Donor Summary'!C:F,3,0),0))</f>
        <v>0</v>
      </c>
      <c r="C123" s="15">
        <f>INT(ROUND(IFERROR(VLOOKUP(A123,'[1]Donor Summary'!C:F,4,0),0),1))</f>
        <v>0</v>
      </c>
      <c r="D123" s="16">
        <f t="shared" si="36"/>
        <v>0</v>
      </c>
      <c r="E123" s="17" t="str">
        <f t="shared" si="37"/>
        <v>0.00%</v>
      </c>
      <c r="F123" s="17" t="str">
        <f t="shared" si="38"/>
        <v>0.0%</v>
      </c>
      <c r="G123" s="15">
        <f t="shared" si="40"/>
        <v>0</v>
      </c>
      <c r="H123" s="18"/>
      <c r="I123" s="18">
        <f>IFERROR(VLOOKUP(A123,'[1]Lot All by Part'!T:Y,6,0),0)</f>
        <v>0</v>
      </c>
      <c r="J123" s="18"/>
      <c r="K123" s="19">
        <f>IFERROR(VLOOKUP($A123,'[1]Donor-Served OBs'!A:N,3,0),0)</f>
        <v>0</v>
      </c>
      <c r="L123" s="19">
        <f>ROUNDUP(IF(A123=0,0,IFERROR(VLOOKUP($A123,'[1]Donor''s Assigned Kilos'!A:O,3,0),0)),0)</f>
        <v>0</v>
      </c>
      <c r="M123" s="19">
        <f>IF(A123=0,0,IFERROR(SUMIFS([1]Population!M:M,[1]Population!J:J,'MASTER-2025'!A123),0))</f>
        <v>0</v>
      </c>
      <c r="N123" s="20">
        <f>IFERROR(VLOOKUP($A123,'[1]Donor-Served OBs'!A:N,4,0),0)</f>
        <v>0</v>
      </c>
      <c r="O123" s="20">
        <f>ROUNDUP(IF(A123=0,0,IFERROR(VLOOKUP($A123,'[1]Donor''s Assigned Kilos'!A:O,4,0),0)),0)</f>
        <v>0</v>
      </c>
      <c r="P123" s="20">
        <f>IF(A123=0,0,IFERROR(SUMIFS([1]Population!N:N,[1]Population!J:J,'MASTER-2025'!A123),0))</f>
        <v>0</v>
      </c>
      <c r="Q123" s="18">
        <f>IFERROR(VLOOKUP($A123,'[1]Donor-Served OBs'!A:N,2,0),0)</f>
        <v>0</v>
      </c>
      <c r="R123" s="18">
        <f>ROUNDUP(ROUND(IF(A123=0,0,IFERROR(VLOOKUP($A123,'[1]Donor''s Assigned Kilos'!A:O,9,0),0)),1),0)</f>
        <v>0</v>
      </c>
      <c r="S123" s="18">
        <f>IF(A123=0,0,IFERROR(SUMIFS([1]Population!S:S,[1]Population!J:J,'MASTER-2025'!A123),0))</f>
        <v>0</v>
      </c>
      <c r="T123" s="19">
        <f>IFERROR(VLOOKUP($A123,'[1]Donor-Served OBs'!A:N,12,0),0)</f>
        <v>0</v>
      </c>
      <c r="U123" s="19">
        <f>ROUNDUP(IF(A123=0,0,IF(A123=0,0,IFERROR(VLOOKUP($A123,'[1]Donor''s Assigned Kilos'!A:O,7,0),0))),0)</f>
        <v>0</v>
      </c>
      <c r="V123" s="19">
        <f>IF(A123=0,0,IFERROR(SUMIFS([1]Population!Q:Q,[1]Population!J:J,'MASTER-2025'!A123),0))</f>
        <v>0</v>
      </c>
      <c r="W123" s="20">
        <f>IFERROR(VLOOKUP($A123,'[1]Donor-Served OBs'!A:N,10,0),0)</f>
        <v>0</v>
      </c>
      <c r="X123" s="20">
        <f>ROUNDUP(IF(A123=0,0,IFERROR(VLOOKUP($A123,'[1]Donor''s Assigned Kilos'!A:N,5,0),0)),0)</f>
        <v>0</v>
      </c>
      <c r="Y123" s="20">
        <f>IF(A123=0,0,IFERROR(SUMIFS([1]Population!O:O,[1]Population!J:J,'MASTER-2025'!A123),0))</f>
        <v>0</v>
      </c>
      <c r="Z123" s="18">
        <f>IFERROR(VLOOKUP($A123,'[1]Donor-Served OBs'!A:N,6,0),0)</f>
        <v>0</v>
      </c>
      <c r="AA123" s="18">
        <f>ROUNDUP(IF(A123=0,0,IFERROR(VLOOKUP($A123,'[1]Donor''s Assigned Kilos'!A:N,11,0),0)),0)</f>
        <v>0</v>
      </c>
      <c r="AB123" s="18">
        <f>IF(A123=0,0,IFERROR(SUMIFS([1]Population!U:U,[1]Population!J:J,'MASTER-2025'!A123),0))</f>
        <v>0</v>
      </c>
      <c r="AC123" s="19">
        <f>IFERROR(VLOOKUP($A123,'[1]Donor-Served OBs'!A:N,7,0),0)</f>
        <v>0</v>
      </c>
      <c r="AD123" s="19">
        <f>ROUNDUP(IF(A123=0,0,IFERROR(VLOOKUP($A123,'[1]Donor''s Assigned Kilos'!A:N,8,0),0)),0)</f>
        <v>0</v>
      </c>
      <c r="AE123" s="19">
        <f>IF(A123=0,0,IFERROR(SUMIFS([1]Population!R:R,[1]Population!J:J,'MASTER-2025'!A123),0))</f>
        <v>0</v>
      </c>
      <c r="AF123" s="20">
        <f>IFERROR(VLOOKUP($A123,'[1]Donor-Served OBs'!A:N,8,0),0)</f>
        <v>0</v>
      </c>
      <c r="AG123" s="20">
        <f>ROUNDUP(IF(A123=0,0,IFERROR(VLOOKUP($A123,'[1]Donor''s Assigned Kilos'!A:N,6,0),0)),0)</f>
        <v>0</v>
      </c>
      <c r="AH123" s="20">
        <f>IF(A123=0,0,IFERROR(SUMIFS([1]Population!P:P,[1]Population!J:J,'MASTER-2025'!A123),0))</f>
        <v>0</v>
      </c>
      <c r="AI123" s="18">
        <f>IFERROR(VLOOKUP($A123,'[1]Donor-Served OBs'!A:N,9,0),0)</f>
        <v>0</v>
      </c>
      <c r="AJ123" s="18">
        <f>ROUNDUP(IF(A123=0,0,IFERROR(VLOOKUP($A123,'[1]Donor''s Assigned Kilos'!A:N,12,0),0)),0)</f>
        <v>0</v>
      </c>
      <c r="AK123" s="18">
        <f>IF(A123=0,0,IFERROR(SUMIFS([1]Population!V:V,[1]Population!J:J,'MASTER-2025'!A123),0))</f>
        <v>0</v>
      </c>
      <c r="AL123" s="19">
        <f>IFERROR(VLOOKUP($A123,'[1]Donor-Served OBs'!A:N,16,0),0)</f>
        <v>0</v>
      </c>
      <c r="AM123" s="19">
        <f>ROUNDUP(IF(A123=0,0,IFERROR(VLOOKUP($A123,'[1]Donor''s Assigned Kilos'!A:O,16,0),0)),0)</f>
        <v>0</v>
      </c>
      <c r="AN123" s="19">
        <f>IF(A123=0,0,IFERROR(SUMIFS([1]Population!Z:Z,[1]Population!J:J,'MASTER-2025'!A123),0))</f>
        <v>0</v>
      </c>
      <c r="AO123" s="20">
        <f>IFERROR(VLOOKUP($A123,'[1]Donor-Served OBs'!A:N,11,0),0)</f>
        <v>0</v>
      </c>
      <c r="AP123" s="20">
        <f>ROUNDUP(IF(A123=0,0,IFERROR(VLOOKUP($A123,'[1]Donor''s Assigned Kilos'!A:N,13,0),0)),0)</f>
        <v>0</v>
      </c>
      <c r="AQ123" s="20">
        <f>IF(A123=0,0,IFERROR(SUMIFS([1]Population!W:W,[1]Population!J:J,'MASTER-2025'!A123),0))</f>
        <v>0</v>
      </c>
      <c r="AR123" s="18">
        <f>IFERROR(VLOOKUP($A123,'[1]Donor-Served OBs'!A:N,5,0),0)</f>
        <v>0</v>
      </c>
      <c r="AS123" s="18">
        <f>ROUNDUP(IF(A123=0,0,IFERROR(VLOOKUP($A123,'[1]Donor''s Assigned Kilos'!A:N,10,0),0)),0)</f>
        <v>0</v>
      </c>
      <c r="AT123" s="18">
        <f>IF(A123=0,0,IFERROR(SUMIFS([1]Population!T:T,[1]Population!J:J,'MASTER-2025'!A123),0))</f>
        <v>0</v>
      </c>
      <c r="AU123" s="19">
        <f>IFERROR(VLOOKUP($A123,'[1]Donor-Served OBs'!A:N,13,0),0)</f>
        <v>0</v>
      </c>
      <c r="AV123" s="19">
        <f>ROUNDUP(IF(A123=0,0,IFERROR(VLOOKUP($A123,'[1]Donor''s Assigned Kilos'!A:N,14,0),0)),0)</f>
        <v>0</v>
      </c>
      <c r="AW123" s="19">
        <f>IF(A123=0,0,IFERROR(SUMIFS([1]Population!X:X,[1]Population!J:J,'MASTER-2025'!A123),0))</f>
        <v>0</v>
      </c>
      <c r="AX123" s="20">
        <f>IFERROR(VLOOKUP($A123,'[1]Donor-Served OBs'!A:N,16,0),0)</f>
        <v>0</v>
      </c>
      <c r="AY123" s="20">
        <f>ROUNDUP(IF(A123=0,0,IFERROR(VLOOKUP($A123,'[1]Donor''s Assigned Kilos'!A:O,16,0),0)),0)</f>
        <v>0</v>
      </c>
      <c r="AZ123" s="20">
        <f>IF(A123=0,0,IFERROR(SUMIFS([1]Population!Y:Y,[1]Population!J:J,'MASTER-2025'!A123),0))</f>
        <v>0</v>
      </c>
      <c r="BA123" s="21">
        <f t="shared" si="43"/>
        <v>0</v>
      </c>
      <c r="BB123" s="21">
        <f t="shared" si="42"/>
        <v>0</v>
      </c>
      <c r="BC123" s="21">
        <f t="shared" si="39"/>
        <v>0</v>
      </c>
      <c r="BD123" s="21">
        <f t="shared" si="44"/>
        <v>0</v>
      </c>
      <c r="BE123" s="22" t="e">
        <f>IF(A123=0,0,SUMIFS([1]Population!C:C,[1]Population!A:A,'MASTER-2025'!A123))</f>
        <v>#VALUE!</v>
      </c>
      <c r="BF123" s="22" t="e">
        <f>IF(A123=0,0,SUMIFS([1]Population!D:D,[1]Population!A:A,'MASTER-2025'!A123))</f>
        <v>#VALUE!</v>
      </c>
      <c r="BG123" s="22" t="e">
        <f>IF(A123=0,0,SUMIFS([1]Population!E:E,[1]Population!A:A,'MASTER-2025'!A123))</f>
        <v>#VALUE!</v>
      </c>
      <c r="BH123" s="22" t="e">
        <f>IF(A123=0,0,SUMIFS([1]Population!F:F,[1]Population!A:A,'MASTER-2025'!A123))</f>
        <v>#VALUE!</v>
      </c>
      <c r="BI123" s="22" t="e">
        <f t="shared" si="35"/>
        <v>#VALUE!</v>
      </c>
      <c r="BJ123" s="23" t="e">
        <f t="shared" si="30"/>
        <v>#VALUE!</v>
      </c>
      <c r="BK123" s="22" t="e">
        <f>IF(A123=0,0,SUMIFS([1]Population!G:G,[1]Population!A:A,'MASTER-2025'!A123))</f>
        <v>#VALUE!</v>
      </c>
      <c r="BL123" s="24" cm="1">
        <f t="array" ref="BL123:BW123">IFERROR(VLOOKUP(A123,'[1]Now-OB-kg-POB-25'!A:AQ,{3,4,5,6,7,8,9,10,11,12,13,14},0),0)</f>
        <v>0</v>
      </c>
      <c r="BM123" s="24">
        <v>47</v>
      </c>
      <c r="BN123" s="24">
        <v>0</v>
      </c>
      <c r="BO123" s="24">
        <v>0</v>
      </c>
      <c r="BP123" s="24">
        <v>0</v>
      </c>
      <c r="BQ123" s="24">
        <v>0</v>
      </c>
      <c r="BR123" s="24">
        <v>0</v>
      </c>
      <c r="BS123" s="24">
        <v>0</v>
      </c>
      <c r="BT123" s="24">
        <v>0</v>
      </c>
      <c r="BU123" s="24">
        <v>0</v>
      </c>
      <c r="BV123" s="24">
        <v>0</v>
      </c>
      <c r="BW123" s="24">
        <v>0</v>
      </c>
      <c r="BX123" s="24">
        <f t="shared" si="31"/>
        <v>47</v>
      </c>
      <c r="BY123" s="25" cm="1">
        <f t="array" ref="BY123:CJ123">IFERROR(VLOOKUP(A123,'[1]Now-OB-kg-POB-25'!A:AQ,{17,18,19,20,21,22,23,24,25,26,27,28},0),0)</f>
        <v>281</v>
      </c>
      <c r="BZ123" s="25">
        <v>0</v>
      </c>
      <c r="CA123" s="25">
        <v>0</v>
      </c>
      <c r="CB123" s="25">
        <v>0</v>
      </c>
      <c r="CC123" s="25">
        <v>0</v>
      </c>
      <c r="CD123" s="25">
        <v>0</v>
      </c>
      <c r="CE123" s="25">
        <v>0</v>
      </c>
      <c r="CF123" s="25">
        <v>0</v>
      </c>
      <c r="CG123" s="25">
        <v>0</v>
      </c>
      <c r="CH123" s="25">
        <v>0</v>
      </c>
      <c r="CI123" s="25">
        <v>0</v>
      </c>
      <c r="CJ123" s="25">
        <v>0</v>
      </c>
      <c r="CK123" s="25">
        <f t="shared" si="32"/>
        <v>281</v>
      </c>
      <c r="CL123" s="26" cm="1">
        <f t="array" ref="CL123:CW123">IFERROR(VLOOKUP(A123,'[1]Now-OB-kg-POB-25'!A:AQ,{31,32,33,34,35,36,37,38,39,40,41,42},0),0)</f>
        <v>0</v>
      </c>
      <c r="CM123" s="26">
        <v>17506</v>
      </c>
      <c r="CN123" s="26">
        <v>0</v>
      </c>
      <c r="CO123" s="26">
        <v>0</v>
      </c>
      <c r="CP123" s="26">
        <v>0</v>
      </c>
      <c r="CQ123" s="26">
        <v>0</v>
      </c>
      <c r="CR123" s="26">
        <v>0</v>
      </c>
      <c r="CS123" s="26">
        <v>0</v>
      </c>
      <c r="CT123" s="26">
        <v>0</v>
      </c>
      <c r="CU123" s="26">
        <v>0</v>
      </c>
      <c r="CV123" s="26">
        <v>0</v>
      </c>
      <c r="CW123" s="26">
        <v>0</v>
      </c>
      <c r="CX123" s="26">
        <f t="shared" si="33"/>
        <v>17506</v>
      </c>
      <c r="CY123" s="14" t="str">
        <f>IF(A123=0,0,IFERROR(VLOOKUP(A123,'[1]Info Donantes'!C:F,2,0),"Sin Contacto"))</f>
        <v>Sin Contacto</v>
      </c>
      <c r="CZ123" s="14" t="str">
        <f>IF(A123=0,0,IFERROR(VLOOKUP(A123,'[1]Info Donantes'!C:F,3,0),"Sin Correo"))</f>
        <v>Sin Correo</v>
      </c>
      <c r="DA123" s="14" t="str">
        <f>IF(A123=0,0,IFERROR(VLOOKUP(A123,'[1]Info Donantes'!C:F,4,0),"Sin Telefono"))</f>
        <v>Sin Telefono</v>
      </c>
      <c r="DB123" s="14" t="str">
        <f>IF(A123=0,0,"Reporte de Trazabiidad"&amp;" - "&amp;'[1]Donor Summary'!$C$2&amp;" - "&amp;A123&amp;"")</f>
        <v>Reporte de Trazabiidad -  - GRUPO NIJAR S.A.</v>
      </c>
    </row>
    <row r="124" spans="1:106" x14ac:dyDescent="0.55000000000000004">
      <c r="A124" s="14" t="s">
        <v>284</v>
      </c>
      <c r="B124" s="33">
        <f>INT(IFERROR(VLOOKUP(A124,'[1]Donor Summary'!C:F,3,0),0))</f>
        <v>0</v>
      </c>
      <c r="C124" s="15">
        <f>INT(ROUND(IFERROR(VLOOKUP(A124,'[1]Donor Summary'!C:F,4,0),0),1))</f>
        <v>0</v>
      </c>
      <c r="D124" s="16">
        <f t="shared" si="36"/>
        <v>0</v>
      </c>
      <c r="E124" s="17" t="str">
        <f t="shared" si="37"/>
        <v>0.00%</v>
      </c>
      <c r="F124" s="17" t="str">
        <f t="shared" si="38"/>
        <v>0.0%</v>
      </c>
      <c r="G124" s="15">
        <f t="shared" si="40"/>
        <v>0</v>
      </c>
      <c r="H124" s="18"/>
      <c r="I124" s="18">
        <f>IFERROR(VLOOKUP(A124,'[1]Lot All by Part'!T:Y,6,0),0)</f>
        <v>0</v>
      </c>
      <c r="J124" s="18"/>
      <c r="K124" s="19">
        <f>IFERROR(VLOOKUP($A124,'[1]Donor-Served OBs'!A:N,3,0),0)</f>
        <v>0</v>
      </c>
      <c r="L124" s="19">
        <f>ROUNDUP(IF(A124=0,0,IFERROR(VLOOKUP($A124,'[1]Donor''s Assigned Kilos'!A:O,3,0),0)),0)</f>
        <v>0</v>
      </c>
      <c r="M124" s="19">
        <f>IF(A124=0,0,IFERROR(SUMIFS([1]Population!M:M,[1]Population!J:J,'MASTER-2025'!A124),0))</f>
        <v>0</v>
      </c>
      <c r="N124" s="20">
        <f>IFERROR(VLOOKUP($A124,'[1]Donor-Served OBs'!A:N,4,0),0)</f>
        <v>0</v>
      </c>
      <c r="O124" s="20">
        <f>ROUNDUP(IF(A124=0,0,IFERROR(VLOOKUP($A124,'[1]Donor''s Assigned Kilos'!A:O,4,0),0)),0)</f>
        <v>0</v>
      </c>
      <c r="P124" s="20">
        <f>IF(A124=0,0,IFERROR(SUMIFS([1]Population!N:N,[1]Population!J:J,'MASTER-2025'!A124),0))</f>
        <v>0</v>
      </c>
      <c r="Q124" s="18">
        <f>IFERROR(VLOOKUP($A124,'[1]Donor-Served OBs'!A:N,2,0),0)</f>
        <v>0</v>
      </c>
      <c r="R124" s="18">
        <f>ROUNDUP(ROUND(IF(A124=0,0,IFERROR(VLOOKUP($A124,'[1]Donor''s Assigned Kilos'!A:O,9,0),0)),1),0)</f>
        <v>0</v>
      </c>
      <c r="S124" s="18">
        <f>IF(A124=0,0,IFERROR(SUMIFS([1]Population!S:S,[1]Population!J:J,'MASTER-2025'!A124),0))</f>
        <v>0</v>
      </c>
      <c r="T124" s="19">
        <f>IFERROR(VLOOKUP($A124,'[1]Donor-Served OBs'!A:N,12,0),0)</f>
        <v>0</v>
      </c>
      <c r="U124" s="19">
        <f>ROUNDUP(IF(A124=0,0,IF(A124=0,0,IFERROR(VLOOKUP($A124,'[1]Donor''s Assigned Kilos'!A:O,7,0),0))),0)</f>
        <v>0</v>
      </c>
      <c r="V124" s="19">
        <f>IF(A124=0,0,IFERROR(SUMIFS([1]Population!Q:Q,[1]Population!J:J,'MASTER-2025'!A124),0))</f>
        <v>0</v>
      </c>
      <c r="W124" s="20">
        <f>IFERROR(VLOOKUP($A124,'[1]Donor-Served OBs'!A:N,10,0),0)</f>
        <v>0</v>
      </c>
      <c r="X124" s="20">
        <f>ROUNDUP(IF(A124=0,0,IFERROR(VLOOKUP($A124,'[1]Donor''s Assigned Kilos'!A:N,5,0),0)),0)</f>
        <v>0</v>
      </c>
      <c r="Y124" s="20">
        <f>IF(A124=0,0,IFERROR(SUMIFS([1]Population!O:O,[1]Population!J:J,'MASTER-2025'!A124),0))</f>
        <v>0</v>
      </c>
      <c r="Z124" s="18">
        <f>IFERROR(VLOOKUP($A124,'[1]Donor-Served OBs'!A:N,6,0),0)</f>
        <v>0</v>
      </c>
      <c r="AA124" s="18">
        <f>ROUNDUP(IF(A124=0,0,IFERROR(VLOOKUP($A124,'[1]Donor''s Assigned Kilos'!A:N,11,0),0)),0)</f>
        <v>0</v>
      </c>
      <c r="AB124" s="18">
        <f>IF(A124=0,0,IFERROR(SUMIFS([1]Population!U:U,[1]Population!J:J,'MASTER-2025'!A124),0))</f>
        <v>0</v>
      </c>
      <c r="AC124" s="19">
        <f>IFERROR(VLOOKUP($A124,'[1]Donor-Served OBs'!A:N,7,0),0)</f>
        <v>0</v>
      </c>
      <c r="AD124" s="19">
        <f>ROUNDUP(IF(A124=0,0,IFERROR(VLOOKUP($A124,'[1]Donor''s Assigned Kilos'!A:N,8,0),0)),0)</f>
        <v>0</v>
      </c>
      <c r="AE124" s="19">
        <f>IF(A124=0,0,IFERROR(SUMIFS([1]Population!R:R,[1]Population!J:J,'MASTER-2025'!A124),0))</f>
        <v>0</v>
      </c>
      <c r="AF124" s="20">
        <f>IFERROR(VLOOKUP($A124,'[1]Donor-Served OBs'!A:N,8,0),0)</f>
        <v>0</v>
      </c>
      <c r="AG124" s="20">
        <f>ROUNDUP(IF(A124=0,0,IFERROR(VLOOKUP($A124,'[1]Donor''s Assigned Kilos'!A:N,6,0),0)),0)</f>
        <v>0</v>
      </c>
      <c r="AH124" s="20">
        <f>IF(A124=0,0,IFERROR(SUMIFS([1]Population!P:P,[1]Population!J:J,'MASTER-2025'!A124),0))</f>
        <v>0</v>
      </c>
      <c r="AI124" s="18">
        <f>IFERROR(VLOOKUP($A124,'[1]Donor-Served OBs'!A:N,9,0),0)</f>
        <v>0</v>
      </c>
      <c r="AJ124" s="18">
        <f>ROUNDUP(IF(A124=0,0,IFERROR(VLOOKUP($A124,'[1]Donor''s Assigned Kilos'!A:N,12,0),0)),0)</f>
        <v>0</v>
      </c>
      <c r="AK124" s="18">
        <f>IF(A124=0,0,IFERROR(SUMIFS([1]Population!V:V,[1]Population!J:J,'MASTER-2025'!A124),0))</f>
        <v>0</v>
      </c>
      <c r="AL124" s="19">
        <f>IFERROR(VLOOKUP($A124,'[1]Donor-Served OBs'!A:N,16,0),0)</f>
        <v>0</v>
      </c>
      <c r="AM124" s="19">
        <f>ROUNDUP(IF(A124=0,0,IFERROR(VLOOKUP($A124,'[1]Donor''s Assigned Kilos'!A:O,16,0),0)),0)</f>
        <v>0</v>
      </c>
      <c r="AN124" s="19">
        <f>IF(A124=0,0,IFERROR(SUMIFS([1]Population!Z:Z,[1]Population!J:J,'MASTER-2025'!A124),0))</f>
        <v>0</v>
      </c>
      <c r="AO124" s="20">
        <f>IFERROR(VLOOKUP($A124,'[1]Donor-Served OBs'!A:N,11,0),0)</f>
        <v>0</v>
      </c>
      <c r="AP124" s="20">
        <f>ROUNDUP(IF(A124=0,0,IFERROR(VLOOKUP($A124,'[1]Donor''s Assigned Kilos'!A:N,13,0),0)),0)</f>
        <v>0</v>
      </c>
      <c r="AQ124" s="20">
        <f>IF(A124=0,0,IFERROR(SUMIFS([1]Population!W:W,[1]Population!J:J,'MASTER-2025'!A124),0))</f>
        <v>0</v>
      </c>
      <c r="AR124" s="18">
        <f>IFERROR(VLOOKUP($A124,'[1]Donor-Served OBs'!A:N,5,0),0)</f>
        <v>0</v>
      </c>
      <c r="AS124" s="18">
        <f>ROUNDUP(IF(A124=0,0,IFERROR(VLOOKUP($A124,'[1]Donor''s Assigned Kilos'!A:N,10,0),0)),0)</f>
        <v>0</v>
      </c>
      <c r="AT124" s="18">
        <f>IF(A124=0,0,IFERROR(SUMIFS([1]Population!T:T,[1]Population!J:J,'MASTER-2025'!A124),0))</f>
        <v>0</v>
      </c>
      <c r="AU124" s="19">
        <f>IFERROR(VLOOKUP($A124,'[1]Donor-Served OBs'!A:N,13,0),0)</f>
        <v>0</v>
      </c>
      <c r="AV124" s="19">
        <f>ROUNDUP(IF(A124=0,0,IFERROR(VLOOKUP($A124,'[1]Donor''s Assigned Kilos'!A:N,14,0),0)),0)</f>
        <v>0</v>
      </c>
      <c r="AW124" s="19">
        <f>IF(A124=0,0,IFERROR(SUMIFS([1]Population!X:X,[1]Population!J:J,'MASTER-2025'!A124),0))</f>
        <v>0</v>
      </c>
      <c r="AX124" s="20">
        <f>IFERROR(VLOOKUP($A124,'[1]Donor-Served OBs'!A:N,16,0),0)</f>
        <v>0</v>
      </c>
      <c r="AY124" s="20">
        <f>ROUNDUP(IF(A124=0,0,IFERROR(VLOOKUP($A124,'[1]Donor''s Assigned Kilos'!A:O,16,0),0)),0)</f>
        <v>0</v>
      </c>
      <c r="AZ124" s="20">
        <f>IF(A124=0,0,IFERROR(SUMIFS([1]Population!Y:Y,[1]Population!J:J,'MASTER-2025'!A124),0))</f>
        <v>0</v>
      </c>
      <c r="BA124" s="21">
        <f t="shared" si="43"/>
        <v>0</v>
      </c>
      <c r="BB124" s="21">
        <f t="shared" si="42"/>
        <v>0</v>
      </c>
      <c r="BC124" s="21">
        <f t="shared" si="39"/>
        <v>0</v>
      </c>
      <c r="BD124" s="21">
        <f t="shared" si="44"/>
        <v>0</v>
      </c>
      <c r="BE124" s="22" t="e">
        <f>IF(A124=0,0,SUMIFS([1]Population!C:C,[1]Population!A:A,'MASTER-2025'!A124))</f>
        <v>#VALUE!</v>
      </c>
      <c r="BF124" s="22" t="e">
        <f>IF(A124=0,0,SUMIFS([1]Population!D:D,[1]Population!A:A,'MASTER-2025'!A124))</f>
        <v>#VALUE!</v>
      </c>
      <c r="BG124" s="22" t="e">
        <f>IF(A124=0,0,SUMIFS([1]Population!E:E,[1]Population!A:A,'MASTER-2025'!A124))</f>
        <v>#VALUE!</v>
      </c>
      <c r="BH124" s="22" t="e">
        <f>IF(A124=0,0,SUMIFS([1]Population!F:F,[1]Population!A:A,'MASTER-2025'!A124))</f>
        <v>#VALUE!</v>
      </c>
      <c r="BI124" s="22" t="e">
        <f t="shared" si="35"/>
        <v>#VALUE!</v>
      </c>
      <c r="BJ124" s="23" t="e">
        <f t="shared" si="30"/>
        <v>#VALUE!</v>
      </c>
      <c r="BK124" s="22" t="e">
        <f>IF(A124=0,0,SUMIFS([1]Population!G:G,[1]Population!A:A,'MASTER-2025'!A124))</f>
        <v>#VALUE!</v>
      </c>
      <c r="BL124" s="24" cm="1">
        <f t="array" ref="BL124">IFERROR(VLOOKUP(A124,'[1]Now-OB-kg-POB-25'!A:AQ,{3,4,5,6,7,8,9,10,11,12,13,14},0),0)</f>
        <v>0</v>
      </c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>
        <f t="shared" si="31"/>
        <v>0</v>
      </c>
      <c r="BY124" s="25" cm="1">
        <f t="array" ref="BY124">IFERROR(VLOOKUP(A124,'[1]Now-OB-kg-POB-25'!A:AQ,{17,18,19,20,21,22,23,24,25,26,27,28},0),0)</f>
        <v>0</v>
      </c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>
        <f t="shared" si="32"/>
        <v>0</v>
      </c>
      <c r="CL124" s="26" cm="1">
        <f t="array" ref="CL124">IFERROR(VLOOKUP(A124,'[1]Now-OB-kg-POB-25'!A:AQ,{31,32,33,34,35,36,37,38,39,40,41,42},0),0)</f>
        <v>0</v>
      </c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>
        <f t="shared" si="33"/>
        <v>0</v>
      </c>
      <c r="CY124" s="14" t="str">
        <f>IF(A124=0,0,IFERROR(VLOOKUP(A124,'[1]Info Donantes'!C:F,2,0),"Sin Contacto"))</f>
        <v>Fatima Agy Coelho</v>
      </c>
      <c r="CZ124" s="14" t="str">
        <f>IF(A124=0,0,IFERROR(VLOOKUP(A124,'[1]Info Donantes'!C:F,3,0),"Sin Correo"))</f>
        <v>fatimaagy.coelho@loreal.com</v>
      </c>
      <c r="DA124" s="14" t="str">
        <f>IF(A124=0,0,IFERROR(VLOOKUP(A124,'[1]Info Donantes'!C:F,4,0),"Sin Telefono"))</f>
        <v>302-25828</v>
      </c>
      <c r="DB124" s="14" t="str">
        <f>IF(A124=0,0,"Reporte de Trazabiidad"&amp;" - "&amp;'[1]Donor Summary'!$C$2&amp;" - "&amp;A124&amp;"")</f>
        <v>Reporte de Trazabiidad -  - L?Oréal Panamá Comercial, S. A</v>
      </c>
    </row>
    <row r="125" spans="1:106" x14ac:dyDescent="0.55000000000000004">
      <c r="A125" s="14" t="s">
        <v>285</v>
      </c>
      <c r="B125" s="33">
        <f>INT(IFERROR(VLOOKUP(A125,'[1]Donor Summary'!C:F,3,0),0))</f>
        <v>105</v>
      </c>
      <c r="C125" s="15">
        <f>INT(ROUND(IFERROR(VLOOKUP(A125,'[1]Donor Summary'!C:F,4,0),0),1))</f>
        <v>9754</v>
      </c>
      <c r="D125" s="16">
        <f t="shared" si="36"/>
        <v>9649</v>
      </c>
      <c r="E125" s="17" t="str">
        <f t="shared" si="37"/>
        <v>98.92%</v>
      </c>
      <c r="F125" s="17" t="str">
        <f t="shared" si="38"/>
        <v>1.1%</v>
      </c>
      <c r="G125" s="15">
        <f t="shared" si="40"/>
        <v>28947</v>
      </c>
      <c r="H125" s="18"/>
      <c r="I125" s="18">
        <f>IFERROR(VLOOKUP(A125,'[1]Lot All by Part'!T:Y,6,0),0)</f>
        <v>0</v>
      </c>
      <c r="J125" s="18"/>
      <c r="K125" s="19">
        <f>IFERROR(VLOOKUP($A125,'[1]Donor-Served OBs'!A:N,3,0),0)</f>
        <v>11</v>
      </c>
      <c r="L125" s="19">
        <f>ROUNDUP(IF(A125=0,0,IFERROR(VLOOKUP($A125,'[1]Donor''s Assigned Kilos'!A:O,3,0),0)),0)</f>
        <v>994</v>
      </c>
      <c r="M125" s="19">
        <f>IF(A125=0,0,IFERROR(SUMIFS([1]Population!M:M,[1]Population!J:J,'MASTER-2025'!A125),0))</f>
        <v>0</v>
      </c>
      <c r="N125" s="20">
        <f>IFERROR(VLOOKUP($A125,'[1]Donor-Served OBs'!A:N,4,0),0)</f>
        <v>22</v>
      </c>
      <c r="O125" s="20">
        <f>ROUNDUP(IF(A125=0,0,IFERROR(VLOOKUP($A125,'[1]Donor''s Assigned Kilos'!A:O,4,0),0)),0)</f>
        <v>3364</v>
      </c>
      <c r="P125" s="20">
        <f>IF(A125=0,0,IFERROR(SUMIFS([1]Population!N:N,[1]Population!J:J,'MASTER-2025'!A125),0))</f>
        <v>0</v>
      </c>
      <c r="Q125" s="18">
        <f>IFERROR(VLOOKUP($A125,'[1]Donor-Served OBs'!A:N,2,0),0)</f>
        <v>3</v>
      </c>
      <c r="R125" s="18">
        <f>ROUNDUP(ROUND(IF(A125=0,0,IFERROR(VLOOKUP($A125,'[1]Donor''s Assigned Kilos'!A:O,9,0),0)),1),0)</f>
        <v>232</v>
      </c>
      <c r="S125" s="18">
        <f>IF(A125=0,0,IFERROR(SUMIFS([1]Population!S:S,[1]Population!J:J,'MASTER-2025'!A125),0))</f>
        <v>0</v>
      </c>
      <c r="T125" s="19">
        <f>IFERROR(VLOOKUP($A125,'[1]Donor-Served OBs'!A:N,12,0),0)</f>
        <v>3</v>
      </c>
      <c r="U125" s="19">
        <f>ROUNDUP(IF(A125=0,0,IF(A125=0,0,IFERROR(VLOOKUP($A125,'[1]Donor''s Assigned Kilos'!A:O,7,0),0))),0)</f>
        <v>280</v>
      </c>
      <c r="V125" s="19">
        <f>IF(A125=0,0,IFERROR(SUMIFS([1]Population!Q:Q,[1]Population!J:J,'MASTER-2025'!A125),0))</f>
        <v>0</v>
      </c>
      <c r="W125" s="20">
        <f>IFERROR(VLOOKUP($A125,'[1]Donor-Served OBs'!A:N,10,0),0)</f>
        <v>6</v>
      </c>
      <c r="X125" s="20">
        <f>ROUNDUP(IF(A125=0,0,IFERROR(VLOOKUP($A125,'[1]Donor''s Assigned Kilos'!A:N,5,0),0)),0)</f>
        <v>528</v>
      </c>
      <c r="Y125" s="20">
        <f>IF(A125=0,0,IFERROR(SUMIFS([1]Population!O:O,[1]Population!J:J,'MASTER-2025'!A125),0))</f>
        <v>0</v>
      </c>
      <c r="Z125" s="18">
        <f>IFERROR(VLOOKUP($A125,'[1]Donor-Served OBs'!A:N,6,0),0)</f>
        <v>4</v>
      </c>
      <c r="AA125" s="18">
        <f>ROUNDUP(IF(A125=0,0,IFERROR(VLOOKUP($A125,'[1]Donor''s Assigned Kilos'!A:N,11,0),0)),0)</f>
        <v>1341</v>
      </c>
      <c r="AB125" s="18">
        <f>IF(A125=0,0,IFERROR(SUMIFS([1]Population!U:U,[1]Population!J:J,'MASTER-2025'!A125),0))</f>
        <v>0</v>
      </c>
      <c r="AC125" s="19">
        <f>IFERROR(VLOOKUP($A125,'[1]Donor-Served OBs'!A:N,7,0),0)</f>
        <v>3</v>
      </c>
      <c r="AD125" s="19">
        <f>ROUNDUP(IF(A125=0,0,IFERROR(VLOOKUP($A125,'[1]Donor''s Assigned Kilos'!A:N,8,0),0)),0)</f>
        <v>680</v>
      </c>
      <c r="AE125" s="19">
        <f>IF(A125=0,0,IFERROR(SUMIFS([1]Population!R:R,[1]Population!J:J,'MASTER-2025'!A125),0))</f>
        <v>0</v>
      </c>
      <c r="AF125" s="20">
        <f>IFERROR(VLOOKUP($A125,'[1]Donor-Served OBs'!A:N,8,0),0)</f>
        <v>1</v>
      </c>
      <c r="AG125" s="20">
        <f>ROUNDUP(IF(A125=0,0,IFERROR(VLOOKUP($A125,'[1]Donor''s Assigned Kilos'!A:N,6,0),0)),0)</f>
        <v>20</v>
      </c>
      <c r="AH125" s="20">
        <f>IF(A125=0,0,IFERROR(SUMIFS([1]Population!P:P,[1]Population!J:J,'MASTER-2025'!A125),0))</f>
        <v>0</v>
      </c>
      <c r="AI125" s="18">
        <f>IFERROR(VLOOKUP($A125,'[1]Donor-Served OBs'!A:N,9,0),0)</f>
        <v>2</v>
      </c>
      <c r="AJ125" s="18">
        <f>ROUNDUP(IF(A125=0,0,IFERROR(VLOOKUP($A125,'[1]Donor''s Assigned Kilos'!A:N,12,0),0)),0)</f>
        <v>389</v>
      </c>
      <c r="AK125" s="18">
        <f>IF(A125=0,0,IFERROR(SUMIFS([1]Population!V:V,[1]Population!J:J,'MASTER-2025'!A125),0))</f>
        <v>0</v>
      </c>
      <c r="AL125" s="19">
        <f>IFERROR(VLOOKUP($A125,'[1]Donor-Served OBs'!A:N,16,0),0)</f>
        <v>0</v>
      </c>
      <c r="AM125" s="19">
        <f>ROUNDUP(IF(A125=0,0,IFERROR(VLOOKUP($A125,'[1]Donor''s Assigned Kilos'!A:O,16,0),0)),0)</f>
        <v>0</v>
      </c>
      <c r="AN125" s="19">
        <f>IF(A125=0,0,IFERROR(SUMIFS([1]Population!Z:Z,[1]Population!J:J,'MASTER-2025'!A125),0))</f>
        <v>0</v>
      </c>
      <c r="AO125" s="20">
        <f>IFERROR(VLOOKUP($A125,'[1]Donor-Served OBs'!A:N,11,0),0)</f>
        <v>3</v>
      </c>
      <c r="AP125" s="20">
        <f>ROUNDUP(IF(A125=0,0,IFERROR(VLOOKUP($A125,'[1]Donor''s Assigned Kilos'!A:N,13,0),0)),0)</f>
        <v>844</v>
      </c>
      <c r="AQ125" s="20">
        <f>IF(A125=0,0,IFERROR(SUMIFS([1]Population!W:W,[1]Population!J:J,'MASTER-2025'!A125),0))</f>
        <v>0</v>
      </c>
      <c r="AR125" s="18">
        <f>IFERROR(VLOOKUP($A125,'[1]Donor-Served OBs'!A:N,5,0),0)</f>
        <v>10</v>
      </c>
      <c r="AS125" s="18">
        <f>ROUNDUP(IF(A125=0,0,IFERROR(VLOOKUP($A125,'[1]Donor''s Assigned Kilos'!A:N,10,0),0)),0)</f>
        <v>2991</v>
      </c>
      <c r="AT125" s="18">
        <f>IF(A125=0,0,IFERROR(SUMIFS([1]Population!T:T,[1]Population!J:J,'MASTER-2025'!A125),0))</f>
        <v>0</v>
      </c>
      <c r="AU125" s="19">
        <f>IFERROR(VLOOKUP($A125,'[1]Donor-Served OBs'!A:N,13,0),0)</f>
        <v>0</v>
      </c>
      <c r="AV125" s="19">
        <f>ROUNDUP(IF(A125=0,0,IFERROR(VLOOKUP($A125,'[1]Donor''s Assigned Kilos'!A:N,14,0),0)),0)</f>
        <v>0</v>
      </c>
      <c r="AW125" s="19">
        <f>IF(A125=0,0,IFERROR(SUMIFS([1]Population!X:X,[1]Population!J:J,'MASTER-2025'!A125),0))</f>
        <v>0</v>
      </c>
      <c r="AX125" s="20">
        <f>IFERROR(VLOOKUP($A125,'[1]Donor-Served OBs'!A:N,16,0),0)</f>
        <v>0</v>
      </c>
      <c r="AY125" s="20">
        <f>ROUNDUP(IF(A125=0,0,IFERROR(VLOOKUP($A125,'[1]Donor''s Assigned Kilos'!A:O,16,0),0)),0)</f>
        <v>0</v>
      </c>
      <c r="AZ125" s="20">
        <f>IF(A125=0,0,IFERROR(SUMIFS([1]Population!Y:Y,[1]Population!J:J,'MASTER-2025'!A125),0))</f>
        <v>0</v>
      </c>
      <c r="BA125" s="21">
        <f t="shared" si="43"/>
        <v>68</v>
      </c>
      <c r="BB125" s="21">
        <f t="shared" si="42"/>
        <v>11663</v>
      </c>
      <c r="BC125" s="21">
        <f t="shared" si="39"/>
        <v>4870</v>
      </c>
      <c r="BD125" s="21">
        <f t="shared" si="44"/>
        <v>0</v>
      </c>
      <c r="BE125" s="22" t="e">
        <f>IF(A125=0,0,SUMIFS([1]Population!C:C,[1]Population!A:A,'MASTER-2025'!A125))</f>
        <v>#VALUE!</v>
      </c>
      <c r="BF125" s="22" t="e">
        <f>IF(A125=0,0,SUMIFS([1]Population!D:D,[1]Population!A:A,'MASTER-2025'!A125))</f>
        <v>#VALUE!</v>
      </c>
      <c r="BG125" s="22" t="e">
        <f>IF(A125=0,0,SUMIFS([1]Population!E:E,[1]Population!A:A,'MASTER-2025'!A125))</f>
        <v>#VALUE!</v>
      </c>
      <c r="BH125" s="22" t="e">
        <f>IF(A125=0,0,SUMIFS([1]Population!F:F,[1]Population!A:A,'MASTER-2025'!A125))</f>
        <v>#VALUE!</v>
      </c>
      <c r="BI125" s="22" t="e">
        <f t="shared" si="35"/>
        <v>#VALUE!</v>
      </c>
      <c r="BJ125" s="23" t="e">
        <f t="shared" si="30"/>
        <v>#VALUE!</v>
      </c>
      <c r="BK125" s="22" t="e">
        <f>IF(A125=0,0,SUMIFS([1]Population!G:G,[1]Population!A:A,'MASTER-2025'!A125))</f>
        <v>#VALUE!</v>
      </c>
      <c r="BL125" s="24" cm="1">
        <f t="array" ref="BL125:BW125">IFERROR(VLOOKUP(A125,'[1]Now-OB-kg-POB-25'!A:AQ,{3,4,5,6,7,8,9,10,11,12,13,14},0),0)</f>
        <v>0</v>
      </c>
      <c r="BM125" s="24">
        <v>1</v>
      </c>
      <c r="BN125" s="24">
        <v>68</v>
      </c>
      <c r="BO125" s="24">
        <v>0</v>
      </c>
      <c r="BP125" s="24">
        <v>0</v>
      </c>
      <c r="BQ125" s="24">
        <v>0</v>
      </c>
      <c r="BR125" s="24">
        <v>0</v>
      </c>
      <c r="BS125" s="24">
        <v>0</v>
      </c>
      <c r="BT125" s="24">
        <v>0</v>
      </c>
      <c r="BU125" s="24">
        <v>0</v>
      </c>
      <c r="BV125" s="24">
        <v>0</v>
      </c>
      <c r="BW125" s="24">
        <v>0</v>
      </c>
      <c r="BX125" s="24">
        <f t="shared" si="31"/>
        <v>69</v>
      </c>
      <c r="BY125" s="25" cm="1">
        <f t="array" ref="BY125:CJ125">IFERROR(VLOOKUP(A125,'[1]Now-OB-kg-POB-25'!A:AQ,{17,18,19,20,21,22,23,24,25,26,27,28},0),0)</f>
        <v>0</v>
      </c>
      <c r="BZ125" s="25">
        <v>2976</v>
      </c>
      <c r="CA125" s="25">
        <v>9754</v>
      </c>
      <c r="CB125" s="25">
        <v>0</v>
      </c>
      <c r="CC125" s="25">
        <v>0</v>
      </c>
      <c r="CD125" s="25">
        <v>0</v>
      </c>
      <c r="CE125" s="25">
        <v>0</v>
      </c>
      <c r="CF125" s="25">
        <v>0</v>
      </c>
      <c r="CG125" s="25">
        <v>0</v>
      </c>
      <c r="CH125" s="25">
        <v>0</v>
      </c>
      <c r="CI125" s="25">
        <v>0</v>
      </c>
      <c r="CJ125" s="25">
        <v>0</v>
      </c>
      <c r="CK125" s="25">
        <f t="shared" si="32"/>
        <v>12730</v>
      </c>
      <c r="CL125" s="26" cm="1">
        <f t="array" ref="CL125:CW125">IFERROR(VLOOKUP(A125,'[1]Now-OB-kg-POB-25'!A:AQ,{31,32,33,34,35,36,37,38,39,40,41,42},0),0)</f>
        <v>0</v>
      </c>
      <c r="CM125" s="26">
        <v>73</v>
      </c>
      <c r="CN125" s="26">
        <v>20267</v>
      </c>
      <c r="CO125" s="26">
        <v>0</v>
      </c>
      <c r="CP125" s="26">
        <v>0</v>
      </c>
      <c r="CQ125" s="26">
        <v>0</v>
      </c>
      <c r="CR125" s="26">
        <v>0</v>
      </c>
      <c r="CS125" s="26">
        <v>0</v>
      </c>
      <c r="CT125" s="26">
        <v>0</v>
      </c>
      <c r="CU125" s="26">
        <v>0</v>
      </c>
      <c r="CV125" s="26">
        <v>0</v>
      </c>
      <c r="CW125" s="26">
        <v>0</v>
      </c>
      <c r="CX125" s="26">
        <f t="shared" si="33"/>
        <v>20340</v>
      </c>
      <c r="CY125" s="14" t="str">
        <f>IF(A125=0,0,IFERROR(VLOOKUP(A125,'[1]Info Donantes'!C:F,2,0),"Sin Contacto"))</f>
        <v>Sin Contacto</v>
      </c>
      <c r="CZ125" s="14" t="str">
        <f>IF(A125=0,0,IFERROR(VLOOKUP(A125,'[1]Info Donantes'!C:F,3,0),"Sin Correo"))</f>
        <v>Sin Correo</v>
      </c>
      <c r="DA125" s="14" t="str">
        <f>IF(A125=0,0,IFERROR(VLOOKUP(A125,'[1]Info Donantes'!C:F,4,0),"Sin Telefono"))</f>
        <v>Sin Telefono</v>
      </c>
      <c r="DB125" s="14" t="str">
        <f>IF(A125=0,0,"Reporte de Trazabiidad"&amp;" - "&amp;'[1]Donor Summary'!$C$2&amp;" - "&amp;A125&amp;"")</f>
        <v>Reporte de Trazabiidad -  - Agro Export Pacific, S.A</v>
      </c>
    </row>
    <row r="126" spans="1:106" x14ac:dyDescent="0.55000000000000004">
      <c r="A126" s="14" t="s">
        <v>286</v>
      </c>
      <c r="B126" s="33">
        <f>INT(IFERROR(VLOOKUP(A126,'[1]Donor Summary'!C:F,3,0),0))</f>
        <v>0</v>
      </c>
      <c r="C126" s="15">
        <f>INT(ROUND(IFERROR(VLOOKUP(A126,'[1]Donor Summary'!C:F,4,0),0),1))</f>
        <v>66</v>
      </c>
      <c r="D126" s="16">
        <f t="shared" si="36"/>
        <v>66</v>
      </c>
      <c r="E126" s="17" t="str">
        <f t="shared" si="37"/>
        <v>100.00%</v>
      </c>
      <c r="F126" s="17" t="str">
        <f t="shared" si="38"/>
        <v>0.0%</v>
      </c>
      <c r="G126" s="15">
        <f t="shared" si="40"/>
        <v>198</v>
      </c>
      <c r="H126" s="18"/>
      <c r="I126" s="18">
        <f>IFERROR(VLOOKUP(A126,'[1]Lot All by Part'!T:Y,6,0),0)</f>
        <v>0</v>
      </c>
      <c r="J126" s="18"/>
      <c r="K126" s="19">
        <f>IFERROR(VLOOKUP($A126,'[1]Donor-Served OBs'!A:N,3,0),0)</f>
        <v>0</v>
      </c>
      <c r="L126" s="19">
        <f>ROUNDUP(IF(A126=0,0,IFERROR(VLOOKUP($A126,'[1]Donor''s Assigned Kilos'!A:O,3,0),0)),0)</f>
        <v>0</v>
      </c>
      <c r="M126" s="19">
        <f>IF(A126=0,0,IFERROR(SUMIFS([1]Population!M:M,[1]Population!J:J,'MASTER-2025'!A126),0))</f>
        <v>0</v>
      </c>
      <c r="N126" s="20">
        <f>IFERROR(VLOOKUP($A126,'[1]Donor-Served OBs'!A:N,4,0),0)</f>
        <v>0</v>
      </c>
      <c r="O126" s="20">
        <f>ROUNDUP(IF(A126=0,0,IFERROR(VLOOKUP($A126,'[1]Donor''s Assigned Kilos'!A:O,4,0),0)),0)</f>
        <v>0</v>
      </c>
      <c r="P126" s="20">
        <f>IF(A126=0,0,IFERROR(SUMIFS([1]Population!N:N,[1]Population!J:J,'MASTER-2025'!A126),0))</f>
        <v>0</v>
      </c>
      <c r="Q126" s="18">
        <f>IFERROR(VLOOKUP($A126,'[1]Donor-Served OBs'!A:N,2,0),0)</f>
        <v>0</v>
      </c>
      <c r="R126" s="18">
        <f>ROUNDUP(ROUND(IF(A126=0,0,IFERROR(VLOOKUP($A126,'[1]Donor''s Assigned Kilos'!A:O,9,0),0)),1),0)</f>
        <v>0</v>
      </c>
      <c r="S126" s="18">
        <f>IF(A126=0,0,IFERROR(SUMIFS([1]Population!S:S,[1]Population!J:J,'MASTER-2025'!A126),0))</f>
        <v>0</v>
      </c>
      <c r="T126" s="19">
        <f>IFERROR(VLOOKUP($A126,'[1]Donor-Served OBs'!A:N,12,0),0)</f>
        <v>0</v>
      </c>
      <c r="U126" s="19">
        <f>ROUNDUP(IF(A126=0,0,IF(A126=0,0,IFERROR(VLOOKUP($A126,'[1]Donor''s Assigned Kilos'!A:O,7,0),0))),0)</f>
        <v>0</v>
      </c>
      <c r="V126" s="19">
        <f>IF(A126=0,0,IFERROR(SUMIFS([1]Population!Q:Q,[1]Population!J:J,'MASTER-2025'!A126),0))</f>
        <v>0</v>
      </c>
      <c r="W126" s="20">
        <f>IFERROR(VLOOKUP($A126,'[1]Donor-Served OBs'!A:N,10,0),0)</f>
        <v>0</v>
      </c>
      <c r="X126" s="20">
        <f>ROUNDUP(IF(A126=0,0,IFERROR(VLOOKUP($A126,'[1]Donor''s Assigned Kilos'!A:N,5,0),0)),0)</f>
        <v>0</v>
      </c>
      <c r="Y126" s="20">
        <f>IF(A126=0,0,IFERROR(SUMIFS([1]Population!O:O,[1]Population!J:J,'MASTER-2025'!A126),0))</f>
        <v>0</v>
      </c>
      <c r="Z126" s="18">
        <f>IFERROR(VLOOKUP($A126,'[1]Donor-Served OBs'!A:N,6,0),0)</f>
        <v>0</v>
      </c>
      <c r="AA126" s="18">
        <f>ROUNDUP(IF(A126=0,0,IFERROR(VLOOKUP($A126,'[1]Donor''s Assigned Kilos'!A:N,11,0),0)),0)</f>
        <v>0</v>
      </c>
      <c r="AB126" s="18">
        <f>IF(A126=0,0,IFERROR(SUMIFS([1]Population!U:U,[1]Population!J:J,'MASTER-2025'!A126),0))</f>
        <v>0</v>
      </c>
      <c r="AC126" s="19">
        <f>IFERROR(VLOOKUP($A126,'[1]Donor-Served OBs'!A:N,7,0),0)</f>
        <v>0</v>
      </c>
      <c r="AD126" s="19">
        <f>ROUNDUP(IF(A126=0,0,IFERROR(VLOOKUP($A126,'[1]Donor''s Assigned Kilos'!A:N,8,0),0)),0)</f>
        <v>0</v>
      </c>
      <c r="AE126" s="19">
        <f>IF(A126=0,0,IFERROR(SUMIFS([1]Population!R:R,[1]Population!J:J,'MASTER-2025'!A126),0))</f>
        <v>0</v>
      </c>
      <c r="AF126" s="20">
        <f>IFERROR(VLOOKUP($A126,'[1]Donor-Served OBs'!A:N,8,0),0)</f>
        <v>0</v>
      </c>
      <c r="AG126" s="20">
        <f>ROUNDUP(IF(A126=0,0,IFERROR(VLOOKUP($A126,'[1]Donor''s Assigned Kilos'!A:N,6,0),0)),0)</f>
        <v>0</v>
      </c>
      <c r="AH126" s="20">
        <f>IF(A126=0,0,IFERROR(SUMIFS([1]Population!P:P,[1]Population!J:J,'MASTER-2025'!A126),0))</f>
        <v>0</v>
      </c>
      <c r="AI126" s="18">
        <f>IFERROR(VLOOKUP($A126,'[1]Donor-Served OBs'!A:N,9,0),0)</f>
        <v>0</v>
      </c>
      <c r="AJ126" s="18">
        <f>ROUNDUP(IF(A126=0,0,IFERROR(VLOOKUP($A126,'[1]Donor''s Assigned Kilos'!A:N,12,0),0)),0)</f>
        <v>0</v>
      </c>
      <c r="AK126" s="18">
        <f>IF(A126=0,0,IFERROR(SUMIFS([1]Population!V:V,[1]Population!J:J,'MASTER-2025'!A126),0))</f>
        <v>0</v>
      </c>
      <c r="AL126" s="19">
        <f>IFERROR(VLOOKUP($A126,'[1]Donor-Served OBs'!A:N,16,0),0)</f>
        <v>0</v>
      </c>
      <c r="AM126" s="19">
        <f>ROUNDUP(IF(A126=0,0,IFERROR(VLOOKUP($A126,'[1]Donor''s Assigned Kilos'!A:O,16,0),0)),0)</f>
        <v>0</v>
      </c>
      <c r="AN126" s="19">
        <f>IF(A126=0,0,IFERROR(SUMIFS([1]Population!Z:Z,[1]Population!J:J,'MASTER-2025'!A126),0))</f>
        <v>0</v>
      </c>
      <c r="AO126" s="20">
        <f>IFERROR(VLOOKUP($A126,'[1]Donor-Served OBs'!A:N,11,0),0)</f>
        <v>0</v>
      </c>
      <c r="AP126" s="20">
        <f>ROUNDUP(IF(A126=0,0,IFERROR(VLOOKUP($A126,'[1]Donor''s Assigned Kilos'!A:N,13,0),0)),0)</f>
        <v>0</v>
      </c>
      <c r="AQ126" s="20">
        <f>IF(A126=0,0,IFERROR(SUMIFS([1]Population!W:W,[1]Population!J:J,'MASTER-2025'!A126),0))</f>
        <v>0</v>
      </c>
      <c r="AR126" s="18">
        <f>IFERROR(VLOOKUP($A126,'[1]Donor-Served OBs'!A:N,5,0),0)</f>
        <v>4</v>
      </c>
      <c r="AS126" s="18">
        <f>ROUNDUP(IF(A126=0,0,IFERROR(VLOOKUP($A126,'[1]Donor''s Assigned Kilos'!A:N,10,0),0)),0)</f>
        <v>66</v>
      </c>
      <c r="AT126" s="18">
        <f>IF(A126=0,0,IFERROR(SUMIFS([1]Population!T:T,[1]Population!J:J,'MASTER-2025'!A126),0))</f>
        <v>0</v>
      </c>
      <c r="AU126" s="19">
        <f>IFERROR(VLOOKUP($A126,'[1]Donor-Served OBs'!A:N,13,0),0)</f>
        <v>0</v>
      </c>
      <c r="AV126" s="19">
        <f>ROUNDUP(IF(A126=0,0,IFERROR(VLOOKUP($A126,'[1]Donor''s Assigned Kilos'!A:N,14,0),0)),0)</f>
        <v>0</v>
      </c>
      <c r="AW126" s="19">
        <f>IF(A126=0,0,IFERROR(SUMIFS([1]Population!X:X,[1]Population!J:J,'MASTER-2025'!A126),0))</f>
        <v>0</v>
      </c>
      <c r="AX126" s="20">
        <f>IFERROR(VLOOKUP($A126,'[1]Donor-Served OBs'!A:N,16,0),0)</f>
        <v>0</v>
      </c>
      <c r="AY126" s="20">
        <f>ROUNDUP(IF(A126=0,0,IFERROR(VLOOKUP($A126,'[1]Donor''s Assigned Kilos'!A:O,16,0),0)),0)</f>
        <v>0</v>
      </c>
      <c r="AZ126" s="20">
        <f>IF(A126=0,0,IFERROR(SUMIFS([1]Population!Y:Y,[1]Population!J:J,'MASTER-2025'!A126),0))</f>
        <v>0</v>
      </c>
      <c r="BA126" s="21">
        <f t="shared" si="43"/>
        <v>4</v>
      </c>
      <c r="BB126" s="21">
        <f t="shared" si="42"/>
        <v>66</v>
      </c>
      <c r="BC126" s="21">
        <f t="shared" si="39"/>
        <v>0</v>
      </c>
      <c r="BD126" s="21">
        <f t="shared" si="44"/>
        <v>0</v>
      </c>
      <c r="BE126" s="22" t="e">
        <f>IF(A126=0,0,SUMIFS([1]Population!C:C,[1]Population!A:A,'MASTER-2025'!A126))</f>
        <v>#VALUE!</v>
      </c>
      <c r="BF126" s="22" t="e">
        <f>IF(A126=0,0,SUMIFS([1]Population!D:D,[1]Population!A:A,'MASTER-2025'!A126))</f>
        <v>#VALUE!</v>
      </c>
      <c r="BG126" s="22" t="e">
        <f>IF(A126=0,0,SUMIFS([1]Population!E:E,[1]Population!A:A,'MASTER-2025'!A126))</f>
        <v>#VALUE!</v>
      </c>
      <c r="BH126" s="22" t="e">
        <f>IF(A126=0,0,SUMIFS([1]Population!F:F,[1]Population!A:A,'MASTER-2025'!A126))</f>
        <v>#VALUE!</v>
      </c>
      <c r="BI126" s="22" t="e">
        <f t="shared" si="35"/>
        <v>#VALUE!</v>
      </c>
      <c r="BJ126" s="23" t="e">
        <f t="shared" si="30"/>
        <v>#VALUE!</v>
      </c>
      <c r="BK126" s="22" t="e">
        <f>IF(A126=0,0,SUMIFS([1]Population!G:G,[1]Population!A:A,'MASTER-2025'!A126))</f>
        <v>#VALUE!</v>
      </c>
      <c r="BL126" s="24" cm="1">
        <f t="array" ref="BL126">IFERROR(VLOOKUP(A126,'[1]Now-OB-kg-POB-25'!A:AQ,{3,4,5,6,7,8,9,10,11,12,13,14},0),0)</f>
        <v>0</v>
      </c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>
        <f t="shared" si="31"/>
        <v>0</v>
      </c>
      <c r="BY126" s="25" cm="1">
        <f t="array" ref="BY126">IFERROR(VLOOKUP(A126,'[1]Now-OB-kg-POB-25'!A:AQ,{17,18,19,20,21,22,23,24,25,26,27,28},0),0)</f>
        <v>0</v>
      </c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>
        <f t="shared" si="32"/>
        <v>0</v>
      </c>
      <c r="CL126" s="26" cm="1">
        <f t="array" ref="CL126">IFERROR(VLOOKUP(A126,'[1]Now-OB-kg-POB-25'!A:AQ,{31,32,33,34,35,36,37,38,39,40,41,42},0),0)</f>
        <v>0</v>
      </c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>
        <f t="shared" si="33"/>
        <v>0</v>
      </c>
      <c r="CY126" s="14" t="str">
        <f>IF(A126=0,0,IFERROR(VLOOKUP(A126,'[1]Info Donantes'!C:F,2,0),"Sin Contacto"))</f>
        <v>Sin Contacto</v>
      </c>
      <c r="CZ126" s="14" t="str">
        <f>IF(A126=0,0,IFERROR(VLOOKUP(A126,'[1]Info Donantes'!C:F,3,0),"Sin Correo"))</f>
        <v>Sin Correo</v>
      </c>
      <c r="DA126" s="14" t="str">
        <f>IF(A126=0,0,IFERROR(VLOOKUP(A126,'[1]Info Donantes'!C:F,4,0),"Sin Telefono"))</f>
        <v>Sin Telefono</v>
      </c>
      <c r="DB126" s="14" t="str">
        <f>IF(A126=0,0,"Reporte de Trazabiidad"&amp;" - "&amp;'[1]Donor Summary'!$C$2&amp;" - "&amp;A126&amp;"")</f>
        <v>Reporte de Trazabiidad -  - CENTRAL AZUCARERO LA VICTORIA</v>
      </c>
    </row>
    <row r="127" spans="1:106" x14ac:dyDescent="0.55000000000000004">
      <c r="A127" s="14" t="s">
        <v>287</v>
      </c>
      <c r="B127" s="33">
        <f>INT(IFERROR(VLOOKUP(A127,'[1]Donor Summary'!C:F,3,0),0))</f>
        <v>0</v>
      </c>
      <c r="C127" s="15">
        <f>INT(ROUND(IFERROR(VLOOKUP(A127,'[1]Donor Summary'!C:F,4,0),0),1))</f>
        <v>0</v>
      </c>
      <c r="D127" s="16">
        <f t="shared" si="36"/>
        <v>0</v>
      </c>
      <c r="E127" s="17" t="str">
        <f t="shared" si="37"/>
        <v>0.00%</v>
      </c>
      <c r="F127" s="17" t="str">
        <f t="shared" si="38"/>
        <v>0.0%</v>
      </c>
      <c r="G127" s="15">
        <f t="shared" si="40"/>
        <v>0</v>
      </c>
      <c r="H127" s="18"/>
      <c r="I127" s="18">
        <f>IFERROR(VLOOKUP(A127,'[1]Lot All by Part'!T:Y,6,0),0)</f>
        <v>0</v>
      </c>
      <c r="J127" s="18"/>
      <c r="K127" s="19">
        <f>IFERROR(VLOOKUP($A127,'[1]Donor-Served OBs'!A:N,3,0),0)</f>
        <v>0</v>
      </c>
      <c r="L127" s="19">
        <f>ROUNDUP(IF(A127=0,0,IFERROR(VLOOKUP($A127,'[1]Donor''s Assigned Kilos'!A:O,3,0),0)),0)</f>
        <v>0</v>
      </c>
      <c r="M127" s="19">
        <f>IF(A127=0,0,IFERROR(SUMIFS([1]Population!M:M,[1]Population!J:J,'MASTER-2025'!A127),0))</f>
        <v>0</v>
      </c>
      <c r="N127" s="20">
        <f>IFERROR(VLOOKUP($A127,'[1]Donor-Served OBs'!A:N,4,0),0)</f>
        <v>2</v>
      </c>
      <c r="O127" s="20">
        <f>ROUNDUP(IF(A127=0,0,IFERROR(VLOOKUP($A127,'[1]Donor''s Assigned Kilos'!A:O,4,0),0)),0)</f>
        <v>6</v>
      </c>
      <c r="P127" s="20">
        <f>IF(A127=0,0,IFERROR(SUMIFS([1]Population!N:N,[1]Population!J:J,'MASTER-2025'!A127),0))</f>
        <v>0</v>
      </c>
      <c r="Q127" s="18">
        <f>IFERROR(VLOOKUP($A127,'[1]Donor-Served OBs'!A:N,2,0),0)</f>
        <v>0</v>
      </c>
      <c r="R127" s="18">
        <f>ROUNDUP(ROUND(IF(A127=0,0,IFERROR(VLOOKUP($A127,'[1]Donor''s Assigned Kilos'!A:O,9,0),0)),1),0)</f>
        <v>0</v>
      </c>
      <c r="S127" s="18">
        <f>IF(A127=0,0,IFERROR(SUMIFS([1]Population!S:S,[1]Population!J:J,'MASTER-2025'!A127),0))</f>
        <v>0</v>
      </c>
      <c r="T127" s="19">
        <f>IFERROR(VLOOKUP($A127,'[1]Donor-Served OBs'!A:N,12,0),0)</f>
        <v>0</v>
      </c>
      <c r="U127" s="19">
        <f>ROUNDUP(IF(A127=0,0,IF(A127=0,0,IFERROR(VLOOKUP($A127,'[1]Donor''s Assigned Kilos'!A:O,7,0),0))),0)</f>
        <v>0</v>
      </c>
      <c r="V127" s="19">
        <f>IF(A127=0,0,IFERROR(SUMIFS([1]Population!Q:Q,[1]Population!J:J,'MASTER-2025'!A127),0))</f>
        <v>0</v>
      </c>
      <c r="W127" s="20">
        <f>IFERROR(VLOOKUP($A127,'[1]Donor-Served OBs'!A:N,10,0),0)</f>
        <v>2</v>
      </c>
      <c r="X127" s="20">
        <f>ROUNDUP(IF(A127=0,0,IFERROR(VLOOKUP($A127,'[1]Donor''s Assigned Kilos'!A:N,5,0),0)),0)</f>
        <v>6</v>
      </c>
      <c r="Y127" s="20">
        <f>IF(A127=0,0,IFERROR(SUMIFS([1]Population!O:O,[1]Population!J:J,'MASTER-2025'!A127),0))</f>
        <v>0</v>
      </c>
      <c r="Z127" s="18">
        <f>IFERROR(VLOOKUP($A127,'[1]Donor-Served OBs'!A:N,6,0),0)</f>
        <v>0</v>
      </c>
      <c r="AA127" s="18">
        <f>ROUNDUP(IF(A127=0,0,IFERROR(VLOOKUP($A127,'[1]Donor''s Assigned Kilos'!A:N,11,0),0)),0)</f>
        <v>0</v>
      </c>
      <c r="AB127" s="18">
        <f>IF(A127=0,0,IFERROR(SUMIFS([1]Population!U:U,[1]Population!J:J,'MASTER-2025'!A127),0))</f>
        <v>0</v>
      </c>
      <c r="AC127" s="19">
        <f>IFERROR(VLOOKUP($A127,'[1]Donor-Served OBs'!A:N,7,0),0)</f>
        <v>0</v>
      </c>
      <c r="AD127" s="19">
        <f>ROUNDUP(IF(A127=0,0,IFERROR(VLOOKUP($A127,'[1]Donor''s Assigned Kilos'!A:N,8,0),0)),0)</f>
        <v>0</v>
      </c>
      <c r="AE127" s="19">
        <f>IF(A127=0,0,IFERROR(SUMIFS([1]Population!R:R,[1]Population!J:J,'MASTER-2025'!A127),0))</f>
        <v>0</v>
      </c>
      <c r="AF127" s="20">
        <f>IFERROR(VLOOKUP($A127,'[1]Donor-Served OBs'!A:N,8,0),0)</f>
        <v>0</v>
      </c>
      <c r="AG127" s="20">
        <f>ROUNDUP(IF(A127=0,0,IFERROR(VLOOKUP($A127,'[1]Donor''s Assigned Kilos'!A:N,6,0),0)),0)</f>
        <v>0</v>
      </c>
      <c r="AH127" s="20">
        <f>IF(A127=0,0,IFERROR(SUMIFS([1]Population!P:P,[1]Population!J:J,'MASTER-2025'!A127),0))</f>
        <v>0</v>
      </c>
      <c r="AI127" s="18">
        <f>IFERROR(VLOOKUP($A127,'[1]Donor-Served OBs'!A:N,9,0),0)</f>
        <v>0</v>
      </c>
      <c r="AJ127" s="18">
        <f>ROUNDUP(IF(A127=0,0,IFERROR(VLOOKUP($A127,'[1]Donor''s Assigned Kilos'!A:N,12,0),0)),0)</f>
        <v>0</v>
      </c>
      <c r="AK127" s="18">
        <f>IF(A127=0,0,IFERROR(SUMIFS([1]Population!V:V,[1]Population!J:J,'MASTER-2025'!A127),0))</f>
        <v>0</v>
      </c>
      <c r="AL127" s="19">
        <f>IFERROR(VLOOKUP($A127,'[1]Donor-Served OBs'!A:N,16,0),0)</f>
        <v>0</v>
      </c>
      <c r="AM127" s="19">
        <f>ROUNDUP(IF(A127=0,0,IFERROR(VLOOKUP($A127,'[1]Donor''s Assigned Kilos'!A:O,16,0),0)),0)</f>
        <v>0</v>
      </c>
      <c r="AN127" s="19">
        <f>IF(A127=0,0,IFERROR(SUMIFS([1]Population!Z:Z,[1]Population!J:J,'MASTER-2025'!A127),0))</f>
        <v>0</v>
      </c>
      <c r="AO127" s="20">
        <f>IFERROR(VLOOKUP($A127,'[1]Donor-Served OBs'!A:N,11,0),0)</f>
        <v>0</v>
      </c>
      <c r="AP127" s="20">
        <f>ROUNDUP(IF(A127=0,0,IFERROR(VLOOKUP($A127,'[1]Donor''s Assigned Kilos'!A:N,13,0),0)),0)</f>
        <v>0</v>
      </c>
      <c r="AQ127" s="20">
        <f>IF(A127=0,0,IFERROR(SUMIFS([1]Population!W:W,[1]Population!J:J,'MASTER-2025'!A127),0))</f>
        <v>0</v>
      </c>
      <c r="AR127" s="18">
        <f>IFERROR(VLOOKUP($A127,'[1]Donor-Served OBs'!A:N,5,0),0)</f>
        <v>0</v>
      </c>
      <c r="AS127" s="18">
        <f>ROUNDUP(IF(A127=0,0,IFERROR(VLOOKUP($A127,'[1]Donor''s Assigned Kilos'!A:N,10,0),0)),0)</f>
        <v>0</v>
      </c>
      <c r="AT127" s="18">
        <f>IF(A127=0,0,IFERROR(SUMIFS([1]Population!T:T,[1]Population!J:J,'MASTER-2025'!A127),0))</f>
        <v>0</v>
      </c>
      <c r="AU127" s="19">
        <f>IFERROR(VLOOKUP($A127,'[1]Donor-Served OBs'!A:N,13,0),0)</f>
        <v>0</v>
      </c>
      <c r="AV127" s="19">
        <f>ROUNDUP(IF(A127=0,0,IFERROR(VLOOKUP($A127,'[1]Donor''s Assigned Kilos'!A:N,14,0),0)),0)</f>
        <v>0</v>
      </c>
      <c r="AW127" s="19">
        <f>IF(A127=0,0,IFERROR(SUMIFS([1]Population!X:X,[1]Population!J:J,'MASTER-2025'!A127),0))</f>
        <v>0</v>
      </c>
      <c r="AX127" s="20">
        <f>IFERROR(VLOOKUP($A127,'[1]Donor-Served OBs'!A:N,16,0),0)</f>
        <v>0</v>
      </c>
      <c r="AY127" s="20">
        <f>ROUNDUP(IF(A127=0,0,IFERROR(VLOOKUP($A127,'[1]Donor''s Assigned Kilos'!A:O,16,0),0)),0)</f>
        <v>0</v>
      </c>
      <c r="AZ127" s="20">
        <f>IF(A127=0,0,IFERROR(SUMIFS([1]Population!Y:Y,[1]Population!J:J,'MASTER-2025'!A127),0))</f>
        <v>0</v>
      </c>
      <c r="BA127" s="21">
        <f t="shared" si="43"/>
        <v>4</v>
      </c>
      <c r="BB127" s="21">
        <f t="shared" si="42"/>
        <v>12</v>
      </c>
      <c r="BC127" s="21">
        <f t="shared" si="39"/>
        <v>6</v>
      </c>
      <c r="BD127" s="21">
        <f t="shared" si="44"/>
        <v>0</v>
      </c>
      <c r="BE127" s="22" t="e">
        <f>IF(A127=0,0,SUMIFS([1]Population!C:C,[1]Population!A:A,'MASTER-2025'!A127))</f>
        <v>#VALUE!</v>
      </c>
      <c r="BF127" s="22" t="e">
        <f>IF(A127=0,0,SUMIFS([1]Population!D:D,[1]Population!A:A,'MASTER-2025'!A127))</f>
        <v>#VALUE!</v>
      </c>
      <c r="BG127" s="22" t="e">
        <f>IF(A127=0,0,SUMIFS([1]Population!E:E,[1]Population!A:A,'MASTER-2025'!A127))</f>
        <v>#VALUE!</v>
      </c>
      <c r="BH127" s="22" t="e">
        <f>IF(A127=0,0,SUMIFS([1]Population!F:F,[1]Population!A:A,'MASTER-2025'!A127))</f>
        <v>#VALUE!</v>
      </c>
      <c r="BI127" s="22" t="e">
        <f t="shared" si="35"/>
        <v>#VALUE!</v>
      </c>
      <c r="BJ127" s="23" t="e">
        <f t="shared" si="30"/>
        <v>#VALUE!</v>
      </c>
      <c r="BK127" s="22" t="e">
        <f>IF(A127=0,0,SUMIFS([1]Population!G:G,[1]Population!A:A,'MASTER-2025'!A127))</f>
        <v>#VALUE!</v>
      </c>
      <c r="BL127" s="24" cm="1">
        <f t="array" ref="BL127:BW127">IFERROR(VLOOKUP(A127,'[1]Now-OB-kg-POB-25'!A:AQ,{3,4,5,6,7,8,9,10,11,12,13,14},0),0)</f>
        <v>0</v>
      </c>
      <c r="BM127" s="24">
        <v>26</v>
      </c>
      <c r="BN127" s="24">
        <v>4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  <c r="BW127" s="24">
        <v>0</v>
      </c>
      <c r="BX127" s="24">
        <f t="shared" si="31"/>
        <v>30</v>
      </c>
      <c r="BY127" s="25" cm="1">
        <f t="array" ref="BY127:CJ127">IFERROR(VLOOKUP(A127,'[1]Now-OB-kg-POB-25'!A:AQ,{17,18,19,20,21,22,23,24,25,26,27,28},0),0)</f>
        <v>0</v>
      </c>
      <c r="BZ127" s="25">
        <v>213</v>
      </c>
      <c r="CA127" s="25">
        <v>0</v>
      </c>
      <c r="CB127" s="25">
        <v>0</v>
      </c>
      <c r="CC127" s="25">
        <v>0</v>
      </c>
      <c r="CD127" s="25">
        <v>0</v>
      </c>
      <c r="CE127" s="25">
        <v>0</v>
      </c>
      <c r="CF127" s="25">
        <v>0</v>
      </c>
      <c r="CG127" s="25">
        <v>0</v>
      </c>
      <c r="CH127" s="25">
        <v>0</v>
      </c>
      <c r="CI127" s="25">
        <v>0</v>
      </c>
      <c r="CJ127" s="25">
        <v>0</v>
      </c>
      <c r="CK127" s="25">
        <f t="shared" si="32"/>
        <v>213</v>
      </c>
      <c r="CL127" s="26" cm="1">
        <f t="array" ref="CL127:CW127">IFERROR(VLOOKUP(A127,'[1]Now-OB-kg-POB-25'!A:AQ,{31,32,33,34,35,36,37,38,39,40,41,42},0),0)</f>
        <v>0</v>
      </c>
      <c r="CM127" s="26">
        <v>7457</v>
      </c>
      <c r="CN127" s="26">
        <v>1489</v>
      </c>
      <c r="CO127" s="26">
        <v>0</v>
      </c>
      <c r="CP127" s="26">
        <v>0</v>
      </c>
      <c r="CQ127" s="26">
        <v>0</v>
      </c>
      <c r="CR127" s="26">
        <v>0</v>
      </c>
      <c r="CS127" s="26">
        <v>0</v>
      </c>
      <c r="CT127" s="26">
        <v>0</v>
      </c>
      <c r="CU127" s="26">
        <v>0</v>
      </c>
      <c r="CV127" s="26">
        <v>0</v>
      </c>
      <c r="CW127" s="26">
        <v>0</v>
      </c>
      <c r="CX127" s="26">
        <f t="shared" si="33"/>
        <v>8946</v>
      </c>
      <c r="CY127" s="14" t="str">
        <f>IF(A127=0,0,IFERROR(VLOOKUP(A127,'[1]Info Donantes'!C:F,2,0),"Sin Contacto"))</f>
        <v>Sin Contacto</v>
      </c>
      <c r="CZ127" s="14" t="str">
        <f>IF(A127=0,0,IFERROR(VLOOKUP(A127,'[1]Info Donantes'!C:F,3,0),"Sin Correo"))</f>
        <v>Sin Correo</v>
      </c>
      <c r="DA127" s="14" t="str">
        <f>IF(A127=0,0,IFERROR(VLOOKUP(A127,'[1]Info Donantes'!C:F,4,0),"Sin Telefono"))</f>
        <v>Sin Telefono</v>
      </c>
      <c r="DB127" s="14" t="str">
        <f>IF(A127=0,0,"Reporte de Trazabiidad"&amp;" - "&amp;'[1]Donor Summary'!$C$2&amp;" - "&amp;A127&amp;"")</f>
        <v>Reporte de Trazabiidad -  - COOLBOX FRESIA CORP.</v>
      </c>
    </row>
    <row r="128" spans="1:106" x14ac:dyDescent="0.55000000000000004">
      <c r="A128" s="14" t="s">
        <v>288</v>
      </c>
      <c r="B128" s="33">
        <f>INT(IFERROR(VLOOKUP(A128,'[1]Donor Summary'!C:F,3,0),0))</f>
        <v>0</v>
      </c>
      <c r="C128" s="15">
        <f>INT(ROUND(IFERROR(VLOOKUP(A128,'[1]Donor Summary'!C:F,4,0),0),1))</f>
        <v>0</v>
      </c>
      <c r="D128" s="16">
        <f t="shared" si="36"/>
        <v>0</v>
      </c>
      <c r="E128" s="17" t="str">
        <f t="shared" si="37"/>
        <v>0.00%</v>
      </c>
      <c r="F128" s="17" t="str">
        <f t="shared" si="38"/>
        <v>0.0%</v>
      </c>
      <c r="G128" s="15">
        <f t="shared" si="40"/>
        <v>0</v>
      </c>
      <c r="H128" s="18"/>
      <c r="I128" s="18">
        <f>IFERROR(VLOOKUP(A128,'[1]Lot All by Part'!T:Y,6,0),0)</f>
        <v>0</v>
      </c>
      <c r="J128" s="18"/>
      <c r="K128" s="19">
        <f>IFERROR(VLOOKUP($A128,'[1]Donor-Served OBs'!A:N,3,0),0)</f>
        <v>0</v>
      </c>
      <c r="L128" s="19">
        <f>ROUNDUP(IF(A128=0,0,IFERROR(VLOOKUP($A128,'[1]Donor''s Assigned Kilos'!A:O,3,0),0)),0)</f>
        <v>0</v>
      </c>
      <c r="M128" s="19">
        <f>IF(A128=0,0,IFERROR(SUMIFS([1]Population!M:M,[1]Population!J:J,'MASTER-2025'!A128),0))</f>
        <v>0</v>
      </c>
      <c r="N128" s="20">
        <f>IFERROR(VLOOKUP($A128,'[1]Donor-Served OBs'!A:N,4,0),0)</f>
        <v>0</v>
      </c>
      <c r="O128" s="20">
        <f>ROUNDUP(IF(A128=0,0,IFERROR(VLOOKUP($A128,'[1]Donor''s Assigned Kilos'!A:O,4,0),0)),0)</f>
        <v>0</v>
      </c>
      <c r="P128" s="20">
        <f>IF(A128=0,0,IFERROR(SUMIFS([1]Population!N:N,[1]Population!J:J,'MASTER-2025'!A128),0))</f>
        <v>0</v>
      </c>
      <c r="Q128" s="18">
        <f>IFERROR(VLOOKUP($A128,'[1]Donor-Served OBs'!A:N,2,0),0)</f>
        <v>0</v>
      </c>
      <c r="R128" s="18">
        <f>ROUNDUP(ROUND(IF(A128=0,0,IFERROR(VLOOKUP($A128,'[1]Donor''s Assigned Kilos'!A:O,9,0),0)),1),0)</f>
        <v>0</v>
      </c>
      <c r="S128" s="18">
        <f>IF(A128=0,0,IFERROR(SUMIFS([1]Population!S:S,[1]Population!J:J,'MASTER-2025'!A128),0))</f>
        <v>0</v>
      </c>
      <c r="T128" s="19">
        <f>IFERROR(VLOOKUP($A128,'[1]Donor-Served OBs'!A:N,12,0),0)</f>
        <v>0</v>
      </c>
      <c r="U128" s="19">
        <f>ROUNDUP(IF(A128=0,0,IF(A128=0,0,IFERROR(VLOOKUP($A128,'[1]Donor''s Assigned Kilos'!A:O,7,0),0))),0)</f>
        <v>0</v>
      </c>
      <c r="V128" s="19">
        <f>IF(A128=0,0,IFERROR(SUMIFS([1]Population!Q:Q,[1]Population!J:J,'MASTER-2025'!A128),0))</f>
        <v>0</v>
      </c>
      <c r="W128" s="20">
        <f>IFERROR(VLOOKUP($A128,'[1]Donor-Served OBs'!A:N,10,0),0)</f>
        <v>0</v>
      </c>
      <c r="X128" s="20">
        <f>ROUNDUP(IF(A128=0,0,IFERROR(VLOOKUP($A128,'[1]Donor''s Assigned Kilos'!A:N,5,0),0)),0)</f>
        <v>0</v>
      </c>
      <c r="Y128" s="20">
        <f>IF(A128=0,0,IFERROR(SUMIFS([1]Population!O:O,[1]Population!J:J,'MASTER-2025'!A128),0))</f>
        <v>0</v>
      </c>
      <c r="Z128" s="18">
        <f>IFERROR(VLOOKUP($A128,'[1]Donor-Served OBs'!A:N,6,0),0)</f>
        <v>0</v>
      </c>
      <c r="AA128" s="18">
        <f>ROUNDUP(IF(A128=0,0,IFERROR(VLOOKUP($A128,'[1]Donor''s Assigned Kilos'!A:N,11,0),0)),0)</f>
        <v>0</v>
      </c>
      <c r="AB128" s="18">
        <f>IF(A128=0,0,IFERROR(SUMIFS([1]Population!U:U,[1]Population!J:J,'MASTER-2025'!A128),0))</f>
        <v>0</v>
      </c>
      <c r="AC128" s="19">
        <f>IFERROR(VLOOKUP($A128,'[1]Donor-Served OBs'!A:N,7,0),0)</f>
        <v>0</v>
      </c>
      <c r="AD128" s="19">
        <f>ROUNDUP(IF(A128=0,0,IFERROR(VLOOKUP($A128,'[1]Donor''s Assigned Kilos'!A:N,8,0),0)),0)</f>
        <v>0</v>
      </c>
      <c r="AE128" s="19">
        <f>IF(A128=0,0,IFERROR(SUMIFS([1]Population!R:R,[1]Population!J:J,'MASTER-2025'!A128),0))</f>
        <v>0</v>
      </c>
      <c r="AF128" s="20">
        <f>IFERROR(VLOOKUP($A128,'[1]Donor-Served OBs'!A:N,8,0),0)</f>
        <v>0</v>
      </c>
      <c r="AG128" s="20">
        <f>ROUNDUP(IF(A128=0,0,IFERROR(VLOOKUP($A128,'[1]Donor''s Assigned Kilos'!A:N,6,0),0)),0)</f>
        <v>0</v>
      </c>
      <c r="AH128" s="20">
        <f>IF(A128=0,0,IFERROR(SUMIFS([1]Population!P:P,[1]Population!J:J,'MASTER-2025'!A128),0))</f>
        <v>0</v>
      </c>
      <c r="AI128" s="18">
        <f>IFERROR(VLOOKUP($A128,'[1]Donor-Served OBs'!A:N,9,0),0)</f>
        <v>0</v>
      </c>
      <c r="AJ128" s="18">
        <f>ROUNDUP(IF(A128=0,0,IFERROR(VLOOKUP($A128,'[1]Donor''s Assigned Kilos'!A:N,12,0),0)),0)</f>
        <v>0</v>
      </c>
      <c r="AK128" s="18">
        <f>IF(A128=0,0,IFERROR(SUMIFS([1]Population!V:V,[1]Population!J:J,'MASTER-2025'!A128),0))</f>
        <v>0</v>
      </c>
      <c r="AL128" s="19">
        <f>IFERROR(VLOOKUP($A128,'[1]Donor-Served OBs'!A:N,16,0),0)</f>
        <v>0</v>
      </c>
      <c r="AM128" s="19">
        <f>ROUNDUP(IF(A128=0,0,IFERROR(VLOOKUP($A128,'[1]Donor''s Assigned Kilos'!A:O,16,0),0)),0)</f>
        <v>0</v>
      </c>
      <c r="AN128" s="19">
        <f>IF(A128=0,0,IFERROR(SUMIFS([1]Population!Z:Z,[1]Population!J:J,'MASTER-2025'!A128),0))</f>
        <v>0</v>
      </c>
      <c r="AO128" s="20">
        <f>IFERROR(VLOOKUP($A128,'[1]Donor-Served OBs'!A:N,11,0),0)</f>
        <v>0</v>
      </c>
      <c r="AP128" s="20">
        <f>ROUNDUP(IF(A128=0,0,IFERROR(VLOOKUP($A128,'[1]Donor''s Assigned Kilos'!A:N,13,0),0)),0)</f>
        <v>0</v>
      </c>
      <c r="AQ128" s="20">
        <f>IF(A128=0,0,IFERROR(SUMIFS([1]Population!W:W,[1]Population!J:J,'MASTER-2025'!A128),0))</f>
        <v>0</v>
      </c>
      <c r="AR128" s="18">
        <f>IFERROR(VLOOKUP($A128,'[1]Donor-Served OBs'!A:N,5,0),0)</f>
        <v>0</v>
      </c>
      <c r="AS128" s="18">
        <f>ROUNDUP(IF(A128=0,0,IFERROR(VLOOKUP($A128,'[1]Donor''s Assigned Kilos'!A:N,10,0),0)),0)</f>
        <v>0</v>
      </c>
      <c r="AT128" s="18">
        <f>IF(A128=0,0,IFERROR(SUMIFS([1]Population!T:T,[1]Population!J:J,'MASTER-2025'!A128),0))</f>
        <v>0</v>
      </c>
      <c r="AU128" s="19">
        <f>IFERROR(VLOOKUP($A128,'[1]Donor-Served OBs'!A:N,13,0),0)</f>
        <v>0</v>
      </c>
      <c r="AV128" s="19">
        <f>ROUNDUP(IF(A128=0,0,IFERROR(VLOOKUP($A128,'[1]Donor''s Assigned Kilos'!A:N,14,0),0)),0)</f>
        <v>0</v>
      </c>
      <c r="AW128" s="19">
        <f>IF(A128=0,0,IFERROR(SUMIFS([1]Population!X:X,[1]Population!J:J,'MASTER-2025'!A128),0))</f>
        <v>0</v>
      </c>
      <c r="AX128" s="20">
        <f>IFERROR(VLOOKUP($A128,'[1]Donor-Served OBs'!A:N,16,0),0)</f>
        <v>0</v>
      </c>
      <c r="AY128" s="20">
        <f>ROUNDUP(IF(A128=0,0,IFERROR(VLOOKUP($A128,'[1]Donor''s Assigned Kilos'!A:O,16,0),0)),0)</f>
        <v>0</v>
      </c>
      <c r="AZ128" s="20">
        <f>IF(A128=0,0,IFERROR(SUMIFS([1]Population!Y:Y,[1]Population!J:J,'MASTER-2025'!A128),0))</f>
        <v>0</v>
      </c>
      <c r="BA128" s="21">
        <f t="shared" si="43"/>
        <v>0</v>
      </c>
      <c r="BB128" s="21">
        <f t="shared" si="42"/>
        <v>0</v>
      </c>
      <c r="BC128" s="21">
        <f t="shared" si="39"/>
        <v>0</v>
      </c>
      <c r="BD128" s="21">
        <f t="shared" si="44"/>
        <v>0</v>
      </c>
      <c r="BE128" s="22" t="e">
        <f>IF(A128=0,0,SUMIFS([1]Population!C:C,[1]Population!A:A,'MASTER-2025'!A128))</f>
        <v>#VALUE!</v>
      </c>
      <c r="BF128" s="22" t="e">
        <f>IF(A128=0,0,SUMIFS([1]Population!D:D,[1]Population!A:A,'MASTER-2025'!A128))</f>
        <v>#VALUE!</v>
      </c>
      <c r="BG128" s="22" t="e">
        <f>IF(A128=0,0,SUMIFS([1]Population!E:E,[1]Population!A:A,'MASTER-2025'!A128))</f>
        <v>#VALUE!</v>
      </c>
      <c r="BH128" s="22" t="e">
        <f>IF(A128=0,0,SUMIFS([1]Population!F:F,[1]Population!A:A,'MASTER-2025'!A128))</f>
        <v>#VALUE!</v>
      </c>
      <c r="BI128" s="22" t="e">
        <f t="shared" si="35"/>
        <v>#VALUE!</v>
      </c>
      <c r="BJ128" s="23" t="e">
        <f t="shared" si="30"/>
        <v>#VALUE!</v>
      </c>
      <c r="BK128" s="22" t="e">
        <f>IF(A128=0,0,SUMIFS([1]Population!G:G,[1]Population!A:A,'MASTER-2025'!A128))</f>
        <v>#VALUE!</v>
      </c>
      <c r="BL128" s="24" cm="1">
        <f t="array" ref="BL128:BW128">IFERROR(VLOOKUP(A128,'[1]Now-OB-kg-POB-25'!A:AQ,{3,4,5,6,7,8,9,10,11,12,13,14},0),0)</f>
        <v>0</v>
      </c>
      <c r="BM128" s="24">
        <v>1</v>
      </c>
      <c r="BN128" s="24">
        <v>0</v>
      </c>
      <c r="BO128" s="24">
        <v>0</v>
      </c>
      <c r="BP128" s="24">
        <v>0</v>
      </c>
      <c r="BQ128" s="24">
        <v>0</v>
      </c>
      <c r="BR128" s="24">
        <v>0</v>
      </c>
      <c r="BS128" s="24">
        <v>0</v>
      </c>
      <c r="BT128" s="24">
        <v>0</v>
      </c>
      <c r="BU128" s="24">
        <v>0</v>
      </c>
      <c r="BV128" s="24">
        <v>0</v>
      </c>
      <c r="BW128" s="24">
        <v>0</v>
      </c>
      <c r="BX128" s="24">
        <f t="shared" si="31"/>
        <v>1</v>
      </c>
      <c r="BY128" s="25" cm="1">
        <f t="array" ref="BY128:CJ128">IFERROR(VLOOKUP(A128,'[1]Now-OB-kg-POB-25'!A:AQ,{17,18,19,20,21,22,23,24,25,26,27,28},0),0)</f>
        <v>0</v>
      </c>
      <c r="BZ128" s="25">
        <v>8</v>
      </c>
      <c r="CA128" s="25">
        <v>0</v>
      </c>
      <c r="CB128" s="25">
        <v>0</v>
      </c>
      <c r="CC128" s="25">
        <v>0</v>
      </c>
      <c r="CD128" s="25">
        <v>0</v>
      </c>
      <c r="CE128" s="25">
        <v>0</v>
      </c>
      <c r="CF128" s="25">
        <v>0</v>
      </c>
      <c r="CG128" s="25">
        <v>0</v>
      </c>
      <c r="CH128" s="25">
        <v>0</v>
      </c>
      <c r="CI128" s="25">
        <v>0</v>
      </c>
      <c r="CJ128" s="25">
        <v>0</v>
      </c>
      <c r="CK128" s="25">
        <f t="shared" si="32"/>
        <v>8</v>
      </c>
      <c r="CL128" s="26" cm="1">
        <f t="array" ref="CL128:CW128">IFERROR(VLOOKUP(A128,'[1]Now-OB-kg-POB-25'!A:AQ,{31,32,33,34,35,36,37,38,39,40,41,42},0),0)</f>
        <v>0</v>
      </c>
      <c r="CM128" s="26">
        <v>65</v>
      </c>
      <c r="CN128" s="26">
        <v>0</v>
      </c>
      <c r="CO128" s="26">
        <v>0</v>
      </c>
      <c r="CP128" s="26">
        <v>0</v>
      </c>
      <c r="CQ128" s="26">
        <v>0</v>
      </c>
      <c r="CR128" s="26">
        <v>0</v>
      </c>
      <c r="CS128" s="26">
        <v>0</v>
      </c>
      <c r="CT128" s="26">
        <v>0</v>
      </c>
      <c r="CU128" s="26">
        <v>0</v>
      </c>
      <c r="CV128" s="26">
        <v>0</v>
      </c>
      <c r="CW128" s="26">
        <v>0</v>
      </c>
      <c r="CX128" s="26">
        <f t="shared" si="33"/>
        <v>65</v>
      </c>
      <c r="CY128" s="14" t="str">
        <f>IF(A128=0,0,IFERROR(VLOOKUP(A128,'[1]Info Donantes'!C:F,2,0),"Sin Contacto"))</f>
        <v>Libert Mendoza</v>
      </c>
      <c r="CZ128" s="14" t="str">
        <f>IF(A128=0,0,IFERROR(VLOOKUP(A128,'[1]Info Donantes'!C:F,3,0),"Sin Correo"))</f>
        <v>gerencia@mendelacorp.com</v>
      </c>
      <c r="DA128" s="14" t="str">
        <f>IF(A128=0,0,IFERROR(VLOOKUP(A128,'[1]Info Donantes'!C:F,4,0),"Sin Telefono"))</f>
        <v>6208-2310</v>
      </c>
      <c r="DB128" s="14" t="str">
        <f>IF(A128=0,0,"Reporte de Trazabiidad"&amp;" - "&amp;'[1]Donor Summary'!$C$2&amp;" - "&amp;A128&amp;"")</f>
        <v>Reporte de Trazabiidad -  - CORPORACIÓN MENDELA S.A.</v>
      </c>
    </row>
    <row r="129" spans="1:106" x14ac:dyDescent="0.55000000000000004">
      <c r="A129" s="14" t="s">
        <v>289</v>
      </c>
      <c r="B129" s="33">
        <f>INT(IFERROR(VLOOKUP(A129,'[1]Donor Summary'!C:F,3,0),0))</f>
        <v>0</v>
      </c>
      <c r="C129" s="15">
        <f>INT(ROUND(IFERROR(VLOOKUP(A129,'[1]Donor Summary'!C:F,4,0),0),1))</f>
        <v>0</v>
      </c>
      <c r="D129" s="16">
        <f t="shared" si="36"/>
        <v>0</v>
      </c>
      <c r="E129" s="17" t="str">
        <f t="shared" si="37"/>
        <v>0.00%</v>
      </c>
      <c r="F129" s="17" t="str">
        <f t="shared" si="38"/>
        <v>0.0%</v>
      </c>
      <c r="G129" s="15">
        <f t="shared" si="40"/>
        <v>0</v>
      </c>
      <c r="H129" s="18"/>
      <c r="I129" s="18">
        <f>IFERROR(VLOOKUP(A129,'[1]Lot All by Part'!T:Y,6,0),0)</f>
        <v>0</v>
      </c>
      <c r="J129" s="18"/>
      <c r="K129" s="19">
        <f>IFERROR(VLOOKUP($A129,'[1]Donor-Served OBs'!A:N,3,0),0)</f>
        <v>0</v>
      </c>
      <c r="L129" s="19">
        <f>ROUNDUP(IF(A129=0,0,IFERROR(VLOOKUP($A129,'[1]Donor''s Assigned Kilos'!A:O,3,0),0)),0)</f>
        <v>0</v>
      </c>
      <c r="M129" s="19">
        <f>IF(A129=0,0,IFERROR(SUMIFS([1]Population!M:M,[1]Population!J:J,'MASTER-2025'!A129),0))</f>
        <v>0</v>
      </c>
      <c r="N129" s="20">
        <f>IFERROR(VLOOKUP($A129,'[1]Donor-Served OBs'!A:N,4,0),0)</f>
        <v>0</v>
      </c>
      <c r="O129" s="20">
        <f>ROUNDUP(IF(A129=0,0,IFERROR(VLOOKUP($A129,'[1]Donor''s Assigned Kilos'!A:O,4,0),0)),0)</f>
        <v>0</v>
      </c>
      <c r="P129" s="20">
        <f>IF(A129=0,0,IFERROR(SUMIFS([1]Population!N:N,[1]Population!J:J,'MASTER-2025'!A129),0))</f>
        <v>0</v>
      </c>
      <c r="Q129" s="18">
        <f>IFERROR(VLOOKUP($A129,'[1]Donor-Served OBs'!A:N,2,0),0)</f>
        <v>0</v>
      </c>
      <c r="R129" s="18">
        <f>ROUNDUP(ROUND(IF(A129=0,0,IFERROR(VLOOKUP($A129,'[1]Donor''s Assigned Kilos'!A:O,9,0),0)),1),0)</f>
        <v>0</v>
      </c>
      <c r="S129" s="18">
        <f>IF(A129=0,0,IFERROR(SUMIFS([1]Population!S:S,[1]Population!J:J,'MASTER-2025'!A129),0))</f>
        <v>0</v>
      </c>
      <c r="T129" s="19">
        <f>IFERROR(VLOOKUP($A129,'[1]Donor-Served OBs'!A:N,12,0),0)</f>
        <v>0</v>
      </c>
      <c r="U129" s="19">
        <f>ROUNDUP(IF(A129=0,0,IF(A129=0,0,IFERROR(VLOOKUP($A129,'[1]Donor''s Assigned Kilos'!A:O,7,0),0))),0)</f>
        <v>0</v>
      </c>
      <c r="V129" s="19">
        <f>IF(A129=0,0,IFERROR(SUMIFS([1]Population!Q:Q,[1]Population!J:J,'MASTER-2025'!A129),0))</f>
        <v>0</v>
      </c>
      <c r="W129" s="20">
        <f>IFERROR(VLOOKUP($A129,'[1]Donor-Served OBs'!A:N,10,0),0)</f>
        <v>0</v>
      </c>
      <c r="X129" s="20">
        <f>ROUNDUP(IF(A129=0,0,IFERROR(VLOOKUP($A129,'[1]Donor''s Assigned Kilos'!A:N,5,0),0)),0)</f>
        <v>0</v>
      </c>
      <c r="Y129" s="20">
        <f>IF(A129=0,0,IFERROR(SUMIFS([1]Population!O:O,[1]Population!J:J,'MASTER-2025'!A129),0))</f>
        <v>0</v>
      </c>
      <c r="Z129" s="18">
        <f>IFERROR(VLOOKUP($A129,'[1]Donor-Served OBs'!A:N,6,0),0)</f>
        <v>0</v>
      </c>
      <c r="AA129" s="18">
        <f>ROUNDUP(IF(A129=0,0,IFERROR(VLOOKUP($A129,'[1]Donor''s Assigned Kilos'!A:N,11,0),0)),0)</f>
        <v>0</v>
      </c>
      <c r="AB129" s="18">
        <f>IF(A129=0,0,IFERROR(SUMIFS([1]Population!U:U,[1]Population!J:J,'MASTER-2025'!A129),0))</f>
        <v>0</v>
      </c>
      <c r="AC129" s="19">
        <f>IFERROR(VLOOKUP($A129,'[1]Donor-Served OBs'!A:N,7,0),0)</f>
        <v>0</v>
      </c>
      <c r="AD129" s="19">
        <f>ROUNDUP(IF(A129=0,0,IFERROR(VLOOKUP($A129,'[1]Donor''s Assigned Kilos'!A:N,8,0),0)),0)</f>
        <v>0</v>
      </c>
      <c r="AE129" s="19">
        <f>IF(A129=0,0,IFERROR(SUMIFS([1]Population!R:R,[1]Population!J:J,'MASTER-2025'!A129),0))</f>
        <v>0</v>
      </c>
      <c r="AF129" s="20">
        <f>IFERROR(VLOOKUP($A129,'[1]Donor-Served OBs'!A:N,8,0),0)</f>
        <v>0</v>
      </c>
      <c r="AG129" s="20">
        <f>ROUNDUP(IF(A129=0,0,IFERROR(VLOOKUP($A129,'[1]Donor''s Assigned Kilos'!A:N,6,0),0)),0)</f>
        <v>0</v>
      </c>
      <c r="AH129" s="20">
        <f>IF(A129=0,0,IFERROR(SUMIFS([1]Population!P:P,[1]Population!J:J,'MASTER-2025'!A129),0))</f>
        <v>0</v>
      </c>
      <c r="AI129" s="18">
        <f>IFERROR(VLOOKUP($A129,'[1]Donor-Served OBs'!A:N,9,0),0)</f>
        <v>0</v>
      </c>
      <c r="AJ129" s="18">
        <f>ROUNDUP(IF(A129=0,0,IFERROR(VLOOKUP($A129,'[1]Donor''s Assigned Kilos'!A:N,12,0),0)),0)</f>
        <v>0</v>
      </c>
      <c r="AK129" s="18">
        <f>IF(A129=0,0,IFERROR(SUMIFS([1]Population!V:V,[1]Population!J:J,'MASTER-2025'!A129),0))</f>
        <v>0</v>
      </c>
      <c r="AL129" s="19">
        <f>IFERROR(VLOOKUP($A129,'[1]Donor-Served OBs'!A:N,16,0),0)</f>
        <v>0</v>
      </c>
      <c r="AM129" s="19">
        <f>ROUNDUP(IF(A129=0,0,IFERROR(VLOOKUP($A129,'[1]Donor''s Assigned Kilos'!A:O,16,0),0)),0)</f>
        <v>0</v>
      </c>
      <c r="AN129" s="19">
        <f>IF(A129=0,0,IFERROR(SUMIFS([1]Population!Z:Z,[1]Population!J:J,'MASTER-2025'!A129),0))</f>
        <v>0</v>
      </c>
      <c r="AO129" s="20">
        <f>IFERROR(VLOOKUP($A129,'[1]Donor-Served OBs'!A:N,11,0),0)</f>
        <v>0</v>
      </c>
      <c r="AP129" s="20">
        <f>ROUNDUP(IF(A129=0,0,IFERROR(VLOOKUP($A129,'[1]Donor''s Assigned Kilos'!A:N,13,0),0)),0)</f>
        <v>0</v>
      </c>
      <c r="AQ129" s="20">
        <f>IF(A129=0,0,IFERROR(SUMIFS([1]Population!W:W,[1]Population!J:J,'MASTER-2025'!A129),0))</f>
        <v>0</v>
      </c>
      <c r="AR129" s="18">
        <f>IFERROR(VLOOKUP($A129,'[1]Donor-Served OBs'!A:N,5,0),0)</f>
        <v>0</v>
      </c>
      <c r="AS129" s="18">
        <f>ROUNDUP(IF(A129=0,0,IFERROR(VLOOKUP($A129,'[1]Donor''s Assigned Kilos'!A:N,10,0),0)),0)</f>
        <v>0</v>
      </c>
      <c r="AT129" s="18">
        <f>IF(A129=0,0,IFERROR(SUMIFS([1]Population!T:T,[1]Population!J:J,'MASTER-2025'!A129),0))</f>
        <v>0</v>
      </c>
      <c r="AU129" s="19">
        <f>IFERROR(VLOOKUP($A129,'[1]Donor-Served OBs'!A:N,13,0),0)</f>
        <v>0</v>
      </c>
      <c r="AV129" s="19">
        <f>ROUNDUP(IF(A129=0,0,IFERROR(VLOOKUP($A129,'[1]Donor''s Assigned Kilos'!A:N,14,0),0)),0)</f>
        <v>0</v>
      </c>
      <c r="AW129" s="19">
        <f>IF(A129=0,0,IFERROR(SUMIFS([1]Population!X:X,[1]Population!J:J,'MASTER-2025'!A129),0))</f>
        <v>0</v>
      </c>
      <c r="AX129" s="20">
        <f>IFERROR(VLOOKUP($A129,'[1]Donor-Served OBs'!A:N,16,0),0)</f>
        <v>0</v>
      </c>
      <c r="AY129" s="20">
        <f>ROUNDUP(IF(A129=0,0,IFERROR(VLOOKUP($A129,'[1]Donor''s Assigned Kilos'!A:O,16,0),0)),0)</f>
        <v>0</v>
      </c>
      <c r="AZ129" s="20">
        <f>IF(A129=0,0,IFERROR(SUMIFS([1]Population!Y:Y,[1]Population!J:J,'MASTER-2025'!A129),0))</f>
        <v>0</v>
      </c>
      <c r="BA129" s="21">
        <f t="shared" si="43"/>
        <v>0</v>
      </c>
      <c r="BB129" s="21">
        <f t="shared" si="42"/>
        <v>0</v>
      </c>
      <c r="BC129" s="21">
        <f t="shared" si="39"/>
        <v>0</v>
      </c>
      <c r="BD129" s="21">
        <f t="shared" si="44"/>
        <v>0</v>
      </c>
      <c r="BE129" s="22" t="e">
        <f>IF(A129=0,0,SUMIFS([1]Population!C:C,[1]Population!A:A,'MASTER-2025'!A129))</f>
        <v>#VALUE!</v>
      </c>
      <c r="BF129" s="22" t="e">
        <f>IF(A129=0,0,SUMIFS([1]Population!D:D,[1]Population!A:A,'MASTER-2025'!A129))</f>
        <v>#VALUE!</v>
      </c>
      <c r="BG129" s="22" t="e">
        <f>IF(A129=0,0,SUMIFS([1]Population!E:E,[1]Population!A:A,'MASTER-2025'!A129))</f>
        <v>#VALUE!</v>
      </c>
      <c r="BH129" s="22" t="e">
        <f>IF(A129=0,0,SUMIFS([1]Population!F:F,[1]Population!A:A,'MASTER-2025'!A129))</f>
        <v>#VALUE!</v>
      </c>
      <c r="BI129" s="22" t="e">
        <f t="shared" si="35"/>
        <v>#VALUE!</v>
      </c>
      <c r="BJ129" s="23" t="e">
        <f t="shared" si="30"/>
        <v>#VALUE!</v>
      </c>
      <c r="BK129" s="22" t="e">
        <f>IF(A129=0,0,SUMIFS([1]Population!G:G,[1]Population!A:A,'MASTER-2025'!A129))</f>
        <v>#VALUE!</v>
      </c>
      <c r="BL129" s="24" cm="1">
        <f t="array" ref="BL129:BW129">IFERROR(VLOOKUP(A129,'[1]Now-OB-kg-POB-25'!A:AQ,{3,4,5,6,7,8,9,10,11,12,13,14},0),0)</f>
        <v>0</v>
      </c>
      <c r="BM129" s="24">
        <v>0</v>
      </c>
      <c r="BN129" s="24">
        <v>0</v>
      </c>
      <c r="BO129" s="24">
        <v>0</v>
      </c>
      <c r="BP129" s="24">
        <v>0</v>
      </c>
      <c r="BQ129" s="24">
        <v>0</v>
      </c>
      <c r="BR129" s="24">
        <v>0</v>
      </c>
      <c r="BS129" s="24">
        <v>0</v>
      </c>
      <c r="BT129" s="24">
        <v>0</v>
      </c>
      <c r="BU129" s="24">
        <v>0</v>
      </c>
      <c r="BV129" s="24">
        <v>0</v>
      </c>
      <c r="BW129" s="24">
        <v>0</v>
      </c>
      <c r="BX129" s="24">
        <f t="shared" si="31"/>
        <v>0</v>
      </c>
      <c r="BY129" s="25" cm="1">
        <f t="array" ref="BY129:CJ129">IFERROR(VLOOKUP(A129,'[1]Now-OB-kg-POB-25'!A:AQ,{17,18,19,20,21,22,23,24,25,26,27,28},0),0)</f>
        <v>0</v>
      </c>
      <c r="BZ129" s="25">
        <v>68</v>
      </c>
      <c r="CA129" s="25">
        <v>0</v>
      </c>
      <c r="CB129" s="25">
        <v>0</v>
      </c>
      <c r="CC129" s="25">
        <v>0</v>
      </c>
      <c r="CD129" s="25">
        <v>0</v>
      </c>
      <c r="CE129" s="25">
        <v>0</v>
      </c>
      <c r="CF129" s="25">
        <v>0</v>
      </c>
      <c r="CG129" s="25">
        <v>0</v>
      </c>
      <c r="CH129" s="25">
        <v>0</v>
      </c>
      <c r="CI129" s="25">
        <v>0</v>
      </c>
      <c r="CJ129" s="25">
        <v>0</v>
      </c>
      <c r="CK129" s="25">
        <f t="shared" si="32"/>
        <v>68</v>
      </c>
      <c r="CL129" s="26" cm="1">
        <f t="array" ref="CL129:CW129">IFERROR(VLOOKUP(A129,'[1]Now-OB-kg-POB-25'!A:AQ,{31,32,33,34,35,36,37,38,39,40,41,42},0),0)</f>
        <v>0</v>
      </c>
      <c r="CM129" s="26">
        <v>0</v>
      </c>
      <c r="CN129" s="26">
        <v>0</v>
      </c>
      <c r="CO129" s="26">
        <v>0</v>
      </c>
      <c r="CP129" s="26">
        <v>0</v>
      </c>
      <c r="CQ129" s="26">
        <v>0</v>
      </c>
      <c r="CR129" s="26">
        <v>0</v>
      </c>
      <c r="CS129" s="26">
        <v>0</v>
      </c>
      <c r="CT129" s="26">
        <v>0</v>
      </c>
      <c r="CU129" s="26">
        <v>0</v>
      </c>
      <c r="CV129" s="26">
        <v>0</v>
      </c>
      <c r="CW129" s="26">
        <v>0</v>
      </c>
      <c r="CX129" s="26">
        <f t="shared" si="33"/>
        <v>0</v>
      </c>
      <c r="CY129" s="14" t="str">
        <f>IF(A129=0,0,IFERROR(VLOOKUP(A129,'[1]Info Donantes'!C:F,2,0),"Sin Contacto"))</f>
        <v>Sin Contacto</v>
      </c>
      <c r="CZ129" s="14" t="str">
        <f>IF(A129=0,0,IFERROR(VLOOKUP(A129,'[1]Info Donantes'!C:F,3,0),"Sin Correo"))</f>
        <v>Sin Correo</v>
      </c>
      <c r="DA129" s="14" t="str">
        <f>IF(A129=0,0,IFERROR(VLOOKUP(A129,'[1]Info Donantes'!C:F,4,0),"Sin Telefono"))</f>
        <v>Sin Telefono</v>
      </c>
      <c r="DB129" s="14" t="str">
        <f>IF(A129=0,0,"Reporte de Trazabiidad"&amp;" - "&amp;'[1]Donor Summary'!$C$2&amp;" - "&amp;A129&amp;"")</f>
        <v>Reporte de Trazabiidad -  - FEAX INTERNATIONAL S.A.</v>
      </c>
    </row>
    <row r="130" spans="1:106" x14ac:dyDescent="0.55000000000000004">
      <c r="A130" s="14" t="s">
        <v>290</v>
      </c>
      <c r="B130" s="33">
        <f>INT(IFERROR(VLOOKUP(A130,'[1]Donor Summary'!C:F,3,0),0))</f>
        <v>63</v>
      </c>
      <c r="C130" s="15">
        <f>INT(ROUND(IFERROR(VLOOKUP(A130,'[1]Donor Summary'!C:F,4,0),0),1))</f>
        <v>3933</v>
      </c>
      <c r="D130" s="16">
        <f t="shared" si="36"/>
        <v>3870</v>
      </c>
      <c r="E130" s="17" t="str">
        <f t="shared" si="37"/>
        <v>98.40%</v>
      </c>
      <c r="F130" s="17" t="str">
        <f t="shared" si="38"/>
        <v>1.6%</v>
      </c>
      <c r="G130" s="15">
        <f t="shared" si="40"/>
        <v>11610</v>
      </c>
      <c r="H130" s="18"/>
      <c r="I130" s="18">
        <f>IFERROR(VLOOKUP(A130,'[1]Lot All by Part'!T:Y,6,0),0)</f>
        <v>0</v>
      </c>
      <c r="J130" s="18"/>
      <c r="K130" s="19">
        <f>IFERROR(VLOOKUP($A130,'[1]Donor-Served OBs'!A:N,3,0),0)</f>
        <v>8</v>
      </c>
      <c r="L130" s="19">
        <f>ROUNDUP(IF(A130=0,0,IFERROR(VLOOKUP($A130,'[1]Donor''s Assigned Kilos'!A:O,3,0),0)),0)</f>
        <v>82</v>
      </c>
      <c r="M130" s="19">
        <f>IF(A130=0,0,IFERROR(SUMIFS([1]Population!M:M,[1]Population!J:J,'MASTER-2025'!A130),0))</f>
        <v>0</v>
      </c>
      <c r="N130" s="20">
        <f>IFERROR(VLOOKUP($A130,'[1]Donor-Served OBs'!A:N,4,0),0)</f>
        <v>13</v>
      </c>
      <c r="O130" s="20">
        <f>ROUNDUP(IF(A130=0,0,IFERROR(VLOOKUP($A130,'[1]Donor''s Assigned Kilos'!A:O,4,0),0)),0)</f>
        <v>158</v>
      </c>
      <c r="P130" s="20">
        <f>IF(A130=0,0,IFERROR(SUMIFS([1]Population!N:N,[1]Population!J:J,'MASTER-2025'!A130),0))</f>
        <v>0</v>
      </c>
      <c r="Q130" s="18">
        <f>IFERROR(VLOOKUP($A130,'[1]Donor-Served OBs'!A:N,2,0),0)</f>
        <v>0</v>
      </c>
      <c r="R130" s="18">
        <f>ROUNDUP(ROUND(IF(A130=0,0,IFERROR(VLOOKUP($A130,'[1]Donor''s Assigned Kilos'!A:O,9,0),0)),1),0)</f>
        <v>0</v>
      </c>
      <c r="S130" s="18">
        <f>IF(A130=0,0,IFERROR(SUMIFS([1]Population!S:S,[1]Population!J:J,'MASTER-2025'!A130),0))</f>
        <v>0</v>
      </c>
      <c r="T130" s="19">
        <f>IFERROR(VLOOKUP($A130,'[1]Donor-Served OBs'!A:N,12,0),0)</f>
        <v>0</v>
      </c>
      <c r="U130" s="19">
        <f>ROUNDUP(IF(A130=0,0,IF(A130=0,0,IFERROR(VLOOKUP($A130,'[1]Donor''s Assigned Kilos'!A:O,7,0),0))),0)</f>
        <v>0</v>
      </c>
      <c r="V130" s="19">
        <f>IF(A130=0,0,IFERROR(SUMIFS([1]Population!Q:Q,[1]Population!J:J,'MASTER-2025'!A130),0))</f>
        <v>0</v>
      </c>
      <c r="W130" s="20">
        <f>IFERROR(VLOOKUP($A130,'[1]Donor-Served OBs'!A:N,10,0),0)</f>
        <v>5</v>
      </c>
      <c r="X130" s="20">
        <f>ROUNDUP(IF(A130=0,0,IFERROR(VLOOKUP($A130,'[1]Donor''s Assigned Kilos'!A:N,5,0),0)),0)</f>
        <v>28</v>
      </c>
      <c r="Y130" s="20">
        <f>IF(A130=0,0,IFERROR(SUMIFS([1]Population!O:O,[1]Population!J:J,'MASTER-2025'!A130),0))</f>
        <v>0</v>
      </c>
      <c r="Z130" s="18">
        <f>IFERROR(VLOOKUP($A130,'[1]Donor-Served OBs'!A:N,6,0),0)</f>
        <v>0</v>
      </c>
      <c r="AA130" s="18">
        <f>ROUNDUP(IF(A130=0,0,IFERROR(VLOOKUP($A130,'[1]Donor''s Assigned Kilos'!A:N,11,0),0)),0)</f>
        <v>0</v>
      </c>
      <c r="AB130" s="18">
        <f>IF(A130=0,0,IFERROR(SUMIFS([1]Population!U:U,[1]Population!J:J,'MASTER-2025'!A130),0))</f>
        <v>0</v>
      </c>
      <c r="AC130" s="19">
        <f>IFERROR(VLOOKUP($A130,'[1]Donor-Served OBs'!A:N,7,0),0)</f>
        <v>2</v>
      </c>
      <c r="AD130" s="19">
        <f>ROUNDUP(IF(A130=0,0,IFERROR(VLOOKUP($A130,'[1]Donor''s Assigned Kilos'!A:N,8,0),0)),0)</f>
        <v>16</v>
      </c>
      <c r="AE130" s="19">
        <f>IF(A130=0,0,IFERROR(SUMIFS([1]Population!R:R,[1]Population!J:J,'MASTER-2025'!A130),0))</f>
        <v>0</v>
      </c>
      <c r="AF130" s="20">
        <f>IFERROR(VLOOKUP($A130,'[1]Donor-Served OBs'!A:N,8,0),0)</f>
        <v>0</v>
      </c>
      <c r="AG130" s="20">
        <f>ROUNDUP(IF(A130=0,0,IFERROR(VLOOKUP($A130,'[1]Donor''s Assigned Kilos'!A:N,6,0),0)),0)</f>
        <v>0</v>
      </c>
      <c r="AH130" s="20">
        <f>IF(A130=0,0,IFERROR(SUMIFS([1]Population!P:P,[1]Population!J:J,'MASTER-2025'!A130),0))</f>
        <v>0</v>
      </c>
      <c r="AI130" s="18">
        <f>IFERROR(VLOOKUP($A130,'[1]Donor-Served OBs'!A:N,9,0),0)</f>
        <v>0</v>
      </c>
      <c r="AJ130" s="18">
        <f>ROUNDUP(IF(A130=0,0,IFERROR(VLOOKUP($A130,'[1]Donor''s Assigned Kilos'!A:N,12,0),0)),0)</f>
        <v>0</v>
      </c>
      <c r="AK130" s="18">
        <f>IF(A130=0,0,IFERROR(SUMIFS([1]Population!V:V,[1]Population!J:J,'MASTER-2025'!A130),0))</f>
        <v>0</v>
      </c>
      <c r="AL130" s="19">
        <f>IFERROR(VLOOKUP($A130,'[1]Donor-Served OBs'!A:N,16,0),0)</f>
        <v>0</v>
      </c>
      <c r="AM130" s="19">
        <f>ROUNDUP(IF(A130=0,0,IFERROR(VLOOKUP($A130,'[1]Donor''s Assigned Kilos'!A:O,16,0),0)),0)</f>
        <v>0</v>
      </c>
      <c r="AN130" s="19">
        <f>IF(A130=0,0,IFERROR(SUMIFS([1]Population!Z:Z,[1]Population!J:J,'MASTER-2025'!A130),0))</f>
        <v>0</v>
      </c>
      <c r="AO130" s="20">
        <f>IFERROR(VLOOKUP($A130,'[1]Donor-Served OBs'!A:N,11,0),0)</f>
        <v>0</v>
      </c>
      <c r="AP130" s="20">
        <f>ROUNDUP(IF(A130=0,0,IFERROR(VLOOKUP($A130,'[1]Donor''s Assigned Kilos'!A:N,13,0),0)),0)</f>
        <v>0</v>
      </c>
      <c r="AQ130" s="20">
        <f>IF(A130=0,0,IFERROR(SUMIFS([1]Population!W:W,[1]Population!J:J,'MASTER-2025'!A130),0))</f>
        <v>0</v>
      </c>
      <c r="AR130" s="18">
        <f>IFERROR(VLOOKUP($A130,'[1]Donor-Served OBs'!A:N,5,0),0)</f>
        <v>0</v>
      </c>
      <c r="AS130" s="18">
        <f>ROUNDUP(IF(A130=0,0,IFERROR(VLOOKUP($A130,'[1]Donor''s Assigned Kilos'!A:N,10,0),0)),0)</f>
        <v>0</v>
      </c>
      <c r="AT130" s="18">
        <f>IF(A130=0,0,IFERROR(SUMIFS([1]Population!T:T,[1]Population!J:J,'MASTER-2025'!A130),0))</f>
        <v>0</v>
      </c>
      <c r="AU130" s="19">
        <f>IFERROR(VLOOKUP($A130,'[1]Donor-Served OBs'!A:N,13,0),0)</f>
        <v>0</v>
      </c>
      <c r="AV130" s="19">
        <f>ROUNDUP(IF(A130=0,0,IFERROR(VLOOKUP($A130,'[1]Donor''s Assigned Kilos'!A:N,14,0),0)),0)</f>
        <v>0</v>
      </c>
      <c r="AW130" s="19">
        <f>IF(A130=0,0,IFERROR(SUMIFS([1]Population!X:X,[1]Population!J:J,'MASTER-2025'!A130),0))</f>
        <v>0</v>
      </c>
      <c r="AX130" s="20">
        <f>IFERROR(VLOOKUP($A130,'[1]Donor-Served OBs'!A:N,16,0),0)</f>
        <v>0</v>
      </c>
      <c r="AY130" s="20">
        <f>ROUNDUP(IF(A130=0,0,IFERROR(VLOOKUP($A130,'[1]Donor''s Assigned Kilos'!A:O,16,0),0)),0)</f>
        <v>0</v>
      </c>
      <c r="AZ130" s="20">
        <f>IF(A130=0,0,IFERROR(SUMIFS([1]Population!Y:Y,[1]Population!J:J,'MASTER-2025'!A130),0))</f>
        <v>0</v>
      </c>
      <c r="BA130" s="21">
        <f t="shared" si="43"/>
        <v>28</v>
      </c>
      <c r="BB130" s="21">
        <f t="shared" si="42"/>
        <v>284</v>
      </c>
      <c r="BC130" s="21">
        <f t="shared" si="39"/>
        <v>240</v>
      </c>
      <c r="BD130" s="21">
        <f t="shared" si="44"/>
        <v>0</v>
      </c>
      <c r="BE130" s="22" t="e">
        <f>IF(A130=0,0,SUMIFS([1]Population!C:C,[1]Population!A:A,'MASTER-2025'!A130))</f>
        <v>#VALUE!</v>
      </c>
      <c r="BF130" s="22" t="e">
        <f>IF(A130=0,0,SUMIFS([1]Population!D:D,[1]Population!A:A,'MASTER-2025'!A130))</f>
        <v>#VALUE!</v>
      </c>
      <c r="BG130" s="22" t="e">
        <f>IF(A130=0,0,SUMIFS([1]Population!E:E,[1]Population!A:A,'MASTER-2025'!A130))</f>
        <v>#VALUE!</v>
      </c>
      <c r="BH130" s="22" t="e">
        <f>IF(A130=0,0,SUMIFS([1]Population!F:F,[1]Population!A:A,'MASTER-2025'!A130))</f>
        <v>#VALUE!</v>
      </c>
      <c r="BI130" s="22" t="e">
        <f t="shared" si="35"/>
        <v>#VALUE!</v>
      </c>
      <c r="BJ130" s="23" t="e">
        <f t="shared" si="30"/>
        <v>#VALUE!</v>
      </c>
      <c r="BK130" s="22" t="e">
        <f>IF(A130=0,0,SUMIFS([1]Population!G:G,[1]Population!A:A,'MASTER-2025'!A130))</f>
        <v>#VALUE!</v>
      </c>
      <c r="BL130" s="24" cm="1">
        <f t="array" ref="BL130:BW130">IFERROR(VLOOKUP(A130,'[1]Now-OB-kg-POB-25'!A:AQ,{3,4,5,6,7,8,9,10,11,12,13,14},0),0)</f>
        <v>0</v>
      </c>
      <c r="BM130" s="24">
        <v>0</v>
      </c>
      <c r="BN130" s="24">
        <v>28</v>
      </c>
      <c r="BO130" s="24">
        <v>0</v>
      </c>
      <c r="BP130" s="24">
        <v>0</v>
      </c>
      <c r="BQ130" s="24">
        <v>0</v>
      </c>
      <c r="BR130" s="24">
        <v>0</v>
      </c>
      <c r="BS130" s="24">
        <v>0</v>
      </c>
      <c r="BT130" s="24">
        <v>0</v>
      </c>
      <c r="BU130" s="24">
        <v>0</v>
      </c>
      <c r="BV130" s="24">
        <v>0</v>
      </c>
      <c r="BW130" s="24">
        <v>0</v>
      </c>
      <c r="BX130" s="24">
        <f t="shared" si="31"/>
        <v>28</v>
      </c>
      <c r="BY130" s="25" cm="1">
        <f t="array" ref="BY130:CJ130">IFERROR(VLOOKUP(A130,'[1]Now-OB-kg-POB-25'!A:AQ,{17,18,19,20,21,22,23,24,25,26,27,28},0),0)</f>
        <v>0</v>
      </c>
      <c r="BZ130" s="25">
        <v>0</v>
      </c>
      <c r="CA130" s="25">
        <v>3933</v>
      </c>
      <c r="CB130" s="25">
        <v>0</v>
      </c>
      <c r="CC130" s="25">
        <v>0</v>
      </c>
      <c r="CD130" s="25">
        <v>0</v>
      </c>
      <c r="CE130" s="25">
        <v>0</v>
      </c>
      <c r="CF130" s="25">
        <v>0</v>
      </c>
      <c r="CG130" s="25">
        <v>0</v>
      </c>
      <c r="CH130" s="25">
        <v>0</v>
      </c>
      <c r="CI130" s="25">
        <v>0</v>
      </c>
      <c r="CJ130" s="25">
        <v>0</v>
      </c>
      <c r="CK130" s="25">
        <f t="shared" si="32"/>
        <v>3933</v>
      </c>
      <c r="CL130" s="26" cm="1">
        <f t="array" ref="CL130:CW130">IFERROR(VLOOKUP(A130,'[1]Now-OB-kg-POB-25'!A:AQ,{31,32,33,34,35,36,37,38,39,40,41,42},0),0)</f>
        <v>0</v>
      </c>
      <c r="CM130" s="26">
        <v>0</v>
      </c>
      <c r="CN130" s="26">
        <v>7490</v>
      </c>
      <c r="CO130" s="26">
        <v>0</v>
      </c>
      <c r="CP130" s="26">
        <v>0</v>
      </c>
      <c r="CQ130" s="26">
        <v>0</v>
      </c>
      <c r="CR130" s="26">
        <v>0</v>
      </c>
      <c r="CS130" s="26">
        <v>0</v>
      </c>
      <c r="CT130" s="26">
        <v>0</v>
      </c>
      <c r="CU130" s="26">
        <v>0</v>
      </c>
      <c r="CV130" s="26">
        <v>0</v>
      </c>
      <c r="CW130" s="26">
        <v>0</v>
      </c>
      <c r="CX130" s="26">
        <f t="shared" si="33"/>
        <v>7490</v>
      </c>
      <c r="CY130" s="14" t="str">
        <f>IF(A130=0,0,IFERROR(VLOOKUP(A130,'[1]Info Donantes'!C:F,2,0),"Sin Contacto"))</f>
        <v>Leonardo Arner</v>
      </c>
      <c r="CZ130" s="14" t="str">
        <f>IF(A130=0,0,IFERROR(VLOOKUP(A130,'[1]Info Donantes'!C:F,3,0),"Sin Correo"))</f>
        <v>leonardo.arner@agenciasescoffery.com</v>
      </c>
      <c r="DA130" s="14" t="str">
        <f>IF(A130=0,0,IFERROR(VLOOKUP(A130,'[1]Info Donantes'!C:F,4,0),"Sin Telefono"))</f>
        <v>302-2372</v>
      </c>
      <c r="DB130" s="14" t="str">
        <f>IF(A130=0,0,"Reporte de Trazabiidad"&amp;" - "&amp;'[1]Donor Summary'!$C$2&amp;" - "&amp;A130&amp;"")</f>
        <v>Reporte de Trazabiidad -  - AGENCIAS ESCOFFERY, S.A</v>
      </c>
    </row>
  </sheetData>
  <autoFilter ref="A1:A130" xr:uid="{7BA82AB5-D51C-4905-851B-E1FF4D8720E5}"/>
  <conditionalFormatting sqref="E2:E13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Hastings</dc:creator>
  <cp:lastModifiedBy>Cameron Hastings</cp:lastModifiedBy>
  <dcterms:created xsi:type="dcterms:W3CDTF">2026-08-27T17:04:25Z</dcterms:created>
  <dcterms:modified xsi:type="dcterms:W3CDTF">2026-09-01T23:09:29Z</dcterms:modified>
</cp:coreProperties>
</file>